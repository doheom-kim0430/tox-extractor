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도헌\Desktop\신규화학물질 독성 정보 생산 방안 검토\추출\"/>
    </mc:Choice>
  </mc:AlternateContent>
  <xr:revisionPtr revIDLastSave="0" documentId="13_ncr:1_{410647E2-9E30-454F-9D12-7AE962AB7310}" xr6:coauthVersionLast="47" xr6:coauthVersionMax="47" xr10:uidLastSave="{00000000-0000-0000-0000-000000000000}"/>
  <bookViews>
    <workbookView xWindow="-120" yWindow="-120" windowWidth="29040" windowHeight="15720" activeTab="1" xr2:uid="{5FED86AC-9BAB-45D7-8031-F82C1E05EE2F}"/>
  </bookViews>
  <sheets>
    <sheet name="물질정보" sheetId="2" r:id="rId1"/>
    <sheet name="유해성정보" sheetId="1" r:id="rId2"/>
  </sheets>
  <externalReferences>
    <externalReference r:id="rId3"/>
    <externalReference r:id="rId4"/>
  </externalReferences>
  <definedNames>
    <definedName name="_xlnm._FilterDatabase" localSheetId="1" hidden="1">유해성정보!$A$1:$Y$1878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51" i="1" l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G1650" i="1"/>
  <c r="F1650" i="1"/>
  <c r="E1650" i="1"/>
  <c r="D1650" i="1"/>
  <c r="C1650" i="1"/>
  <c r="G1649" i="1"/>
  <c r="F1649" i="1"/>
  <c r="E1649" i="1"/>
  <c r="D1649" i="1"/>
  <c r="C1649" i="1"/>
  <c r="G1648" i="1"/>
  <c r="F1648" i="1"/>
  <c r="E1648" i="1"/>
  <c r="D1648" i="1"/>
  <c r="C1648" i="1"/>
  <c r="G1647" i="1"/>
  <c r="F1647" i="1"/>
  <c r="E1647" i="1"/>
  <c r="D1647" i="1"/>
  <c r="C1647" i="1"/>
  <c r="G1646" i="1"/>
  <c r="F1646" i="1"/>
  <c r="E1646" i="1"/>
  <c r="D1646" i="1"/>
  <c r="C1646" i="1"/>
  <c r="G1645" i="1"/>
  <c r="F1645" i="1"/>
  <c r="E1645" i="1"/>
  <c r="D1645" i="1"/>
  <c r="C1645" i="1"/>
  <c r="G1644" i="1"/>
  <c r="F1644" i="1"/>
  <c r="E1644" i="1"/>
  <c r="D1644" i="1"/>
  <c r="C1644" i="1"/>
  <c r="G1643" i="1"/>
  <c r="F1643" i="1"/>
  <c r="E1643" i="1"/>
  <c r="D1643" i="1"/>
  <c r="C1643" i="1"/>
  <c r="G1642" i="1"/>
  <c r="F1642" i="1"/>
  <c r="E1642" i="1"/>
  <c r="D1642" i="1"/>
  <c r="C1642" i="1"/>
  <c r="G1641" i="1"/>
  <c r="F1641" i="1"/>
  <c r="E1641" i="1"/>
  <c r="D1641" i="1"/>
  <c r="C1641" i="1"/>
  <c r="G1640" i="1"/>
  <c r="F1640" i="1"/>
  <c r="E1640" i="1"/>
  <c r="D1640" i="1"/>
  <c r="C1640" i="1"/>
  <c r="G1639" i="1"/>
  <c r="F1639" i="1"/>
  <c r="E1639" i="1"/>
  <c r="D1639" i="1"/>
  <c r="C1639" i="1"/>
  <c r="G1638" i="1"/>
  <c r="F1638" i="1"/>
  <c r="E1638" i="1"/>
  <c r="D1638" i="1"/>
  <c r="C1638" i="1"/>
  <c r="G1637" i="1"/>
  <c r="F1637" i="1"/>
  <c r="E1637" i="1"/>
  <c r="D1637" i="1"/>
  <c r="C1637" i="1"/>
  <c r="G1636" i="1"/>
  <c r="F1636" i="1"/>
  <c r="E1636" i="1"/>
  <c r="D1636" i="1"/>
  <c r="C1636" i="1"/>
  <c r="G1635" i="1"/>
  <c r="F1635" i="1"/>
  <c r="E1635" i="1"/>
  <c r="D1635" i="1"/>
  <c r="C1635" i="1"/>
  <c r="G1634" i="1"/>
  <c r="F1634" i="1"/>
  <c r="E1634" i="1"/>
  <c r="D1634" i="1"/>
  <c r="C1634" i="1"/>
  <c r="G1633" i="1"/>
  <c r="F1633" i="1"/>
  <c r="E1633" i="1"/>
  <c r="D1633" i="1"/>
  <c r="C1633" i="1"/>
  <c r="G1632" i="1"/>
  <c r="F1632" i="1"/>
  <c r="E1632" i="1"/>
  <c r="D1632" i="1"/>
  <c r="C1632" i="1"/>
  <c r="G1631" i="1"/>
  <c r="F1631" i="1"/>
  <c r="E1631" i="1"/>
  <c r="D1631" i="1"/>
  <c r="C1631" i="1"/>
  <c r="G1630" i="1"/>
  <c r="F1630" i="1"/>
  <c r="E1630" i="1"/>
  <c r="D1630" i="1"/>
  <c r="C1630" i="1"/>
  <c r="G1629" i="1"/>
  <c r="F1629" i="1"/>
  <c r="E1629" i="1"/>
  <c r="D1629" i="1"/>
  <c r="C1629" i="1"/>
  <c r="G1628" i="1"/>
  <c r="F1628" i="1"/>
  <c r="E1628" i="1"/>
  <c r="D1628" i="1"/>
  <c r="C1628" i="1"/>
  <c r="G1627" i="1"/>
  <c r="F1627" i="1"/>
  <c r="E1627" i="1"/>
  <c r="D1627" i="1"/>
  <c r="C1627" i="1"/>
  <c r="G1626" i="1"/>
  <c r="F1626" i="1"/>
  <c r="E1626" i="1"/>
  <c r="D1626" i="1"/>
  <c r="C1626" i="1"/>
  <c r="G1625" i="1"/>
  <c r="F1625" i="1"/>
  <c r="E1625" i="1"/>
  <c r="D1625" i="1"/>
  <c r="C1625" i="1"/>
  <c r="G1624" i="1"/>
  <c r="F1624" i="1"/>
  <c r="E1624" i="1"/>
  <c r="D1624" i="1"/>
  <c r="C1624" i="1"/>
  <c r="G1623" i="1"/>
  <c r="F1623" i="1"/>
  <c r="E1623" i="1"/>
  <c r="D1623" i="1"/>
  <c r="C1623" i="1"/>
  <c r="G1622" i="1"/>
  <c r="F1622" i="1"/>
  <c r="E1622" i="1"/>
  <c r="D1622" i="1"/>
  <c r="C1622" i="1"/>
  <c r="G1621" i="1"/>
  <c r="F1621" i="1"/>
  <c r="E1621" i="1"/>
  <c r="D1621" i="1"/>
  <c r="C1621" i="1"/>
  <c r="G1620" i="1"/>
  <c r="F1620" i="1"/>
  <c r="E1620" i="1"/>
  <c r="D1620" i="1"/>
  <c r="C1620" i="1"/>
  <c r="G1619" i="1"/>
  <c r="F1619" i="1"/>
  <c r="E1619" i="1"/>
  <c r="D1619" i="1"/>
  <c r="C1619" i="1"/>
  <c r="G1618" i="1"/>
  <c r="F1618" i="1"/>
  <c r="E1618" i="1"/>
  <c r="D1618" i="1"/>
  <c r="C1618" i="1"/>
  <c r="G1617" i="1"/>
  <c r="F1617" i="1"/>
  <c r="E1617" i="1"/>
  <c r="D1617" i="1"/>
  <c r="C1617" i="1"/>
  <c r="G1616" i="1"/>
  <c r="F1616" i="1"/>
  <c r="E1616" i="1"/>
  <c r="D1616" i="1"/>
  <c r="C1616" i="1"/>
  <c r="G1615" i="1"/>
  <c r="F1615" i="1"/>
  <c r="E1615" i="1"/>
  <c r="D1615" i="1"/>
  <c r="C1615" i="1"/>
  <c r="G1614" i="1"/>
  <c r="F1614" i="1"/>
  <c r="E1614" i="1"/>
  <c r="D1614" i="1"/>
  <c r="C1614" i="1"/>
  <c r="G1613" i="1"/>
  <c r="F1613" i="1"/>
  <c r="E1613" i="1"/>
  <c r="D1613" i="1"/>
  <c r="C1613" i="1"/>
  <c r="G1612" i="1"/>
  <c r="F1612" i="1"/>
  <c r="E1612" i="1"/>
  <c r="D1612" i="1"/>
  <c r="C1612" i="1"/>
  <c r="G1611" i="1"/>
  <c r="F1611" i="1"/>
  <c r="E1611" i="1"/>
  <c r="D1611" i="1"/>
  <c r="C1611" i="1"/>
  <c r="G1610" i="1"/>
  <c r="F1610" i="1"/>
  <c r="E1610" i="1"/>
  <c r="D1610" i="1"/>
  <c r="C1610" i="1"/>
  <c r="G1609" i="1"/>
  <c r="F1609" i="1"/>
  <c r="E1609" i="1"/>
  <c r="D1609" i="1"/>
  <c r="C1609" i="1"/>
  <c r="G1608" i="1"/>
  <c r="F1608" i="1"/>
  <c r="E1608" i="1"/>
  <c r="D1608" i="1"/>
  <c r="C1608" i="1"/>
  <c r="G1607" i="1"/>
  <c r="F1607" i="1"/>
  <c r="E1607" i="1"/>
  <c r="D1607" i="1"/>
  <c r="C1607" i="1"/>
  <c r="G1606" i="1"/>
  <c r="F1606" i="1"/>
  <c r="E1606" i="1"/>
  <c r="D1606" i="1"/>
  <c r="C1606" i="1"/>
  <c r="G1605" i="1"/>
  <c r="F1605" i="1"/>
  <c r="E1605" i="1"/>
  <c r="D1605" i="1"/>
  <c r="C1605" i="1"/>
  <c r="G1604" i="1"/>
  <c r="F1604" i="1"/>
  <c r="E1604" i="1"/>
  <c r="D1604" i="1"/>
  <c r="C1604" i="1"/>
  <c r="G1603" i="1"/>
  <c r="F1603" i="1"/>
  <c r="E1603" i="1"/>
  <c r="D1603" i="1"/>
  <c r="C1603" i="1"/>
  <c r="G1602" i="1"/>
  <c r="F1602" i="1"/>
  <c r="E1602" i="1"/>
  <c r="D1602" i="1"/>
  <c r="C1602" i="1"/>
  <c r="G1601" i="1"/>
  <c r="F1601" i="1"/>
  <c r="E1601" i="1"/>
  <c r="D1601" i="1"/>
  <c r="C1601" i="1"/>
  <c r="G1600" i="1"/>
  <c r="F1600" i="1"/>
  <c r="E1600" i="1"/>
  <c r="D1600" i="1"/>
  <c r="C1600" i="1"/>
  <c r="G1599" i="1"/>
  <c r="F1599" i="1"/>
  <c r="E1599" i="1"/>
  <c r="D1599" i="1"/>
  <c r="C1599" i="1"/>
  <c r="G1598" i="1"/>
  <c r="F1598" i="1"/>
  <c r="E1598" i="1"/>
  <c r="D1598" i="1"/>
  <c r="C1598" i="1"/>
  <c r="G1597" i="1"/>
  <c r="F1597" i="1"/>
  <c r="E1597" i="1"/>
  <c r="D1597" i="1"/>
  <c r="C1597" i="1"/>
  <c r="G1596" i="1"/>
  <c r="F1596" i="1"/>
  <c r="E1596" i="1"/>
  <c r="D1596" i="1"/>
  <c r="C1596" i="1"/>
  <c r="G1595" i="1"/>
  <c r="F1595" i="1"/>
  <c r="E1595" i="1"/>
  <c r="D1595" i="1"/>
  <c r="C1595" i="1"/>
  <c r="G1594" i="1"/>
  <c r="F1594" i="1"/>
  <c r="E1594" i="1"/>
  <c r="D1594" i="1"/>
  <c r="C1594" i="1"/>
  <c r="G1593" i="1"/>
  <c r="F1593" i="1"/>
  <c r="E1593" i="1"/>
  <c r="D1593" i="1"/>
  <c r="C1593" i="1"/>
  <c r="G1592" i="1"/>
  <c r="F1592" i="1"/>
  <c r="E1592" i="1"/>
  <c r="D1592" i="1"/>
  <c r="C1592" i="1"/>
  <c r="G1591" i="1"/>
  <c r="F1591" i="1"/>
  <c r="E1591" i="1"/>
  <c r="D1591" i="1"/>
  <c r="C1591" i="1"/>
  <c r="G1590" i="1"/>
  <c r="F1590" i="1"/>
  <c r="E1590" i="1"/>
  <c r="D1590" i="1"/>
  <c r="C1590" i="1"/>
  <c r="G1589" i="1"/>
  <c r="F1589" i="1"/>
  <c r="E1589" i="1"/>
  <c r="D1589" i="1"/>
  <c r="C1589" i="1"/>
  <c r="G1588" i="1"/>
  <c r="F1588" i="1"/>
  <c r="E1588" i="1"/>
  <c r="D1588" i="1"/>
  <c r="C1588" i="1"/>
  <c r="G1587" i="1"/>
  <c r="F1587" i="1"/>
  <c r="E1587" i="1"/>
  <c r="D1587" i="1"/>
  <c r="C1587" i="1"/>
  <c r="G1586" i="1"/>
  <c r="F1586" i="1"/>
  <c r="E1586" i="1"/>
  <c r="D1586" i="1"/>
  <c r="C1586" i="1"/>
  <c r="G1585" i="1"/>
  <c r="F1585" i="1"/>
  <c r="E1585" i="1"/>
  <c r="D1585" i="1"/>
  <c r="C1585" i="1"/>
  <c r="G1584" i="1"/>
  <c r="F1584" i="1"/>
  <c r="E1584" i="1"/>
  <c r="D1584" i="1"/>
  <c r="C1584" i="1"/>
  <c r="G1583" i="1"/>
  <c r="F1583" i="1"/>
  <c r="E1583" i="1"/>
  <c r="D1583" i="1"/>
  <c r="C1583" i="1"/>
  <c r="G1582" i="1"/>
  <c r="F1582" i="1"/>
  <c r="E1582" i="1"/>
  <c r="D1582" i="1"/>
  <c r="C1582" i="1"/>
  <c r="G1581" i="1"/>
  <c r="F1581" i="1"/>
  <c r="E1581" i="1"/>
  <c r="D1581" i="1"/>
  <c r="C1581" i="1"/>
  <c r="G1580" i="1"/>
  <c r="F1580" i="1"/>
  <c r="E1580" i="1"/>
  <c r="D1580" i="1"/>
  <c r="C1580" i="1"/>
  <c r="G1579" i="1"/>
  <c r="F1579" i="1"/>
  <c r="E1579" i="1"/>
  <c r="D1579" i="1"/>
  <c r="C1579" i="1"/>
  <c r="G1578" i="1"/>
  <c r="F1578" i="1"/>
  <c r="E1578" i="1"/>
  <c r="D1578" i="1"/>
  <c r="C1578" i="1"/>
  <c r="G1577" i="1"/>
  <c r="F1577" i="1"/>
  <c r="E1577" i="1"/>
  <c r="D1577" i="1"/>
  <c r="C1577" i="1"/>
  <c r="G1576" i="1"/>
  <c r="F1576" i="1"/>
  <c r="E1576" i="1"/>
  <c r="D1576" i="1"/>
  <c r="C1576" i="1"/>
  <c r="G1575" i="1"/>
  <c r="F1575" i="1"/>
  <c r="E1575" i="1"/>
  <c r="D1575" i="1"/>
  <c r="C1575" i="1"/>
  <c r="G1574" i="1"/>
  <c r="F1574" i="1"/>
  <c r="E1574" i="1"/>
  <c r="D1574" i="1"/>
  <c r="C1574" i="1"/>
  <c r="G1573" i="1"/>
  <c r="F1573" i="1"/>
  <c r="E1573" i="1"/>
  <c r="D1573" i="1"/>
  <c r="C1573" i="1"/>
  <c r="G1572" i="1"/>
  <c r="F1572" i="1"/>
  <c r="E1572" i="1"/>
  <c r="D1572" i="1"/>
  <c r="C1572" i="1"/>
  <c r="G1571" i="1"/>
  <c r="F1571" i="1"/>
  <c r="E1571" i="1"/>
  <c r="D1571" i="1"/>
  <c r="C1571" i="1"/>
  <c r="G1570" i="1"/>
  <c r="F1570" i="1"/>
  <c r="E1570" i="1"/>
  <c r="D1570" i="1"/>
  <c r="C1570" i="1"/>
  <c r="G1569" i="1"/>
  <c r="F1569" i="1"/>
  <c r="E1569" i="1"/>
  <c r="D1569" i="1"/>
  <c r="C1569" i="1"/>
  <c r="G1568" i="1"/>
  <c r="F1568" i="1"/>
  <c r="E1568" i="1"/>
  <c r="D1568" i="1"/>
  <c r="C1568" i="1"/>
  <c r="G1567" i="1"/>
  <c r="F1567" i="1"/>
  <c r="E1567" i="1"/>
  <c r="D1567" i="1"/>
  <c r="C1567" i="1"/>
  <c r="G1566" i="1"/>
  <c r="F1566" i="1"/>
  <c r="E1566" i="1"/>
  <c r="D1566" i="1"/>
  <c r="C1566" i="1"/>
  <c r="G1565" i="1"/>
  <c r="F1565" i="1"/>
  <c r="E1565" i="1"/>
  <c r="D1565" i="1"/>
  <c r="C1565" i="1"/>
  <c r="G1564" i="1"/>
  <c r="F1564" i="1"/>
  <c r="E1564" i="1"/>
  <c r="D1564" i="1"/>
  <c r="C1564" i="1"/>
  <c r="G1563" i="1"/>
  <c r="F1563" i="1"/>
  <c r="E1563" i="1"/>
  <c r="D1563" i="1"/>
  <c r="C1563" i="1"/>
  <c r="G1562" i="1"/>
  <c r="F1562" i="1"/>
  <c r="E1562" i="1"/>
  <c r="D1562" i="1"/>
  <c r="C1562" i="1"/>
  <c r="G1561" i="1"/>
  <c r="F1561" i="1"/>
  <c r="E1561" i="1"/>
  <c r="D1561" i="1"/>
  <c r="C1561" i="1"/>
  <c r="G1560" i="1"/>
  <c r="F1560" i="1"/>
  <c r="E1560" i="1"/>
  <c r="D1560" i="1"/>
  <c r="C1560" i="1"/>
  <c r="G1559" i="1"/>
  <c r="F1559" i="1"/>
  <c r="E1559" i="1"/>
  <c r="D1559" i="1"/>
  <c r="C1559" i="1"/>
  <c r="G1558" i="1"/>
  <c r="F1558" i="1"/>
  <c r="E1558" i="1"/>
  <c r="D1558" i="1"/>
  <c r="C1558" i="1"/>
  <c r="G1557" i="1"/>
  <c r="F1557" i="1"/>
  <c r="E1557" i="1"/>
  <c r="D1557" i="1"/>
  <c r="C1557" i="1"/>
  <c r="G1556" i="1"/>
  <c r="F1556" i="1"/>
  <c r="E1556" i="1"/>
  <c r="D1556" i="1"/>
  <c r="C1556" i="1"/>
  <c r="G1555" i="1"/>
  <c r="F1555" i="1"/>
  <c r="E1555" i="1"/>
  <c r="D1555" i="1"/>
  <c r="C1555" i="1"/>
  <c r="G1554" i="1"/>
  <c r="F1554" i="1"/>
  <c r="E1554" i="1"/>
  <c r="D1554" i="1"/>
  <c r="C1554" i="1"/>
  <c r="G1553" i="1"/>
  <c r="F1553" i="1"/>
  <c r="E1553" i="1"/>
  <c r="D1553" i="1"/>
  <c r="C1553" i="1"/>
  <c r="G1552" i="1"/>
  <c r="F1552" i="1"/>
  <c r="E1552" i="1"/>
  <c r="D1552" i="1"/>
  <c r="C1552" i="1"/>
  <c r="G1551" i="1"/>
  <c r="F1551" i="1"/>
  <c r="E1551" i="1"/>
  <c r="D1551" i="1"/>
  <c r="C1551" i="1"/>
  <c r="G1550" i="1"/>
  <c r="F1550" i="1"/>
  <c r="E1550" i="1"/>
  <c r="D1550" i="1"/>
  <c r="C1550" i="1"/>
  <c r="G1549" i="1"/>
  <c r="F1549" i="1"/>
  <c r="E1549" i="1"/>
  <c r="D1549" i="1"/>
  <c r="C1549" i="1"/>
  <c r="G1548" i="1"/>
  <c r="F1548" i="1"/>
  <c r="E1548" i="1"/>
  <c r="D1548" i="1"/>
  <c r="C1548" i="1"/>
  <c r="G1547" i="1"/>
  <c r="F1547" i="1"/>
  <c r="E1547" i="1"/>
  <c r="D1547" i="1"/>
  <c r="C1547" i="1"/>
  <c r="G1546" i="1"/>
  <c r="F1546" i="1"/>
  <c r="E1546" i="1"/>
  <c r="D1546" i="1"/>
  <c r="C1546" i="1"/>
  <c r="G1545" i="1"/>
  <c r="F1545" i="1"/>
  <c r="E1545" i="1"/>
  <c r="D1545" i="1"/>
  <c r="C1545" i="1"/>
  <c r="G1544" i="1"/>
  <c r="F1544" i="1"/>
  <c r="E1544" i="1"/>
  <c r="D1544" i="1"/>
  <c r="C1544" i="1"/>
  <c r="G1543" i="1"/>
  <c r="F1543" i="1"/>
  <c r="E1543" i="1"/>
  <c r="D1543" i="1"/>
  <c r="C1543" i="1"/>
  <c r="G1542" i="1"/>
  <c r="F1542" i="1"/>
  <c r="E1542" i="1"/>
  <c r="D1542" i="1"/>
  <c r="C1542" i="1"/>
  <c r="G1541" i="1"/>
  <c r="F1541" i="1"/>
  <c r="E1541" i="1"/>
  <c r="D1541" i="1"/>
  <c r="C1541" i="1"/>
  <c r="G1540" i="1"/>
  <c r="F1540" i="1"/>
  <c r="E1540" i="1"/>
  <c r="D1540" i="1"/>
  <c r="C1540" i="1"/>
  <c r="G1539" i="1"/>
  <c r="F1539" i="1"/>
  <c r="E1539" i="1"/>
  <c r="D1539" i="1"/>
  <c r="C1539" i="1"/>
  <c r="G1538" i="1"/>
  <c r="F1538" i="1"/>
  <c r="E1538" i="1"/>
  <c r="D1538" i="1"/>
  <c r="C1538" i="1"/>
  <c r="G1537" i="1"/>
  <c r="F1537" i="1"/>
  <c r="E1537" i="1"/>
  <c r="D1537" i="1"/>
  <c r="C1537" i="1"/>
  <c r="G1536" i="1"/>
  <c r="F1536" i="1"/>
  <c r="E1536" i="1"/>
  <c r="D1536" i="1"/>
  <c r="C1536" i="1"/>
  <c r="G1535" i="1"/>
  <c r="F1535" i="1"/>
  <c r="E1535" i="1"/>
  <c r="D1535" i="1"/>
  <c r="C1535" i="1"/>
  <c r="G1534" i="1"/>
  <c r="F1534" i="1"/>
  <c r="E1534" i="1"/>
  <c r="D1534" i="1"/>
  <c r="C1534" i="1"/>
  <c r="G1533" i="1"/>
  <c r="F1533" i="1"/>
  <c r="E1533" i="1"/>
  <c r="D1533" i="1"/>
  <c r="C1533" i="1"/>
  <c r="G1532" i="1"/>
  <c r="F1532" i="1"/>
  <c r="E1532" i="1"/>
  <c r="D1532" i="1"/>
  <c r="C1532" i="1"/>
  <c r="G1531" i="1"/>
  <c r="F1531" i="1"/>
  <c r="E1531" i="1"/>
  <c r="D1531" i="1"/>
  <c r="C1531" i="1"/>
  <c r="G1530" i="1"/>
  <c r="F1530" i="1"/>
  <c r="E1530" i="1"/>
  <c r="D1530" i="1"/>
  <c r="C1530" i="1"/>
  <c r="G1529" i="1"/>
  <c r="F1529" i="1"/>
  <c r="E1529" i="1"/>
  <c r="D1529" i="1"/>
  <c r="C1529" i="1"/>
  <c r="G1528" i="1"/>
  <c r="F1528" i="1"/>
  <c r="E1528" i="1"/>
  <c r="D1528" i="1"/>
  <c r="C1528" i="1"/>
  <c r="G1527" i="1"/>
  <c r="F1527" i="1"/>
  <c r="E1527" i="1"/>
  <c r="D1527" i="1"/>
  <c r="C1527" i="1"/>
  <c r="G1526" i="1"/>
  <c r="F1526" i="1"/>
  <c r="E1526" i="1"/>
  <c r="D1526" i="1"/>
  <c r="C1526" i="1"/>
  <c r="G1525" i="1"/>
  <c r="F1525" i="1"/>
  <c r="E1525" i="1"/>
  <c r="D1525" i="1"/>
  <c r="C1525" i="1"/>
  <c r="G1524" i="1"/>
  <c r="F1524" i="1"/>
  <c r="E1524" i="1"/>
  <c r="D1524" i="1"/>
  <c r="C1524" i="1"/>
  <c r="G1523" i="1"/>
  <c r="F1523" i="1"/>
  <c r="E1523" i="1"/>
  <c r="D1523" i="1"/>
  <c r="C1523" i="1"/>
  <c r="G1522" i="1"/>
  <c r="F1522" i="1"/>
  <c r="E1522" i="1"/>
  <c r="D1522" i="1"/>
  <c r="C1522" i="1"/>
  <c r="G1521" i="1"/>
  <c r="F1521" i="1"/>
  <c r="E1521" i="1"/>
  <c r="D1521" i="1"/>
  <c r="C1521" i="1"/>
  <c r="G1520" i="1"/>
  <c r="F1520" i="1"/>
  <c r="E1520" i="1"/>
  <c r="D1520" i="1"/>
  <c r="C1520" i="1"/>
  <c r="G1519" i="1"/>
  <c r="F1519" i="1"/>
  <c r="E1519" i="1"/>
  <c r="D1519" i="1"/>
  <c r="C1519" i="1"/>
  <c r="G1518" i="1"/>
  <c r="F1518" i="1"/>
  <c r="E1518" i="1"/>
  <c r="D1518" i="1"/>
  <c r="C1518" i="1"/>
  <c r="G1517" i="1"/>
  <c r="F1517" i="1"/>
  <c r="E1517" i="1"/>
  <c r="D1517" i="1"/>
  <c r="C1517" i="1"/>
  <c r="G1516" i="1"/>
  <c r="F1516" i="1"/>
  <c r="E1516" i="1"/>
  <c r="D1516" i="1"/>
  <c r="C1516" i="1"/>
  <c r="G1515" i="1"/>
  <c r="F1515" i="1"/>
  <c r="E1515" i="1"/>
  <c r="D1515" i="1"/>
  <c r="C1515" i="1"/>
  <c r="G1514" i="1"/>
  <c r="F1514" i="1"/>
  <c r="E1514" i="1"/>
  <c r="D1514" i="1"/>
  <c r="C1514" i="1"/>
  <c r="G1513" i="1"/>
  <c r="F1513" i="1"/>
  <c r="E1513" i="1"/>
  <c r="D1513" i="1"/>
  <c r="C1513" i="1"/>
  <c r="G1512" i="1"/>
  <c r="F1512" i="1"/>
  <c r="E1512" i="1"/>
  <c r="D1512" i="1"/>
  <c r="C1512" i="1"/>
  <c r="G1511" i="1"/>
  <c r="F1511" i="1"/>
  <c r="E1511" i="1"/>
  <c r="D1511" i="1"/>
  <c r="C1511" i="1"/>
  <c r="G1510" i="1"/>
  <c r="F1510" i="1"/>
  <c r="E1510" i="1"/>
  <c r="D1510" i="1"/>
  <c r="C1510" i="1"/>
  <c r="G1509" i="1"/>
  <c r="F1509" i="1"/>
  <c r="E1509" i="1"/>
  <c r="D1509" i="1"/>
  <c r="C1509" i="1"/>
  <c r="G1508" i="1"/>
  <c r="F1508" i="1"/>
  <c r="E1508" i="1"/>
  <c r="D1508" i="1"/>
  <c r="C1508" i="1"/>
  <c r="G1507" i="1"/>
  <c r="F1507" i="1"/>
  <c r="E1507" i="1"/>
  <c r="D1507" i="1"/>
  <c r="C1507" i="1"/>
  <c r="G1506" i="1"/>
  <c r="F1506" i="1"/>
  <c r="E1506" i="1"/>
  <c r="D1506" i="1"/>
  <c r="C1506" i="1"/>
  <c r="G1505" i="1"/>
  <c r="F1505" i="1"/>
  <c r="E1505" i="1"/>
  <c r="D1505" i="1"/>
  <c r="C1505" i="1"/>
  <c r="G1504" i="1"/>
  <c r="F1504" i="1"/>
  <c r="E1504" i="1"/>
  <c r="D1504" i="1"/>
  <c r="C1504" i="1"/>
  <c r="G1503" i="1"/>
  <c r="F1503" i="1"/>
  <c r="E1503" i="1"/>
  <c r="D1503" i="1"/>
  <c r="C1503" i="1"/>
  <c r="G1502" i="1"/>
  <c r="F1502" i="1"/>
  <c r="E1502" i="1"/>
  <c r="D1502" i="1"/>
  <c r="C1502" i="1"/>
  <c r="G1501" i="1"/>
  <c r="F1501" i="1"/>
  <c r="E1501" i="1"/>
  <c r="D1501" i="1"/>
  <c r="C1501" i="1"/>
  <c r="G1500" i="1"/>
  <c r="F1500" i="1"/>
  <c r="E1500" i="1"/>
  <c r="D1500" i="1"/>
  <c r="C1500" i="1"/>
  <c r="G1499" i="1"/>
  <c r="F1499" i="1"/>
  <c r="E1499" i="1"/>
  <c r="D1499" i="1"/>
  <c r="C1499" i="1"/>
  <c r="G1498" i="1"/>
  <c r="F1498" i="1"/>
  <c r="E1498" i="1"/>
  <c r="D1498" i="1"/>
  <c r="C1498" i="1"/>
  <c r="G1497" i="1"/>
  <c r="F1497" i="1"/>
  <c r="E1497" i="1"/>
  <c r="D1497" i="1"/>
  <c r="C1497" i="1"/>
  <c r="G1496" i="1"/>
  <c r="F1496" i="1"/>
  <c r="E1496" i="1"/>
  <c r="D1496" i="1"/>
  <c r="C1496" i="1"/>
  <c r="G1495" i="1"/>
  <c r="F1495" i="1"/>
  <c r="E1495" i="1"/>
  <c r="D1495" i="1"/>
  <c r="C1495" i="1"/>
  <c r="G1494" i="1"/>
  <c r="F1494" i="1"/>
  <c r="E1494" i="1"/>
  <c r="D1494" i="1"/>
  <c r="C1494" i="1"/>
  <c r="G1493" i="1"/>
  <c r="F1493" i="1"/>
  <c r="E1493" i="1"/>
  <c r="D1493" i="1"/>
  <c r="C1493" i="1"/>
  <c r="G1492" i="1"/>
  <c r="F1492" i="1"/>
  <c r="E1492" i="1"/>
  <c r="D1492" i="1"/>
  <c r="C1492" i="1"/>
  <c r="G1491" i="1"/>
  <c r="F1491" i="1"/>
  <c r="E1491" i="1"/>
  <c r="D1491" i="1"/>
  <c r="C1491" i="1"/>
  <c r="G1490" i="1"/>
  <c r="F1490" i="1"/>
  <c r="E1490" i="1"/>
  <c r="D1490" i="1"/>
  <c r="C1490" i="1"/>
  <c r="G1489" i="1"/>
  <c r="F1489" i="1"/>
  <c r="E1489" i="1"/>
  <c r="D1489" i="1"/>
  <c r="C1489" i="1"/>
  <c r="G1488" i="1"/>
  <c r="F1488" i="1"/>
  <c r="E1488" i="1"/>
  <c r="D1488" i="1"/>
  <c r="C1488" i="1"/>
  <c r="G1487" i="1"/>
  <c r="F1487" i="1"/>
  <c r="E1487" i="1"/>
  <c r="D1487" i="1"/>
  <c r="C1487" i="1"/>
  <c r="G1486" i="1"/>
  <c r="F1486" i="1"/>
  <c r="E1486" i="1"/>
  <c r="D1486" i="1"/>
  <c r="C1486" i="1"/>
  <c r="G1485" i="1"/>
  <c r="F1485" i="1"/>
  <c r="E1485" i="1"/>
  <c r="D1485" i="1"/>
  <c r="C1485" i="1"/>
  <c r="G1484" i="1"/>
  <c r="F1484" i="1"/>
  <c r="E1484" i="1"/>
  <c r="D1484" i="1"/>
  <c r="C1484" i="1"/>
  <c r="G1483" i="1"/>
  <c r="F1483" i="1"/>
  <c r="E1483" i="1"/>
  <c r="D1483" i="1"/>
  <c r="C1483" i="1"/>
  <c r="G1482" i="1"/>
  <c r="F1482" i="1"/>
  <c r="E1482" i="1"/>
  <c r="D1482" i="1"/>
  <c r="C1482" i="1"/>
  <c r="G1481" i="1"/>
  <c r="F1481" i="1"/>
  <c r="E1481" i="1"/>
  <c r="D1481" i="1"/>
  <c r="C1481" i="1"/>
  <c r="G1480" i="1"/>
  <c r="F1480" i="1"/>
  <c r="E1480" i="1"/>
  <c r="D1480" i="1"/>
  <c r="C1480" i="1"/>
  <c r="G1479" i="1"/>
  <c r="F1479" i="1"/>
  <c r="E1479" i="1"/>
  <c r="D1479" i="1"/>
  <c r="C1479" i="1"/>
  <c r="G1478" i="1"/>
  <c r="F1478" i="1"/>
  <c r="E1478" i="1"/>
  <c r="D1478" i="1"/>
  <c r="C1478" i="1"/>
  <c r="G1477" i="1"/>
  <c r="F1477" i="1"/>
  <c r="E1477" i="1"/>
  <c r="D1477" i="1"/>
  <c r="C1477" i="1"/>
  <c r="G1476" i="1"/>
  <c r="F1476" i="1"/>
  <c r="E1476" i="1"/>
  <c r="D1476" i="1"/>
  <c r="C1476" i="1"/>
  <c r="G1475" i="1"/>
  <c r="F1475" i="1"/>
  <c r="E1475" i="1"/>
  <c r="D1475" i="1"/>
  <c r="C1475" i="1"/>
  <c r="G1474" i="1"/>
  <c r="F1474" i="1"/>
  <c r="E1474" i="1"/>
  <c r="D1474" i="1"/>
  <c r="C1474" i="1"/>
  <c r="G1473" i="1"/>
  <c r="F1473" i="1"/>
  <c r="E1473" i="1"/>
  <c r="D1473" i="1"/>
  <c r="C1473" i="1"/>
  <c r="G1472" i="1"/>
  <c r="F1472" i="1"/>
  <c r="E1472" i="1"/>
  <c r="D1472" i="1"/>
  <c r="C1472" i="1"/>
  <c r="G1471" i="1"/>
  <c r="F1471" i="1"/>
  <c r="E1471" i="1"/>
  <c r="D1471" i="1"/>
  <c r="C1471" i="1"/>
  <c r="G1470" i="1"/>
  <c r="F1470" i="1"/>
  <c r="E1470" i="1"/>
  <c r="D1470" i="1"/>
  <c r="C1470" i="1"/>
  <c r="G1469" i="1"/>
  <c r="F1469" i="1"/>
  <c r="E1469" i="1"/>
  <c r="D1469" i="1"/>
  <c r="C1469" i="1"/>
  <c r="G1468" i="1"/>
  <c r="F1468" i="1"/>
  <c r="E1468" i="1"/>
  <c r="D1468" i="1"/>
  <c r="C1468" i="1"/>
  <c r="G1467" i="1"/>
  <c r="F1467" i="1"/>
  <c r="E1467" i="1"/>
  <c r="D1467" i="1"/>
  <c r="C1467" i="1"/>
  <c r="G1466" i="1"/>
  <c r="F1466" i="1"/>
  <c r="E1466" i="1"/>
  <c r="D1466" i="1"/>
  <c r="C1466" i="1"/>
  <c r="G1465" i="1"/>
  <c r="F1465" i="1"/>
  <c r="E1465" i="1"/>
  <c r="D1465" i="1"/>
  <c r="C1465" i="1"/>
  <c r="G1464" i="1"/>
  <c r="F1464" i="1"/>
  <c r="E1464" i="1"/>
  <c r="D1464" i="1"/>
  <c r="C1464" i="1"/>
  <c r="G1463" i="1"/>
  <c r="F1463" i="1"/>
  <c r="E1463" i="1"/>
  <c r="D1463" i="1"/>
  <c r="C1463" i="1"/>
  <c r="G1462" i="1"/>
  <c r="F1462" i="1"/>
  <c r="E1462" i="1"/>
  <c r="D1462" i="1"/>
  <c r="C1462" i="1"/>
  <c r="G1461" i="1"/>
  <c r="F1461" i="1"/>
  <c r="E1461" i="1"/>
  <c r="D1461" i="1"/>
  <c r="C1461" i="1"/>
  <c r="G1460" i="1"/>
  <c r="F1460" i="1"/>
  <c r="E1460" i="1"/>
  <c r="D1460" i="1"/>
  <c r="C1460" i="1"/>
  <c r="G1459" i="1"/>
  <c r="F1459" i="1"/>
  <c r="E1459" i="1"/>
  <c r="D1459" i="1"/>
  <c r="C1459" i="1"/>
  <c r="G1458" i="1"/>
  <c r="F1458" i="1"/>
  <c r="E1458" i="1"/>
  <c r="D1458" i="1"/>
  <c r="C1458" i="1"/>
  <c r="G1457" i="1"/>
  <c r="F1457" i="1"/>
  <c r="E1457" i="1"/>
  <c r="D1457" i="1"/>
  <c r="C1457" i="1"/>
  <c r="G1456" i="1"/>
  <c r="F1456" i="1"/>
  <c r="E1456" i="1"/>
  <c r="D1456" i="1"/>
  <c r="C1456" i="1"/>
  <c r="G1455" i="1"/>
  <c r="F1455" i="1"/>
  <c r="E1455" i="1"/>
  <c r="D1455" i="1"/>
  <c r="C1455" i="1"/>
  <c r="G1454" i="1"/>
  <c r="F1454" i="1"/>
  <c r="E1454" i="1"/>
  <c r="D1454" i="1"/>
  <c r="C1454" i="1"/>
  <c r="G1453" i="1"/>
  <c r="F1453" i="1"/>
  <c r="E1453" i="1"/>
  <c r="D1453" i="1"/>
  <c r="C1453" i="1"/>
  <c r="G1452" i="1"/>
  <c r="F1452" i="1"/>
  <c r="E1452" i="1"/>
  <c r="D1452" i="1"/>
  <c r="C1452" i="1"/>
  <c r="G1451" i="1"/>
  <c r="F1451" i="1"/>
  <c r="E1451" i="1"/>
  <c r="D1451" i="1"/>
  <c r="C1451" i="1"/>
  <c r="G1450" i="1"/>
  <c r="F1450" i="1"/>
  <c r="E1450" i="1"/>
  <c r="D1450" i="1"/>
  <c r="C1450" i="1"/>
  <c r="G1449" i="1"/>
  <c r="F1449" i="1"/>
  <c r="E1449" i="1"/>
  <c r="D1449" i="1"/>
  <c r="C1449" i="1"/>
  <c r="G1448" i="1"/>
  <c r="F1448" i="1"/>
  <c r="E1448" i="1"/>
  <c r="D1448" i="1"/>
  <c r="C1448" i="1"/>
  <c r="G1447" i="1"/>
  <c r="F1447" i="1"/>
  <c r="E1447" i="1"/>
  <c r="D1447" i="1"/>
  <c r="C1447" i="1"/>
  <c r="G1446" i="1"/>
  <c r="F1446" i="1"/>
  <c r="E1446" i="1"/>
  <c r="D1446" i="1"/>
  <c r="C1446" i="1"/>
  <c r="G1445" i="1"/>
  <c r="F1445" i="1"/>
  <c r="E1445" i="1"/>
  <c r="D1445" i="1"/>
  <c r="C1445" i="1"/>
  <c r="G1444" i="1"/>
  <c r="F1444" i="1"/>
  <c r="E1444" i="1"/>
  <c r="D1444" i="1"/>
  <c r="C1444" i="1"/>
  <c r="G1443" i="1"/>
  <c r="F1443" i="1"/>
  <c r="E1443" i="1"/>
  <c r="D1443" i="1"/>
  <c r="C1443" i="1"/>
  <c r="G1442" i="1"/>
  <c r="F1442" i="1"/>
  <c r="E1442" i="1"/>
  <c r="D1442" i="1"/>
  <c r="C1442" i="1"/>
  <c r="G1441" i="1"/>
  <c r="F1441" i="1"/>
  <c r="E1441" i="1"/>
  <c r="D1441" i="1"/>
  <c r="C1441" i="1"/>
  <c r="G1440" i="1"/>
  <c r="F1440" i="1"/>
  <c r="E1440" i="1"/>
  <c r="D1440" i="1"/>
  <c r="C1440" i="1"/>
  <c r="G1439" i="1"/>
  <c r="F1439" i="1"/>
  <c r="E1439" i="1"/>
  <c r="D1439" i="1"/>
  <c r="C1439" i="1"/>
  <c r="G1438" i="1"/>
  <c r="F1438" i="1"/>
  <c r="E1438" i="1"/>
  <c r="D1438" i="1"/>
  <c r="C1438" i="1"/>
  <c r="G1437" i="1"/>
  <c r="F1437" i="1"/>
  <c r="E1437" i="1"/>
  <c r="D1437" i="1"/>
  <c r="C1437" i="1"/>
  <c r="G1436" i="1"/>
  <c r="F1436" i="1"/>
  <c r="E1436" i="1"/>
  <c r="D1436" i="1"/>
  <c r="C1436" i="1"/>
  <c r="G1435" i="1"/>
  <c r="F1435" i="1"/>
  <c r="E1435" i="1"/>
  <c r="D1435" i="1"/>
  <c r="C1435" i="1"/>
  <c r="G1434" i="1"/>
  <c r="F1434" i="1"/>
  <c r="E1434" i="1"/>
  <c r="D1434" i="1"/>
  <c r="C1434" i="1"/>
  <c r="G1433" i="1"/>
  <c r="F1433" i="1"/>
  <c r="E1433" i="1"/>
  <c r="D1433" i="1"/>
  <c r="C1433" i="1"/>
  <c r="G1432" i="1"/>
  <c r="F1432" i="1"/>
  <c r="E1432" i="1"/>
  <c r="D1432" i="1"/>
  <c r="C1432" i="1"/>
  <c r="G1431" i="1"/>
  <c r="F1431" i="1"/>
  <c r="E1431" i="1"/>
  <c r="D1431" i="1"/>
  <c r="C1431" i="1"/>
  <c r="G1430" i="1"/>
  <c r="F1430" i="1"/>
  <c r="E1430" i="1"/>
  <c r="D1430" i="1"/>
  <c r="C1430" i="1"/>
  <c r="G1429" i="1"/>
  <c r="F1429" i="1"/>
  <c r="E1429" i="1"/>
  <c r="D1429" i="1"/>
  <c r="C1429" i="1"/>
  <c r="G1428" i="1"/>
  <c r="F1428" i="1"/>
  <c r="E1428" i="1"/>
  <c r="D1428" i="1"/>
  <c r="C1428" i="1"/>
  <c r="G1427" i="1"/>
  <c r="F1427" i="1"/>
  <c r="E1427" i="1"/>
  <c r="D1427" i="1"/>
  <c r="C1427" i="1"/>
  <c r="G1426" i="1"/>
  <c r="F1426" i="1"/>
  <c r="E1426" i="1"/>
  <c r="D1426" i="1"/>
  <c r="C1426" i="1"/>
  <c r="G1425" i="1"/>
  <c r="F1425" i="1"/>
  <c r="E1425" i="1"/>
  <c r="D1425" i="1"/>
  <c r="C1425" i="1"/>
  <c r="G1424" i="1"/>
  <c r="F1424" i="1"/>
  <c r="E1424" i="1"/>
  <c r="D1424" i="1"/>
  <c r="C1424" i="1"/>
  <c r="G1423" i="1"/>
  <c r="F1423" i="1"/>
  <c r="E1423" i="1"/>
  <c r="D1423" i="1"/>
  <c r="C1423" i="1"/>
  <c r="G1422" i="1"/>
  <c r="F1422" i="1"/>
  <c r="E1422" i="1"/>
  <c r="D1422" i="1"/>
  <c r="C1422" i="1"/>
  <c r="G1421" i="1"/>
  <c r="F1421" i="1"/>
  <c r="E1421" i="1"/>
  <c r="D1421" i="1"/>
  <c r="C1421" i="1"/>
  <c r="G1420" i="1"/>
  <c r="F1420" i="1"/>
  <c r="E1420" i="1"/>
  <c r="D1420" i="1"/>
  <c r="C1420" i="1"/>
  <c r="G1419" i="1"/>
  <c r="F1419" i="1"/>
  <c r="E1419" i="1"/>
  <c r="D1419" i="1"/>
  <c r="C1419" i="1"/>
  <c r="G1418" i="1"/>
  <c r="F1418" i="1"/>
  <c r="E1418" i="1"/>
  <c r="D1418" i="1"/>
  <c r="C1418" i="1"/>
  <c r="G1417" i="1"/>
  <c r="F1417" i="1"/>
  <c r="E1417" i="1"/>
  <c r="D1417" i="1"/>
  <c r="C1417" i="1"/>
  <c r="G1416" i="1"/>
  <c r="F1416" i="1"/>
  <c r="E1416" i="1"/>
  <c r="D1416" i="1"/>
  <c r="C1416" i="1"/>
  <c r="G1415" i="1"/>
  <c r="F1415" i="1"/>
  <c r="E1415" i="1"/>
  <c r="D1415" i="1"/>
  <c r="C1415" i="1"/>
  <c r="G1414" i="1"/>
  <c r="F1414" i="1"/>
  <c r="E1414" i="1"/>
  <c r="D1414" i="1"/>
  <c r="C1414" i="1"/>
  <c r="G1413" i="1"/>
  <c r="F1413" i="1"/>
  <c r="E1413" i="1"/>
  <c r="D1413" i="1"/>
  <c r="C1413" i="1"/>
  <c r="G1412" i="1"/>
  <c r="F1412" i="1"/>
  <c r="E1412" i="1"/>
  <c r="D1412" i="1"/>
  <c r="C1412" i="1"/>
  <c r="G1411" i="1"/>
  <c r="F1411" i="1"/>
  <c r="E1411" i="1"/>
  <c r="D1411" i="1"/>
  <c r="C1411" i="1"/>
  <c r="G1410" i="1"/>
  <c r="F1410" i="1"/>
  <c r="E1410" i="1"/>
  <c r="D1410" i="1"/>
  <c r="C1410" i="1"/>
  <c r="G1409" i="1"/>
  <c r="F1409" i="1"/>
  <c r="E1409" i="1"/>
  <c r="D1409" i="1"/>
  <c r="C1409" i="1"/>
  <c r="G1408" i="1"/>
  <c r="F1408" i="1"/>
  <c r="E1408" i="1"/>
  <c r="D1408" i="1"/>
  <c r="C1408" i="1"/>
  <c r="G1407" i="1"/>
  <c r="F1407" i="1"/>
  <c r="E1407" i="1"/>
  <c r="D1407" i="1"/>
  <c r="C1407" i="1"/>
  <c r="G1406" i="1"/>
  <c r="F1406" i="1"/>
  <c r="E1406" i="1"/>
  <c r="D1406" i="1"/>
  <c r="C1406" i="1"/>
  <c r="G1405" i="1"/>
  <c r="F1405" i="1"/>
  <c r="E1405" i="1"/>
  <c r="D1405" i="1"/>
  <c r="C1405" i="1"/>
  <c r="G1404" i="1"/>
  <c r="F1404" i="1"/>
  <c r="E1404" i="1"/>
  <c r="D1404" i="1"/>
  <c r="C1404" i="1"/>
  <c r="G1403" i="1"/>
  <c r="F1403" i="1"/>
  <c r="E1403" i="1"/>
  <c r="D1403" i="1"/>
  <c r="C1403" i="1"/>
  <c r="G1402" i="1"/>
  <c r="F1402" i="1"/>
  <c r="E1402" i="1"/>
  <c r="D1402" i="1"/>
  <c r="C1402" i="1"/>
  <c r="G1401" i="1"/>
  <c r="F1401" i="1"/>
  <c r="E1401" i="1"/>
  <c r="D1401" i="1"/>
  <c r="C1401" i="1"/>
  <c r="G1400" i="1"/>
  <c r="F1400" i="1"/>
  <c r="E1400" i="1"/>
  <c r="D1400" i="1"/>
  <c r="C1400" i="1"/>
  <c r="G1399" i="1"/>
  <c r="F1399" i="1"/>
  <c r="E1399" i="1"/>
  <c r="D1399" i="1"/>
  <c r="C1399" i="1"/>
  <c r="G1398" i="1"/>
  <c r="F1398" i="1"/>
  <c r="E1398" i="1"/>
  <c r="D1398" i="1"/>
  <c r="C1398" i="1"/>
  <c r="G1397" i="1"/>
  <c r="F1397" i="1"/>
  <c r="E1397" i="1"/>
  <c r="D1397" i="1"/>
  <c r="C1397" i="1"/>
  <c r="G1396" i="1"/>
  <c r="F1396" i="1"/>
  <c r="E1396" i="1"/>
  <c r="D1396" i="1"/>
  <c r="C1396" i="1"/>
  <c r="G1395" i="1"/>
  <c r="F1395" i="1"/>
  <c r="E1395" i="1"/>
  <c r="D1395" i="1"/>
  <c r="C1395" i="1"/>
  <c r="G1394" i="1"/>
  <c r="F1394" i="1"/>
  <c r="E1394" i="1"/>
  <c r="D1394" i="1"/>
  <c r="C1394" i="1"/>
  <c r="G1393" i="1"/>
  <c r="F1393" i="1"/>
  <c r="E1393" i="1"/>
  <c r="D1393" i="1"/>
  <c r="C1393" i="1"/>
  <c r="G1392" i="1"/>
  <c r="F1392" i="1"/>
  <c r="E1392" i="1"/>
  <c r="D1392" i="1"/>
  <c r="C1392" i="1"/>
  <c r="G1391" i="1"/>
  <c r="F1391" i="1"/>
  <c r="E1391" i="1"/>
  <c r="D1391" i="1"/>
  <c r="C1391" i="1"/>
  <c r="G1390" i="1"/>
  <c r="F1390" i="1"/>
  <c r="E1390" i="1"/>
  <c r="D1390" i="1"/>
  <c r="C1390" i="1"/>
  <c r="G1389" i="1"/>
  <c r="F1389" i="1"/>
  <c r="E1389" i="1"/>
  <c r="D1389" i="1"/>
  <c r="C1389" i="1"/>
  <c r="G1388" i="1"/>
  <c r="F1388" i="1"/>
  <c r="E1388" i="1"/>
  <c r="D1388" i="1"/>
  <c r="C1388" i="1"/>
  <c r="G1387" i="1"/>
  <c r="F1387" i="1"/>
  <c r="E1387" i="1"/>
  <c r="D1387" i="1"/>
  <c r="C1387" i="1"/>
  <c r="G1386" i="1"/>
  <c r="F1386" i="1"/>
  <c r="E1386" i="1"/>
  <c r="D1386" i="1"/>
  <c r="C1386" i="1"/>
  <c r="G1385" i="1"/>
  <c r="F1385" i="1"/>
  <c r="E1385" i="1"/>
  <c r="D1385" i="1"/>
  <c r="C1385" i="1"/>
  <c r="G1384" i="1"/>
  <c r="F1384" i="1"/>
  <c r="E1384" i="1"/>
  <c r="D1384" i="1"/>
  <c r="C1384" i="1"/>
  <c r="G1383" i="1"/>
  <c r="F1383" i="1"/>
  <c r="E1383" i="1"/>
  <c r="D1383" i="1"/>
  <c r="C1383" i="1"/>
  <c r="G1382" i="1"/>
  <c r="F1382" i="1"/>
  <c r="E1382" i="1"/>
  <c r="D1382" i="1"/>
  <c r="C1382" i="1"/>
  <c r="G1381" i="1"/>
  <c r="F1381" i="1"/>
  <c r="E1381" i="1"/>
  <c r="D1381" i="1"/>
  <c r="C1381" i="1"/>
  <c r="G1380" i="1"/>
  <c r="F1380" i="1"/>
  <c r="E1380" i="1"/>
  <c r="D1380" i="1"/>
  <c r="C1380" i="1"/>
  <c r="G1379" i="1"/>
  <c r="F1379" i="1"/>
  <c r="E1379" i="1"/>
  <c r="D1379" i="1"/>
  <c r="C1379" i="1"/>
  <c r="G1378" i="1"/>
  <c r="F1378" i="1"/>
  <c r="E1378" i="1"/>
  <c r="D1378" i="1"/>
  <c r="C1378" i="1"/>
  <c r="G1377" i="1"/>
  <c r="F1377" i="1"/>
  <c r="E1377" i="1"/>
  <c r="D1377" i="1"/>
  <c r="C1377" i="1"/>
  <c r="G1376" i="1"/>
  <c r="F1376" i="1"/>
  <c r="E1376" i="1"/>
  <c r="D1376" i="1"/>
  <c r="C1376" i="1"/>
  <c r="G1375" i="1"/>
  <c r="F1375" i="1"/>
  <c r="E1375" i="1"/>
  <c r="D1375" i="1"/>
  <c r="C1375" i="1"/>
  <c r="G1374" i="1"/>
  <c r="F1374" i="1"/>
  <c r="E1374" i="1"/>
  <c r="D1374" i="1"/>
  <c r="C1374" i="1"/>
  <c r="G1373" i="1"/>
  <c r="F1373" i="1"/>
  <c r="E1373" i="1"/>
  <c r="D1373" i="1"/>
  <c r="C1373" i="1"/>
  <c r="G1372" i="1"/>
  <c r="F1372" i="1"/>
  <c r="E1372" i="1"/>
  <c r="D1372" i="1"/>
  <c r="C1372" i="1"/>
  <c r="G1371" i="1"/>
  <c r="F1371" i="1"/>
  <c r="E1371" i="1"/>
  <c r="D1371" i="1"/>
  <c r="C1371" i="1"/>
  <c r="G1370" i="1"/>
  <c r="F1370" i="1"/>
  <c r="E1370" i="1"/>
  <c r="D1370" i="1"/>
  <c r="C1370" i="1"/>
  <c r="G1369" i="1"/>
  <c r="F1369" i="1"/>
  <c r="E1369" i="1"/>
  <c r="D1369" i="1"/>
  <c r="C1369" i="1"/>
  <c r="G1368" i="1"/>
  <c r="F1368" i="1"/>
  <c r="E1368" i="1"/>
  <c r="D1368" i="1"/>
  <c r="C1368" i="1"/>
  <c r="G1367" i="1"/>
  <c r="F1367" i="1"/>
  <c r="E1367" i="1"/>
  <c r="D1367" i="1"/>
  <c r="C1367" i="1"/>
  <c r="G1366" i="1"/>
  <c r="F1366" i="1"/>
  <c r="E1366" i="1"/>
  <c r="D1366" i="1"/>
  <c r="C1366" i="1"/>
  <c r="G1365" i="1"/>
  <c r="F1365" i="1"/>
  <c r="E1365" i="1"/>
  <c r="D1365" i="1"/>
  <c r="C1365" i="1"/>
  <c r="G1364" i="1"/>
  <c r="F1364" i="1"/>
  <c r="E1364" i="1"/>
  <c r="D1364" i="1"/>
  <c r="C1364" i="1"/>
  <c r="G1363" i="1"/>
  <c r="F1363" i="1"/>
  <c r="E1363" i="1"/>
  <c r="D1363" i="1"/>
  <c r="C1363" i="1"/>
  <c r="G1362" i="1"/>
  <c r="F1362" i="1"/>
  <c r="E1362" i="1"/>
  <c r="D1362" i="1"/>
  <c r="C1362" i="1"/>
  <c r="G1361" i="1"/>
  <c r="F1361" i="1"/>
  <c r="E1361" i="1"/>
  <c r="D1361" i="1"/>
  <c r="C1361" i="1"/>
  <c r="G1360" i="1"/>
  <c r="F1360" i="1"/>
  <c r="E1360" i="1"/>
  <c r="D1360" i="1"/>
  <c r="C1360" i="1"/>
  <c r="G1359" i="1"/>
  <c r="F1359" i="1"/>
  <c r="E1359" i="1"/>
  <c r="D1359" i="1"/>
  <c r="C1359" i="1"/>
  <c r="G1358" i="1"/>
  <c r="F1358" i="1"/>
  <c r="E1358" i="1"/>
  <c r="D1358" i="1"/>
  <c r="C1358" i="1"/>
  <c r="G1357" i="1"/>
  <c r="F1357" i="1"/>
  <c r="E1357" i="1"/>
  <c r="D1357" i="1"/>
  <c r="C1357" i="1"/>
  <c r="G1356" i="1"/>
  <c r="F1356" i="1"/>
  <c r="E1356" i="1"/>
  <c r="D1356" i="1"/>
  <c r="C1356" i="1"/>
  <c r="G1355" i="1"/>
  <c r="F1355" i="1"/>
  <c r="E1355" i="1"/>
  <c r="D1355" i="1"/>
  <c r="C1355" i="1"/>
  <c r="G1354" i="1"/>
  <c r="F1354" i="1"/>
  <c r="E1354" i="1"/>
  <c r="D1354" i="1"/>
  <c r="C1354" i="1"/>
  <c r="G1353" i="1"/>
  <c r="F1353" i="1"/>
  <c r="E1353" i="1"/>
  <c r="D1353" i="1"/>
  <c r="C1353" i="1"/>
  <c r="G1352" i="1"/>
  <c r="F1352" i="1"/>
  <c r="E1352" i="1"/>
  <c r="D1352" i="1"/>
  <c r="C1352" i="1"/>
  <c r="G1351" i="1"/>
  <c r="F1351" i="1"/>
  <c r="E1351" i="1"/>
  <c r="D1351" i="1"/>
  <c r="C1351" i="1"/>
  <c r="G1350" i="1"/>
  <c r="F1350" i="1"/>
  <c r="E1350" i="1"/>
  <c r="D1350" i="1"/>
  <c r="C1350" i="1"/>
  <c r="G1349" i="1"/>
  <c r="F1349" i="1"/>
  <c r="E1349" i="1"/>
  <c r="D1349" i="1"/>
  <c r="C1349" i="1"/>
  <c r="G1348" i="1"/>
  <c r="F1348" i="1"/>
  <c r="E1348" i="1"/>
  <c r="D1348" i="1"/>
  <c r="C1348" i="1"/>
  <c r="G1347" i="1"/>
  <c r="F1347" i="1"/>
  <c r="E1347" i="1"/>
  <c r="D1347" i="1"/>
  <c r="C1347" i="1"/>
  <c r="G1346" i="1"/>
  <c r="F1346" i="1"/>
  <c r="E1346" i="1"/>
  <c r="D1346" i="1"/>
  <c r="C1346" i="1"/>
  <c r="G1345" i="1"/>
  <c r="F1345" i="1"/>
  <c r="E1345" i="1"/>
  <c r="D1345" i="1"/>
  <c r="C1345" i="1"/>
  <c r="G1344" i="1"/>
  <c r="F1344" i="1"/>
  <c r="E1344" i="1"/>
  <c r="D1344" i="1"/>
  <c r="C1344" i="1"/>
  <c r="G1343" i="1"/>
  <c r="F1343" i="1"/>
  <c r="E1343" i="1"/>
  <c r="D1343" i="1"/>
  <c r="C1343" i="1"/>
  <c r="G1342" i="1"/>
  <c r="F1342" i="1"/>
  <c r="E1342" i="1"/>
  <c r="D1342" i="1"/>
  <c r="C1342" i="1"/>
  <c r="G1341" i="1"/>
  <c r="F1341" i="1"/>
  <c r="E1341" i="1"/>
  <c r="D1341" i="1"/>
  <c r="C1341" i="1"/>
  <c r="G1340" i="1"/>
  <c r="F1340" i="1"/>
  <c r="E1340" i="1"/>
  <c r="D1340" i="1"/>
  <c r="C1340" i="1"/>
  <c r="G1339" i="1"/>
  <c r="F1339" i="1"/>
  <c r="E1339" i="1"/>
  <c r="D1339" i="1"/>
  <c r="C1339" i="1"/>
  <c r="G1338" i="1"/>
  <c r="F1338" i="1"/>
  <c r="E1338" i="1"/>
  <c r="D1338" i="1"/>
  <c r="C1338" i="1"/>
  <c r="G1337" i="1"/>
  <c r="F1337" i="1"/>
  <c r="E1337" i="1"/>
  <c r="D1337" i="1"/>
  <c r="C1337" i="1"/>
  <c r="G1336" i="1"/>
  <c r="F1336" i="1"/>
  <c r="E1336" i="1"/>
  <c r="D1336" i="1"/>
  <c r="C1336" i="1"/>
  <c r="G1335" i="1"/>
  <c r="F1335" i="1"/>
  <c r="E1335" i="1"/>
  <c r="D1335" i="1"/>
  <c r="C1335" i="1"/>
  <c r="G1334" i="1"/>
  <c r="F1334" i="1"/>
  <c r="E1334" i="1"/>
  <c r="D1334" i="1"/>
  <c r="C1334" i="1"/>
  <c r="G1333" i="1"/>
  <c r="F1333" i="1"/>
  <c r="E1333" i="1"/>
  <c r="D1333" i="1"/>
  <c r="C1333" i="1"/>
  <c r="G1332" i="1"/>
  <c r="F1332" i="1"/>
  <c r="E1332" i="1"/>
  <c r="D1332" i="1"/>
  <c r="C1332" i="1"/>
  <c r="G1331" i="1"/>
  <c r="F1331" i="1"/>
  <c r="E1331" i="1"/>
  <c r="D1331" i="1"/>
  <c r="C1331" i="1"/>
  <c r="G1330" i="1"/>
  <c r="F1330" i="1"/>
  <c r="E1330" i="1"/>
  <c r="D1330" i="1"/>
  <c r="C1330" i="1"/>
  <c r="G1329" i="1"/>
  <c r="F1329" i="1"/>
  <c r="E1329" i="1"/>
  <c r="D1329" i="1"/>
  <c r="C1329" i="1"/>
  <c r="G1328" i="1"/>
  <c r="F1328" i="1"/>
  <c r="E1328" i="1"/>
  <c r="D1328" i="1"/>
  <c r="C1328" i="1"/>
  <c r="G1327" i="1"/>
  <c r="F1327" i="1"/>
  <c r="E1327" i="1"/>
  <c r="D1327" i="1"/>
  <c r="C1327" i="1"/>
  <c r="G1326" i="1"/>
  <c r="F1326" i="1"/>
  <c r="E1326" i="1"/>
  <c r="D1326" i="1"/>
  <c r="C1326" i="1"/>
  <c r="G1325" i="1"/>
  <c r="F1325" i="1"/>
  <c r="E1325" i="1"/>
  <c r="D1325" i="1"/>
  <c r="C1325" i="1"/>
  <c r="G1324" i="1"/>
  <c r="F1324" i="1"/>
  <c r="E1324" i="1"/>
  <c r="D1324" i="1"/>
  <c r="C1324" i="1"/>
  <c r="G1323" i="1"/>
  <c r="F1323" i="1"/>
  <c r="E1323" i="1"/>
  <c r="D1323" i="1"/>
  <c r="C1323" i="1"/>
  <c r="G1322" i="1"/>
  <c r="F1322" i="1"/>
  <c r="E1322" i="1"/>
  <c r="D1322" i="1"/>
  <c r="C1322" i="1"/>
  <c r="G1321" i="1"/>
  <c r="F1321" i="1"/>
  <c r="E1321" i="1"/>
  <c r="D1321" i="1"/>
  <c r="C1321" i="1"/>
  <c r="G1320" i="1"/>
  <c r="F1320" i="1"/>
  <c r="E1320" i="1"/>
  <c r="D1320" i="1"/>
  <c r="C1320" i="1"/>
  <c r="G1319" i="1"/>
  <c r="F1319" i="1"/>
  <c r="E1319" i="1"/>
  <c r="D1319" i="1"/>
  <c r="C1319" i="1"/>
  <c r="G1318" i="1"/>
  <c r="F1318" i="1"/>
  <c r="E1318" i="1"/>
  <c r="D1318" i="1"/>
  <c r="C1318" i="1"/>
  <c r="G1317" i="1"/>
  <c r="F1317" i="1"/>
  <c r="E1317" i="1"/>
  <c r="D1317" i="1"/>
  <c r="C1317" i="1"/>
  <c r="G1316" i="1"/>
  <c r="F1316" i="1"/>
  <c r="E1316" i="1"/>
  <c r="D1316" i="1"/>
  <c r="C1316" i="1"/>
  <c r="G1315" i="1"/>
  <c r="F1315" i="1"/>
  <c r="E1315" i="1"/>
  <c r="D1315" i="1"/>
  <c r="C1315" i="1"/>
  <c r="G1314" i="1"/>
  <c r="F1314" i="1"/>
  <c r="E1314" i="1"/>
  <c r="D1314" i="1"/>
  <c r="C1314" i="1"/>
  <c r="G1313" i="1"/>
  <c r="F1313" i="1"/>
  <c r="E1313" i="1"/>
  <c r="D1313" i="1"/>
  <c r="C1313" i="1"/>
  <c r="G1312" i="1"/>
  <c r="F1312" i="1"/>
  <c r="E1312" i="1"/>
  <c r="D1312" i="1"/>
  <c r="C1312" i="1"/>
  <c r="G1311" i="1"/>
  <c r="F1311" i="1"/>
  <c r="E1311" i="1"/>
  <c r="D1311" i="1"/>
  <c r="C1311" i="1"/>
  <c r="G1310" i="1"/>
  <c r="F1310" i="1"/>
  <c r="E1310" i="1"/>
  <c r="D1310" i="1"/>
  <c r="C1310" i="1"/>
  <c r="G1309" i="1"/>
  <c r="F1309" i="1"/>
  <c r="E1309" i="1"/>
  <c r="D1309" i="1"/>
  <c r="C1309" i="1"/>
  <c r="G1308" i="1"/>
  <c r="F1308" i="1"/>
  <c r="E1308" i="1"/>
  <c r="D1308" i="1"/>
  <c r="C1308" i="1"/>
  <c r="G1307" i="1"/>
  <c r="F1307" i="1"/>
  <c r="E1307" i="1"/>
  <c r="D1307" i="1"/>
  <c r="C1307" i="1"/>
  <c r="G1306" i="1"/>
  <c r="F1306" i="1"/>
  <c r="E1306" i="1"/>
  <c r="D1306" i="1"/>
  <c r="C1306" i="1"/>
  <c r="G1305" i="1"/>
  <c r="F1305" i="1"/>
  <c r="E1305" i="1"/>
  <c r="D1305" i="1"/>
  <c r="C1305" i="1"/>
  <c r="G1304" i="1"/>
  <c r="F1304" i="1"/>
  <c r="E1304" i="1"/>
  <c r="D1304" i="1"/>
  <c r="C1304" i="1"/>
  <c r="G1303" i="1"/>
  <c r="F1303" i="1"/>
  <c r="E1303" i="1"/>
  <c r="D1303" i="1"/>
  <c r="C1303" i="1"/>
  <c r="G1302" i="1"/>
  <c r="F1302" i="1"/>
  <c r="E1302" i="1"/>
  <c r="D1302" i="1"/>
  <c r="C1302" i="1"/>
  <c r="G1301" i="1"/>
  <c r="F1301" i="1"/>
  <c r="E1301" i="1"/>
  <c r="D1301" i="1"/>
  <c r="C1301" i="1"/>
  <c r="G1300" i="1"/>
  <c r="F1300" i="1"/>
  <c r="E1300" i="1"/>
  <c r="D1300" i="1"/>
  <c r="C1300" i="1"/>
  <c r="G1299" i="1"/>
  <c r="F1299" i="1"/>
  <c r="E1299" i="1"/>
  <c r="D1299" i="1"/>
  <c r="C1299" i="1"/>
  <c r="G1298" i="1"/>
  <c r="F1298" i="1"/>
  <c r="E1298" i="1"/>
  <c r="D1298" i="1"/>
  <c r="C1298" i="1"/>
  <c r="G1297" i="1"/>
  <c r="F1297" i="1"/>
  <c r="E1297" i="1"/>
  <c r="D1297" i="1"/>
  <c r="C1297" i="1"/>
  <c r="G1296" i="1"/>
  <c r="F1296" i="1"/>
  <c r="E1296" i="1"/>
  <c r="D1296" i="1"/>
  <c r="C1296" i="1"/>
  <c r="G1295" i="1"/>
  <c r="F1295" i="1"/>
  <c r="E1295" i="1"/>
  <c r="D1295" i="1"/>
  <c r="C1295" i="1"/>
  <c r="G1294" i="1"/>
  <c r="F1294" i="1"/>
  <c r="E1294" i="1"/>
  <c r="D1294" i="1"/>
  <c r="C1294" i="1"/>
  <c r="G1293" i="1"/>
  <c r="F1293" i="1"/>
  <c r="E1293" i="1"/>
  <c r="D1293" i="1"/>
  <c r="C1293" i="1"/>
  <c r="G1292" i="1"/>
  <c r="F1292" i="1"/>
  <c r="E1292" i="1"/>
  <c r="D1292" i="1"/>
  <c r="C1292" i="1"/>
  <c r="G1291" i="1"/>
  <c r="F1291" i="1"/>
  <c r="E1291" i="1"/>
  <c r="D1291" i="1"/>
  <c r="C1291" i="1"/>
  <c r="G1290" i="1"/>
  <c r="F1290" i="1"/>
  <c r="E1290" i="1"/>
  <c r="D1290" i="1"/>
  <c r="C1290" i="1"/>
  <c r="G1289" i="1"/>
  <c r="F1289" i="1"/>
  <c r="E1289" i="1"/>
  <c r="D1289" i="1"/>
  <c r="C1289" i="1"/>
  <c r="G1288" i="1"/>
  <c r="F1288" i="1"/>
  <c r="E1288" i="1"/>
  <c r="D1288" i="1"/>
  <c r="C1288" i="1"/>
  <c r="G1287" i="1"/>
  <c r="F1287" i="1"/>
  <c r="E1287" i="1"/>
  <c r="D1287" i="1"/>
  <c r="C1287" i="1"/>
  <c r="G1286" i="1"/>
  <c r="F1286" i="1"/>
  <c r="E1286" i="1"/>
  <c r="D1286" i="1"/>
  <c r="C1286" i="1"/>
  <c r="G1285" i="1"/>
  <c r="F1285" i="1"/>
  <c r="E1285" i="1"/>
  <c r="D1285" i="1"/>
  <c r="C1285" i="1"/>
  <c r="G1284" i="1"/>
  <c r="F1284" i="1"/>
  <c r="E1284" i="1"/>
  <c r="D1284" i="1"/>
  <c r="C1284" i="1"/>
  <c r="G1283" i="1"/>
  <c r="F1283" i="1"/>
  <c r="E1283" i="1"/>
  <c r="D1283" i="1"/>
  <c r="C1283" i="1"/>
  <c r="G1282" i="1"/>
  <c r="F1282" i="1"/>
  <c r="E1282" i="1"/>
  <c r="D1282" i="1"/>
  <c r="C1282" i="1"/>
  <c r="G1281" i="1"/>
  <c r="F1281" i="1"/>
  <c r="E1281" i="1"/>
  <c r="D1281" i="1"/>
  <c r="C1281" i="1"/>
  <c r="G1280" i="1"/>
  <c r="F1280" i="1"/>
  <c r="E1280" i="1"/>
  <c r="D1280" i="1"/>
  <c r="C1280" i="1"/>
  <c r="G1279" i="1"/>
  <c r="F1279" i="1"/>
  <c r="E1279" i="1"/>
  <c r="D1279" i="1"/>
  <c r="C1279" i="1"/>
  <c r="G1278" i="1"/>
  <c r="F1278" i="1"/>
  <c r="E1278" i="1"/>
  <c r="D1278" i="1"/>
  <c r="G1277" i="1"/>
  <c r="F1277" i="1"/>
  <c r="E1277" i="1"/>
  <c r="D1277" i="1"/>
  <c r="G1276" i="1"/>
  <c r="F1276" i="1"/>
  <c r="E1276" i="1"/>
  <c r="D1276" i="1"/>
  <c r="G1275" i="1"/>
  <c r="F1275" i="1"/>
  <c r="E1275" i="1"/>
  <c r="D1275" i="1"/>
  <c r="G1274" i="1"/>
  <c r="F1274" i="1"/>
  <c r="E1274" i="1"/>
  <c r="D1274" i="1"/>
  <c r="G1273" i="1"/>
  <c r="F1273" i="1"/>
  <c r="E1273" i="1"/>
  <c r="D1273" i="1"/>
  <c r="G1272" i="1"/>
  <c r="F1272" i="1"/>
  <c r="E1272" i="1"/>
  <c r="D1272" i="1"/>
  <c r="G1271" i="1"/>
  <c r="F1271" i="1"/>
  <c r="E1271" i="1"/>
  <c r="D1271" i="1"/>
  <c r="G1270" i="1"/>
  <c r="F1270" i="1"/>
  <c r="E1270" i="1"/>
  <c r="D1270" i="1"/>
  <c r="G1269" i="1"/>
  <c r="F1269" i="1"/>
  <c r="E1269" i="1"/>
  <c r="D1269" i="1"/>
  <c r="G1268" i="1"/>
  <c r="F1268" i="1"/>
  <c r="E1268" i="1"/>
  <c r="D1268" i="1"/>
  <c r="G1267" i="1"/>
  <c r="F1267" i="1"/>
  <c r="E1267" i="1"/>
  <c r="D1267" i="1"/>
  <c r="G1266" i="1"/>
  <c r="F1266" i="1"/>
  <c r="E1266" i="1"/>
  <c r="D1266" i="1"/>
  <c r="G1265" i="1"/>
  <c r="F1265" i="1"/>
  <c r="E1265" i="1"/>
  <c r="D1265" i="1"/>
  <c r="G1264" i="1"/>
  <c r="F1264" i="1"/>
  <c r="E1264" i="1"/>
  <c r="D1264" i="1"/>
  <c r="G1263" i="1"/>
  <c r="F1263" i="1"/>
  <c r="E1263" i="1"/>
  <c r="D1263" i="1"/>
  <c r="G1262" i="1"/>
  <c r="F1262" i="1"/>
  <c r="E1262" i="1"/>
  <c r="D1262" i="1"/>
  <c r="G1261" i="1"/>
  <c r="F1261" i="1"/>
  <c r="E1261" i="1"/>
  <c r="D1261" i="1"/>
  <c r="G1260" i="1"/>
  <c r="F1260" i="1"/>
  <c r="E1260" i="1"/>
  <c r="D1260" i="1"/>
  <c r="G1259" i="1"/>
  <c r="F1259" i="1"/>
  <c r="E1259" i="1"/>
  <c r="D1259" i="1"/>
  <c r="G1258" i="1"/>
  <c r="F1258" i="1"/>
  <c r="E1258" i="1"/>
  <c r="D1258" i="1"/>
  <c r="G1257" i="1"/>
  <c r="F1257" i="1"/>
  <c r="E1257" i="1"/>
  <c r="D1257" i="1"/>
  <c r="G1256" i="1"/>
  <c r="F1256" i="1"/>
  <c r="E1256" i="1"/>
  <c r="D1256" i="1"/>
  <c r="G1255" i="1"/>
  <c r="F1255" i="1"/>
  <c r="E1255" i="1"/>
  <c r="D1255" i="1"/>
  <c r="G1254" i="1"/>
  <c r="F1254" i="1"/>
  <c r="E1254" i="1"/>
  <c r="D1254" i="1"/>
  <c r="G1253" i="1"/>
  <c r="F1253" i="1"/>
  <c r="E1253" i="1"/>
  <c r="D1253" i="1"/>
  <c r="G1252" i="1"/>
  <c r="F1252" i="1"/>
  <c r="E1252" i="1"/>
  <c r="D1252" i="1"/>
  <c r="G1251" i="1"/>
  <c r="F1251" i="1"/>
  <c r="E1251" i="1"/>
  <c r="D1251" i="1"/>
  <c r="G1250" i="1"/>
  <c r="F1250" i="1"/>
  <c r="E1250" i="1"/>
  <c r="D1250" i="1"/>
  <c r="G1249" i="1"/>
  <c r="F1249" i="1"/>
  <c r="E1249" i="1"/>
  <c r="D1249" i="1"/>
  <c r="G1248" i="1"/>
  <c r="F1248" i="1"/>
  <c r="E1248" i="1"/>
  <c r="D1248" i="1"/>
  <c r="G1247" i="1"/>
  <c r="F1247" i="1"/>
  <c r="E1247" i="1"/>
  <c r="D1247" i="1"/>
  <c r="G1246" i="1"/>
  <c r="F1246" i="1"/>
  <c r="E1246" i="1"/>
  <c r="D1246" i="1"/>
  <c r="G1245" i="1"/>
  <c r="F1245" i="1"/>
  <c r="E1245" i="1"/>
  <c r="D1245" i="1"/>
  <c r="G1244" i="1"/>
  <c r="F1244" i="1"/>
  <c r="E1244" i="1"/>
  <c r="D1244" i="1"/>
  <c r="G1243" i="1"/>
  <c r="F1243" i="1"/>
  <c r="E1243" i="1"/>
  <c r="D1243" i="1"/>
  <c r="G1242" i="1"/>
  <c r="F1242" i="1"/>
  <c r="E1242" i="1"/>
  <c r="D1242" i="1"/>
  <c r="G1241" i="1"/>
  <c r="F1241" i="1"/>
  <c r="E1241" i="1"/>
  <c r="D1241" i="1"/>
  <c r="G1240" i="1"/>
  <c r="F1240" i="1"/>
  <c r="E1240" i="1"/>
  <c r="D1240" i="1"/>
  <c r="G1239" i="1"/>
  <c r="F1239" i="1"/>
  <c r="E1239" i="1"/>
  <c r="D1239" i="1"/>
  <c r="G1238" i="1"/>
  <c r="F1238" i="1"/>
  <c r="E1238" i="1"/>
  <c r="D1238" i="1"/>
  <c r="G1237" i="1"/>
  <c r="F1237" i="1"/>
  <c r="E1237" i="1"/>
  <c r="D1237" i="1"/>
  <c r="G1236" i="1"/>
  <c r="F1236" i="1"/>
  <c r="E1236" i="1"/>
  <c r="D1236" i="1"/>
  <c r="G1235" i="1"/>
  <c r="F1235" i="1"/>
  <c r="E1235" i="1"/>
  <c r="D1235" i="1"/>
  <c r="G1234" i="1"/>
  <c r="F1234" i="1"/>
  <c r="E1234" i="1"/>
  <c r="D1234" i="1"/>
  <c r="G1233" i="1"/>
  <c r="F1233" i="1"/>
  <c r="E1233" i="1"/>
  <c r="D1233" i="1"/>
  <c r="G1232" i="1"/>
  <c r="F1232" i="1"/>
  <c r="E1232" i="1"/>
  <c r="D1232" i="1"/>
  <c r="G1231" i="1"/>
  <c r="F1231" i="1"/>
  <c r="E1231" i="1"/>
  <c r="D1231" i="1"/>
  <c r="G1230" i="1"/>
  <c r="F1230" i="1"/>
  <c r="E1230" i="1"/>
  <c r="D1230" i="1"/>
  <c r="G1229" i="1"/>
  <c r="F1229" i="1"/>
  <c r="E1229" i="1"/>
  <c r="D1229" i="1"/>
  <c r="G1228" i="1"/>
  <c r="F1228" i="1"/>
  <c r="E1228" i="1"/>
  <c r="D1228" i="1"/>
  <c r="G1227" i="1"/>
  <c r="F1227" i="1"/>
  <c r="E1227" i="1"/>
  <c r="D1227" i="1"/>
  <c r="G1226" i="1"/>
  <c r="F1226" i="1"/>
  <c r="E1226" i="1"/>
  <c r="D1226" i="1"/>
  <c r="G1225" i="1"/>
  <c r="F1225" i="1"/>
  <c r="E1225" i="1"/>
  <c r="D1225" i="1"/>
  <c r="G1224" i="1"/>
  <c r="F1224" i="1"/>
  <c r="E1224" i="1"/>
  <c r="D1224" i="1"/>
  <c r="G1223" i="1"/>
  <c r="F1223" i="1"/>
  <c r="E1223" i="1"/>
  <c r="D1223" i="1"/>
  <c r="G1222" i="1"/>
  <c r="F1222" i="1"/>
  <c r="E1222" i="1"/>
  <c r="D1222" i="1"/>
  <c r="G1221" i="1"/>
  <c r="F1221" i="1"/>
  <c r="E1221" i="1"/>
  <c r="D1221" i="1"/>
  <c r="G1220" i="1"/>
  <c r="F1220" i="1"/>
  <c r="E1220" i="1"/>
  <c r="D1220" i="1"/>
  <c r="G1219" i="1"/>
  <c r="F1219" i="1"/>
  <c r="E1219" i="1"/>
  <c r="D1219" i="1"/>
  <c r="C1219" i="1"/>
  <c r="G1218" i="1"/>
  <c r="F1218" i="1"/>
  <c r="E1218" i="1"/>
  <c r="D1218" i="1"/>
  <c r="C1218" i="1"/>
  <c r="G1217" i="1"/>
  <c r="F1217" i="1"/>
  <c r="E1217" i="1"/>
  <c r="D1217" i="1"/>
  <c r="C1217" i="1"/>
  <c r="G1216" i="1"/>
  <c r="F1216" i="1"/>
  <c r="E1216" i="1"/>
  <c r="D1216" i="1"/>
  <c r="C1216" i="1"/>
  <c r="G1215" i="1"/>
  <c r="F1215" i="1"/>
  <c r="E1215" i="1"/>
  <c r="D1215" i="1"/>
  <c r="C1215" i="1"/>
  <c r="G1214" i="1"/>
  <c r="F1214" i="1"/>
  <c r="E1214" i="1"/>
  <c r="D1214" i="1"/>
  <c r="C1214" i="1"/>
  <c r="G1213" i="1"/>
  <c r="F1213" i="1"/>
  <c r="E1213" i="1"/>
  <c r="D1213" i="1"/>
  <c r="C1213" i="1"/>
  <c r="G1212" i="1"/>
  <c r="F1212" i="1"/>
  <c r="E1212" i="1"/>
  <c r="D1212" i="1"/>
  <c r="C1212" i="1"/>
  <c r="G1211" i="1"/>
  <c r="F1211" i="1"/>
  <c r="E1211" i="1"/>
  <c r="D1211" i="1"/>
  <c r="C1211" i="1"/>
  <c r="G1210" i="1"/>
  <c r="F1210" i="1"/>
  <c r="E1210" i="1"/>
  <c r="D1210" i="1"/>
  <c r="C1210" i="1"/>
  <c r="G1209" i="1"/>
  <c r="F1209" i="1"/>
  <c r="E1209" i="1"/>
  <c r="D1209" i="1"/>
  <c r="C1209" i="1"/>
  <c r="G1208" i="1"/>
  <c r="F1208" i="1"/>
  <c r="E1208" i="1"/>
  <c r="D1208" i="1"/>
  <c r="C1208" i="1"/>
  <c r="G1207" i="1"/>
  <c r="F1207" i="1"/>
  <c r="E1207" i="1"/>
  <c r="D1207" i="1"/>
  <c r="C1207" i="1"/>
  <c r="G1206" i="1"/>
  <c r="F1206" i="1"/>
  <c r="E1206" i="1"/>
  <c r="D1206" i="1"/>
  <c r="C1206" i="1"/>
  <c r="G1205" i="1"/>
  <c r="F1205" i="1"/>
  <c r="E1205" i="1"/>
  <c r="D1205" i="1"/>
  <c r="C1205" i="1"/>
  <c r="G1204" i="1"/>
  <c r="F1204" i="1"/>
  <c r="E1204" i="1"/>
  <c r="D1204" i="1"/>
  <c r="C1204" i="1"/>
  <c r="G1203" i="1"/>
  <c r="F1203" i="1"/>
  <c r="E1203" i="1"/>
  <c r="D1203" i="1"/>
  <c r="C1203" i="1"/>
  <c r="G1202" i="1"/>
  <c r="F1202" i="1"/>
  <c r="E1202" i="1"/>
  <c r="D1202" i="1"/>
  <c r="C1202" i="1"/>
  <c r="G1201" i="1"/>
  <c r="F1201" i="1"/>
  <c r="E1201" i="1"/>
  <c r="D1201" i="1"/>
  <c r="C1201" i="1"/>
  <c r="G1200" i="1"/>
  <c r="F1200" i="1"/>
  <c r="E1200" i="1"/>
  <c r="D1200" i="1"/>
  <c r="C1200" i="1"/>
  <c r="G1199" i="1"/>
  <c r="F1199" i="1"/>
  <c r="E1199" i="1"/>
  <c r="D1199" i="1"/>
  <c r="C1199" i="1"/>
  <c r="G1198" i="1"/>
  <c r="F1198" i="1"/>
  <c r="E1198" i="1"/>
  <c r="D1198" i="1"/>
  <c r="C1198" i="1"/>
  <c r="G1197" i="1"/>
  <c r="F1197" i="1"/>
  <c r="E1197" i="1"/>
  <c r="D1197" i="1"/>
  <c r="C1197" i="1"/>
  <c r="G1196" i="1"/>
  <c r="F1196" i="1"/>
  <c r="E1196" i="1"/>
  <c r="D1196" i="1"/>
  <c r="C1196" i="1"/>
  <c r="G1195" i="1"/>
  <c r="F1195" i="1"/>
  <c r="E1195" i="1"/>
  <c r="D1195" i="1"/>
  <c r="C1195" i="1"/>
  <c r="G1194" i="1"/>
  <c r="F1194" i="1"/>
  <c r="E1194" i="1"/>
  <c r="D1194" i="1"/>
  <c r="C1194" i="1"/>
  <c r="G1193" i="1"/>
  <c r="F1193" i="1"/>
  <c r="E1193" i="1"/>
  <c r="D1193" i="1"/>
  <c r="C1193" i="1"/>
  <c r="G1192" i="1"/>
  <c r="F1192" i="1"/>
  <c r="E1192" i="1"/>
  <c r="D1192" i="1"/>
  <c r="C1192" i="1"/>
  <c r="G1191" i="1"/>
  <c r="F1191" i="1"/>
  <c r="E1191" i="1"/>
  <c r="D1191" i="1"/>
  <c r="C1191" i="1"/>
  <c r="G1190" i="1"/>
  <c r="F1190" i="1"/>
  <c r="E1190" i="1"/>
  <c r="D1190" i="1"/>
  <c r="C1190" i="1"/>
  <c r="G1189" i="1"/>
  <c r="F1189" i="1"/>
  <c r="E1189" i="1"/>
  <c r="D1189" i="1"/>
  <c r="C1189" i="1"/>
  <c r="G1188" i="1"/>
  <c r="F1188" i="1"/>
  <c r="E1188" i="1"/>
  <c r="D1188" i="1"/>
  <c r="C1188" i="1"/>
  <c r="G1187" i="1"/>
  <c r="F1187" i="1"/>
  <c r="E1187" i="1"/>
  <c r="D1187" i="1"/>
  <c r="C1187" i="1"/>
  <c r="G1186" i="1"/>
  <c r="F1186" i="1"/>
  <c r="E1186" i="1"/>
  <c r="D1186" i="1"/>
  <c r="C1186" i="1"/>
  <c r="G1185" i="1"/>
  <c r="F1185" i="1"/>
  <c r="E1185" i="1"/>
  <c r="D1185" i="1"/>
  <c r="C1185" i="1"/>
  <c r="G1184" i="1"/>
  <c r="F1184" i="1"/>
  <c r="E1184" i="1"/>
  <c r="D1184" i="1"/>
  <c r="C1184" i="1"/>
  <c r="G1183" i="1"/>
  <c r="F1183" i="1"/>
  <c r="E1183" i="1"/>
  <c r="D1183" i="1"/>
  <c r="C1183" i="1"/>
  <c r="G1182" i="1"/>
  <c r="F1182" i="1"/>
  <c r="E1182" i="1"/>
  <c r="D1182" i="1"/>
  <c r="C1182" i="1"/>
  <c r="G1181" i="1"/>
  <c r="F1181" i="1"/>
  <c r="E1181" i="1"/>
  <c r="D1181" i="1"/>
  <c r="C1181" i="1"/>
  <c r="G1180" i="1"/>
  <c r="F1180" i="1"/>
  <c r="E1180" i="1"/>
  <c r="D1180" i="1"/>
  <c r="C1180" i="1"/>
  <c r="G1179" i="1"/>
  <c r="F1179" i="1"/>
  <c r="E1179" i="1"/>
  <c r="D1179" i="1"/>
  <c r="C1179" i="1"/>
  <c r="G1178" i="1"/>
  <c r="F1178" i="1"/>
  <c r="E1178" i="1"/>
  <c r="D1178" i="1"/>
  <c r="C1178" i="1"/>
  <c r="G1177" i="1"/>
  <c r="F1177" i="1"/>
  <c r="E1177" i="1"/>
  <c r="D1177" i="1"/>
  <c r="C1177" i="1"/>
  <c r="G1176" i="1"/>
  <c r="F1176" i="1"/>
  <c r="E1176" i="1"/>
  <c r="D1176" i="1"/>
  <c r="C1176" i="1"/>
  <c r="G1175" i="1"/>
  <c r="F1175" i="1"/>
  <c r="E1175" i="1"/>
  <c r="D1175" i="1"/>
  <c r="C1175" i="1"/>
  <c r="G1174" i="1"/>
  <c r="F1174" i="1"/>
  <c r="E1174" i="1"/>
  <c r="D1174" i="1"/>
  <c r="C1174" i="1"/>
  <c r="G1173" i="1"/>
  <c r="F1173" i="1"/>
  <c r="E1173" i="1"/>
  <c r="D1173" i="1"/>
  <c r="C1173" i="1"/>
  <c r="G1172" i="1"/>
  <c r="F1172" i="1"/>
  <c r="E1172" i="1"/>
  <c r="D1172" i="1"/>
  <c r="C1172" i="1"/>
  <c r="G1171" i="1"/>
  <c r="F1171" i="1"/>
  <c r="E1171" i="1"/>
  <c r="D1171" i="1"/>
  <c r="C1171" i="1"/>
  <c r="G1170" i="1"/>
  <c r="F1170" i="1"/>
  <c r="E1170" i="1"/>
  <c r="D1170" i="1"/>
  <c r="C1170" i="1"/>
  <c r="G1169" i="1"/>
  <c r="F1169" i="1"/>
  <c r="E1169" i="1"/>
  <c r="D1169" i="1"/>
  <c r="C1169" i="1"/>
  <c r="G1168" i="1"/>
  <c r="F1168" i="1"/>
  <c r="E1168" i="1"/>
  <c r="D1168" i="1"/>
  <c r="C1168" i="1"/>
  <c r="G1167" i="1"/>
  <c r="F1167" i="1"/>
  <c r="E1167" i="1"/>
  <c r="D1167" i="1"/>
  <c r="C1167" i="1"/>
  <c r="G1166" i="1"/>
  <c r="F1166" i="1"/>
  <c r="E1166" i="1"/>
  <c r="D1166" i="1"/>
  <c r="C1166" i="1"/>
  <c r="G1165" i="1"/>
  <c r="F1165" i="1"/>
  <c r="E1165" i="1"/>
  <c r="D1165" i="1"/>
  <c r="C1165" i="1"/>
  <c r="G1164" i="1"/>
  <c r="F1164" i="1"/>
  <c r="E1164" i="1"/>
  <c r="D1164" i="1"/>
  <c r="C1164" i="1"/>
  <c r="G1163" i="1"/>
  <c r="F1163" i="1"/>
  <c r="E1163" i="1"/>
  <c r="D1163" i="1"/>
  <c r="C1163" i="1"/>
  <c r="G1162" i="1"/>
  <c r="F1162" i="1"/>
  <c r="E1162" i="1"/>
  <c r="D1162" i="1"/>
  <c r="C1162" i="1"/>
  <c r="G1161" i="1"/>
  <c r="F1161" i="1"/>
  <c r="E1161" i="1"/>
  <c r="D1161" i="1"/>
  <c r="C1161" i="1"/>
  <c r="G1160" i="1"/>
  <c r="F1160" i="1"/>
  <c r="E1160" i="1"/>
  <c r="D1160" i="1"/>
  <c r="C1160" i="1"/>
  <c r="G1159" i="1"/>
  <c r="F1159" i="1"/>
  <c r="E1159" i="1"/>
  <c r="D1159" i="1"/>
  <c r="C1159" i="1"/>
  <c r="G1158" i="1"/>
  <c r="F1158" i="1"/>
  <c r="E1158" i="1"/>
  <c r="D1158" i="1"/>
  <c r="C1158" i="1"/>
  <c r="G1157" i="1"/>
  <c r="F1157" i="1"/>
  <c r="E1157" i="1"/>
  <c r="D1157" i="1"/>
  <c r="C1157" i="1"/>
  <c r="G1156" i="1"/>
  <c r="F1156" i="1"/>
  <c r="E1156" i="1"/>
  <c r="D1156" i="1"/>
  <c r="C1156" i="1"/>
  <c r="G1155" i="1"/>
  <c r="F1155" i="1"/>
  <c r="E1155" i="1"/>
  <c r="D1155" i="1"/>
  <c r="C1155" i="1"/>
  <c r="G1154" i="1"/>
  <c r="F1154" i="1"/>
  <c r="E1154" i="1"/>
  <c r="D1154" i="1"/>
  <c r="C1154" i="1"/>
  <c r="G1153" i="1"/>
  <c r="F1153" i="1"/>
  <c r="E1153" i="1"/>
  <c r="D1153" i="1"/>
  <c r="C1153" i="1"/>
  <c r="G1152" i="1"/>
  <c r="F1152" i="1"/>
  <c r="E1152" i="1"/>
  <c r="D1152" i="1"/>
  <c r="C1152" i="1"/>
  <c r="G1151" i="1"/>
  <c r="F1151" i="1"/>
  <c r="E1151" i="1"/>
  <c r="D1151" i="1"/>
  <c r="C1151" i="1"/>
  <c r="G1150" i="1"/>
  <c r="F1150" i="1"/>
  <c r="E1150" i="1"/>
  <c r="D1150" i="1"/>
  <c r="C1150" i="1"/>
  <c r="G1149" i="1"/>
  <c r="F1149" i="1"/>
  <c r="E1149" i="1"/>
  <c r="D1149" i="1"/>
  <c r="C1149" i="1"/>
  <c r="G1148" i="1"/>
  <c r="F1148" i="1"/>
  <c r="E1148" i="1"/>
  <c r="D1148" i="1"/>
  <c r="C1148" i="1"/>
  <c r="G1147" i="1"/>
  <c r="F1147" i="1"/>
  <c r="E1147" i="1"/>
  <c r="D1147" i="1"/>
  <c r="C1147" i="1"/>
  <c r="G1146" i="1"/>
  <c r="F1146" i="1"/>
  <c r="E1146" i="1"/>
  <c r="D1146" i="1"/>
  <c r="C1146" i="1"/>
  <c r="G1145" i="1"/>
  <c r="F1145" i="1"/>
  <c r="E1145" i="1"/>
  <c r="D1145" i="1"/>
  <c r="C1145" i="1"/>
  <c r="G1144" i="1"/>
  <c r="F1144" i="1"/>
  <c r="E1144" i="1"/>
  <c r="D1144" i="1"/>
  <c r="C1144" i="1"/>
  <c r="G1143" i="1"/>
  <c r="F1143" i="1"/>
  <c r="E1143" i="1"/>
  <c r="D1143" i="1"/>
  <c r="C1143" i="1"/>
  <c r="G1142" i="1"/>
  <c r="F1142" i="1"/>
  <c r="E1142" i="1"/>
  <c r="D1142" i="1"/>
  <c r="C1142" i="1"/>
  <c r="G1141" i="1"/>
  <c r="F1141" i="1"/>
  <c r="E1141" i="1"/>
  <c r="D1141" i="1"/>
  <c r="C1141" i="1"/>
  <c r="G1140" i="1"/>
  <c r="F1140" i="1"/>
  <c r="E1140" i="1"/>
  <c r="D1140" i="1"/>
  <c r="C1140" i="1"/>
  <c r="G1139" i="1"/>
  <c r="F1139" i="1"/>
  <c r="E1139" i="1"/>
  <c r="D1139" i="1"/>
  <c r="C1139" i="1"/>
  <c r="G1138" i="1"/>
  <c r="F1138" i="1"/>
  <c r="E1138" i="1"/>
  <c r="D1138" i="1"/>
  <c r="C1138" i="1"/>
  <c r="G1137" i="1"/>
  <c r="F1137" i="1"/>
  <c r="E1137" i="1"/>
  <c r="D1137" i="1"/>
  <c r="C1137" i="1"/>
  <c r="G1136" i="1"/>
  <c r="F1136" i="1"/>
  <c r="E1136" i="1"/>
  <c r="D1136" i="1"/>
  <c r="C1136" i="1"/>
  <c r="G1135" i="1"/>
  <c r="F1135" i="1"/>
  <c r="E1135" i="1"/>
  <c r="D1135" i="1"/>
  <c r="C1135" i="1"/>
  <c r="G1134" i="1"/>
  <c r="F1134" i="1"/>
  <c r="E1134" i="1"/>
  <c r="D1134" i="1"/>
  <c r="C1134" i="1"/>
  <c r="G1133" i="1"/>
  <c r="F1133" i="1"/>
  <c r="E1133" i="1"/>
  <c r="D1133" i="1"/>
  <c r="C1133" i="1"/>
  <c r="G1132" i="1"/>
  <c r="F1132" i="1"/>
  <c r="E1132" i="1"/>
  <c r="D1132" i="1"/>
  <c r="C1132" i="1"/>
  <c r="G1131" i="1"/>
  <c r="F1131" i="1"/>
  <c r="E1131" i="1"/>
  <c r="D1131" i="1"/>
  <c r="C1131" i="1"/>
  <c r="G1130" i="1"/>
  <c r="F1130" i="1"/>
  <c r="E1130" i="1"/>
  <c r="D1130" i="1"/>
  <c r="C1130" i="1"/>
  <c r="G1129" i="1"/>
  <c r="F1129" i="1"/>
  <c r="E1129" i="1"/>
  <c r="D1129" i="1"/>
  <c r="C1129" i="1"/>
  <c r="G1128" i="1"/>
  <c r="F1128" i="1"/>
  <c r="E1128" i="1"/>
  <c r="D1128" i="1"/>
  <c r="C1128" i="1"/>
  <c r="G1127" i="1"/>
  <c r="F1127" i="1"/>
  <c r="E1127" i="1"/>
  <c r="D1127" i="1"/>
  <c r="C1127" i="1"/>
  <c r="G1126" i="1"/>
  <c r="F1126" i="1"/>
  <c r="E1126" i="1"/>
  <c r="D1126" i="1"/>
  <c r="C1126" i="1"/>
  <c r="G1125" i="1"/>
  <c r="F1125" i="1"/>
  <c r="E1125" i="1"/>
  <c r="D1125" i="1"/>
  <c r="C1125" i="1"/>
  <c r="G1124" i="1"/>
  <c r="F1124" i="1"/>
  <c r="E1124" i="1"/>
  <c r="D1124" i="1"/>
  <c r="C1124" i="1"/>
  <c r="G1123" i="1"/>
  <c r="F1123" i="1"/>
  <c r="E1123" i="1"/>
  <c r="D1123" i="1"/>
  <c r="C1123" i="1"/>
  <c r="G1122" i="1"/>
  <c r="F1122" i="1"/>
  <c r="E1122" i="1"/>
  <c r="D1122" i="1"/>
  <c r="C1122" i="1"/>
  <c r="G1121" i="1"/>
  <c r="F1121" i="1"/>
  <c r="E1121" i="1"/>
  <c r="D1121" i="1"/>
  <c r="C1121" i="1"/>
  <c r="G1120" i="1"/>
  <c r="F1120" i="1"/>
  <c r="E1120" i="1"/>
  <c r="D1120" i="1"/>
  <c r="C1120" i="1"/>
  <c r="G1119" i="1"/>
  <c r="F1119" i="1"/>
  <c r="E1119" i="1"/>
  <c r="D1119" i="1"/>
  <c r="C1119" i="1"/>
  <c r="G1118" i="1"/>
  <c r="F1118" i="1"/>
  <c r="E1118" i="1"/>
  <c r="D1118" i="1"/>
  <c r="C1118" i="1"/>
  <c r="G1117" i="1"/>
  <c r="F1117" i="1"/>
  <c r="E1117" i="1"/>
  <c r="D1117" i="1"/>
  <c r="C1117" i="1"/>
  <c r="G1116" i="1"/>
  <c r="F1116" i="1"/>
  <c r="E1116" i="1"/>
  <c r="D1116" i="1"/>
  <c r="C1116" i="1"/>
  <c r="G1115" i="1"/>
  <c r="F1115" i="1"/>
  <c r="E1115" i="1"/>
  <c r="D1115" i="1"/>
  <c r="C1115" i="1"/>
  <c r="G1114" i="1"/>
  <c r="F1114" i="1"/>
  <c r="E1114" i="1"/>
  <c r="D1114" i="1"/>
  <c r="C1114" i="1"/>
  <c r="G1113" i="1"/>
  <c r="F1113" i="1"/>
  <c r="E1113" i="1"/>
  <c r="D1113" i="1"/>
  <c r="C1113" i="1"/>
  <c r="G1112" i="1"/>
  <c r="F1112" i="1"/>
  <c r="E1112" i="1"/>
  <c r="D1112" i="1"/>
  <c r="C1112" i="1"/>
  <c r="G1111" i="1"/>
  <c r="F1111" i="1"/>
  <c r="E1111" i="1"/>
  <c r="D1111" i="1"/>
  <c r="C1111" i="1"/>
  <c r="G1110" i="1"/>
  <c r="F1110" i="1"/>
  <c r="E1110" i="1"/>
  <c r="D1110" i="1"/>
  <c r="C1110" i="1"/>
  <c r="G1109" i="1"/>
  <c r="F1109" i="1"/>
  <c r="E1109" i="1"/>
  <c r="D1109" i="1"/>
  <c r="C1109" i="1"/>
  <c r="G1108" i="1"/>
  <c r="F1108" i="1"/>
  <c r="E1108" i="1"/>
  <c r="D1108" i="1"/>
  <c r="C1108" i="1"/>
  <c r="G1107" i="1"/>
  <c r="F1107" i="1"/>
  <c r="E1107" i="1"/>
  <c r="D1107" i="1"/>
  <c r="C1107" i="1"/>
  <c r="G1106" i="1"/>
  <c r="F1106" i="1"/>
  <c r="E1106" i="1"/>
  <c r="D1106" i="1"/>
  <c r="C1106" i="1"/>
  <c r="G1105" i="1"/>
  <c r="F1105" i="1"/>
  <c r="E1105" i="1"/>
  <c r="D1105" i="1"/>
  <c r="C1105" i="1"/>
  <c r="G1104" i="1"/>
  <c r="F1104" i="1"/>
  <c r="E1104" i="1"/>
  <c r="D1104" i="1"/>
  <c r="C1104" i="1"/>
  <c r="G1103" i="1"/>
  <c r="F1103" i="1"/>
  <c r="E1103" i="1"/>
  <c r="D1103" i="1"/>
  <c r="C1103" i="1"/>
  <c r="G1102" i="1"/>
  <c r="F1102" i="1"/>
  <c r="E1102" i="1"/>
  <c r="D1102" i="1"/>
  <c r="C1102" i="1"/>
  <c r="G1101" i="1"/>
  <c r="F1101" i="1"/>
  <c r="E1101" i="1"/>
  <c r="D1101" i="1"/>
  <c r="C1101" i="1"/>
  <c r="G1100" i="1"/>
  <c r="F1100" i="1"/>
  <c r="E1100" i="1"/>
  <c r="D1100" i="1"/>
  <c r="C1100" i="1"/>
  <c r="G1099" i="1"/>
  <c r="F1099" i="1"/>
  <c r="E1099" i="1"/>
  <c r="D1099" i="1"/>
  <c r="C1099" i="1"/>
  <c r="G1098" i="1"/>
  <c r="F1098" i="1"/>
  <c r="E1098" i="1"/>
  <c r="D1098" i="1"/>
  <c r="C1098" i="1"/>
  <c r="G1097" i="1"/>
  <c r="F1097" i="1"/>
  <c r="E1097" i="1"/>
  <c r="D1097" i="1"/>
  <c r="C1097" i="1"/>
  <c r="G1096" i="1"/>
  <c r="F1096" i="1"/>
  <c r="E1096" i="1"/>
  <c r="D1096" i="1"/>
  <c r="C1096" i="1"/>
  <c r="G1095" i="1"/>
  <c r="F1095" i="1"/>
  <c r="E1095" i="1"/>
  <c r="D1095" i="1"/>
  <c r="C1095" i="1"/>
  <c r="G1094" i="1"/>
  <c r="F1094" i="1"/>
  <c r="E1094" i="1"/>
  <c r="D1094" i="1"/>
  <c r="C1094" i="1"/>
  <c r="G1093" i="1"/>
  <c r="F1093" i="1"/>
  <c r="E1093" i="1"/>
  <c r="D1093" i="1"/>
  <c r="C1093" i="1"/>
  <c r="G1092" i="1"/>
  <c r="F1092" i="1"/>
  <c r="E1092" i="1"/>
  <c r="D1092" i="1"/>
  <c r="C1092" i="1"/>
  <c r="G1091" i="1"/>
  <c r="F1091" i="1"/>
  <c r="E1091" i="1"/>
  <c r="D1091" i="1"/>
  <c r="C1091" i="1"/>
  <c r="G1090" i="1"/>
  <c r="F1090" i="1"/>
  <c r="E1090" i="1"/>
  <c r="D1090" i="1"/>
  <c r="C1090" i="1"/>
  <c r="G1089" i="1"/>
  <c r="F1089" i="1"/>
  <c r="E1089" i="1"/>
  <c r="D1089" i="1"/>
  <c r="C1089" i="1"/>
  <c r="G1088" i="1"/>
  <c r="F1088" i="1"/>
  <c r="E1088" i="1"/>
  <c r="D1088" i="1"/>
  <c r="C1088" i="1"/>
  <c r="G1087" i="1"/>
  <c r="F1087" i="1"/>
  <c r="E1087" i="1"/>
  <c r="D1087" i="1"/>
  <c r="C1087" i="1"/>
  <c r="G1086" i="1"/>
  <c r="F1086" i="1"/>
  <c r="E1086" i="1"/>
  <c r="D1086" i="1"/>
  <c r="C1086" i="1"/>
  <c r="G1085" i="1"/>
  <c r="F1085" i="1"/>
  <c r="E1085" i="1"/>
  <c r="D1085" i="1"/>
  <c r="C1085" i="1"/>
  <c r="G1084" i="1"/>
  <c r="F1084" i="1"/>
  <c r="E1084" i="1"/>
  <c r="D1084" i="1"/>
  <c r="C1084" i="1"/>
  <c r="G1083" i="1"/>
  <c r="F1083" i="1"/>
  <c r="E1083" i="1"/>
  <c r="D1083" i="1"/>
  <c r="C1083" i="1"/>
  <c r="G1082" i="1"/>
  <c r="F1082" i="1"/>
  <c r="E1082" i="1"/>
  <c r="D1082" i="1"/>
  <c r="C1082" i="1"/>
  <c r="G1081" i="1"/>
  <c r="F1081" i="1"/>
  <c r="E1081" i="1"/>
  <c r="D1081" i="1"/>
  <c r="C1081" i="1"/>
  <c r="G1080" i="1"/>
  <c r="F1080" i="1"/>
  <c r="E1080" i="1"/>
  <c r="D1080" i="1"/>
  <c r="C1080" i="1"/>
  <c r="G1079" i="1"/>
  <c r="F1079" i="1"/>
  <c r="E1079" i="1"/>
  <c r="D1079" i="1"/>
  <c r="C1079" i="1"/>
  <c r="G1078" i="1"/>
  <c r="F1078" i="1"/>
  <c r="E1078" i="1"/>
  <c r="D1078" i="1"/>
  <c r="C1078" i="1"/>
  <c r="G1077" i="1"/>
  <c r="F1077" i="1"/>
  <c r="E1077" i="1"/>
  <c r="D1077" i="1"/>
  <c r="C1077" i="1"/>
  <c r="G1076" i="1"/>
  <c r="F1076" i="1"/>
  <c r="E1076" i="1"/>
  <c r="D1076" i="1"/>
  <c r="C1076" i="1"/>
  <c r="G1075" i="1"/>
  <c r="F1075" i="1"/>
  <c r="E1075" i="1"/>
  <c r="D1075" i="1"/>
  <c r="C1075" i="1"/>
  <c r="G1074" i="1"/>
  <c r="F1074" i="1"/>
  <c r="E1074" i="1"/>
  <c r="D1074" i="1"/>
  <c r="C1074" i="1"/>
  <c r="G1073" i="1"/>
  <c r="F1073" i="1"/>
  <c r="E1073" i="1"/>
  <c r="D1073" i="1"/>
  <c r="C1073" i="1"/>
  <c r="G1072" i="1"/>
  <c r="F1072" i="1"/>
  <c r="E1072" i="1"/>
  <c r="D1072" i="1"/>
  <c r="C1072" i="1"/>
  <c r="G1071" i="1"/>
  <c r="F1071" i="1"/>
  <c r="E1071" i="1"/>
  <c r="D1071" i="1"/>
  <c r="C1071" i="1"/>
  <c r="G1070" i="1"/>
  <c r="F1070" i="1"/>
  <c r="E1070" i="1"/>
  <c r="D1070" i="1"/>
  <c r="C1070" i="1"/>
  <c r="G1069" i="1"/>
  <c r="F1069" i="1"/>
  <c r="E1069" i="1"/>
  <c r="D1069" i="1"/>
  <c r="C1069" i="1"/>
  <c r="G1068" i="1"/>
  <c r="F1068" i="1"/>
  <c r="E1068" i="1"/>
  <c r="D1068" i="1"/>
  <c r="C1068" i="1"/>
  <c r="G1067" i="1"/>
  <c r="F1067" i="1"/>
  <c r="E1067" i="1"/>
  <c r="D1067" i="1"/>
  <c r="C1067" i="1"/>
  <c r="G1066" i="1"/>
  <c r="F1066" i="1"/>
  <c r="E1066" i="1"/>
  <c r="D1066" i="1"/>
  <c r="C1066" i="1"/>
  <c r="G1065" i="1"/>
  <c r="F1065" i="1"/>
  <c r="E1065" i="1"/>
  <c r="D1065" i="1"/>
  <c r="C1065" i="1"/>
  <c r="G1064" i="1"/>
  <c r="F1064" i="1"/>
  <c r="E1064" i="1"/>
  <c r="D1064" i="1"/>
  <c r="C1064" i="1"/>
  <c r="G1063" i="1"/>
  <c r="F1063" i="1"/>
  <c r="E1063" i="1"/>
  <c r="D1063" i="1"/>
  <c r="C1063" i="1"/>
  <c r="G1062" i="1"/>
  <c r="F1062" i="1"/>
  <c r="E1062" i="1"/>
  <c r="D1062" i="1"/>
  <c r="C1062" i="1"/>
  <c r="G1061" i="1"/>
  <c r="F1061" i="1"/>
  <c r="E1061" i="1"/>
  <c r="D1061" i="1"/>
  <c r="C1061" i="1"/>
  <c r="G1060" i="1"/>
  <c r="F1060" i="1"/>
  <c r="E1060" i="1"/>
  <c r="D1060" i="1"/>
  <c r="C1060" i="1"/>
  <c r="G1059" i="1"/>
  <c r="F1059" i="1"/>
  <c r="E1059" i="1"/>
  <c r="D1059" i="1"/>
  <c r="C1059" i="1"/>
  <c r="G1058" i="1"/>
  <c r="F1058" i="1"/>
  <c r="E1058" i="1"/>
  <c r="D1058" i="1"/>
  <c r="C1058" i="1"/>
  <c r="G1057" i="1"/>
  <c r="F1057" i="1"/>
  <c r="E1057" i="1"/>
  <c r="D1057" i="1"/>
  <c r="C1057" i="1"/>
  <c r="G1056" i="1"/>
  <c r="F1056" i="1"/>
  <c r="E1056" i="1"/>
  <c r="D1056" i="1"/>
  <c r="C1056" i="1"/>
  <c r="G1055" i="1"/>
  <c r="F1055" i="1"/>
  <c r="E1055" i="1"/>
  <c r="D1055" i="1"/>
  <c r="C1055" i="1"/>
  <c r="G1054" i="1"/>
  <c r="F1054" i="1"/>
  <c r="E1054" i="1"/>
  <c r="D1054" i="1"/>
  <c r="C1054" i="1"/>
  <c r="G1053" i="1"/>
  <c r="F1053" i="1"/>
  <c r="E1053" i="1"/>
  <c r="D1053" i="1"/>
  <c r="C1053" i="1"/>
  <c r="G1052" i="1"/>
  <c r="F1052" i="1"/>
  <c r="E1052" i="1"/>
  <c r="D1052" i="1"/>
  <c r="C1052" i="1"/>
  <c r="G1051" i="1"/>
  <c r="F1051" i="1"/>
  <c r="E1051" i="1"/>
  <c r="D1051" i="1"/>
  <c r="C1051" i="1"/>
  <c r="G1050" i="1"/>
  <c r="F1050" i="1"/>
  <c r="E1050" i="1"/>
  <c r="D1050" i="1"/>
  <c r="C1050" i="1"/>
  <c r="G1049" i="1"/>
  <c r="F1049" i="1"/>
  <c r="E1049" i="1"/>
  <c r="D1049" i="1"/>
  <c r="C1049" i="1"/>
  <c r="G1048" i="1"/>
  <c r="F1048" i="1"/>
  <c r="E1048" i="1"/>
  <c r="D1048" i="1"/>
  <c r="C1048" i="1"/>
  <c r="G1047" i="1"/>
  <c r="F1047" i="1"/>
  <c r="E1047" i="1"/>
  <c r="D1047" i="1"/>
  <c r="C1047" i="1"/>
  <c r="G1046" i="1"/>
  <c r="F1046" i="1"/>
  <c r="E1046" i="1"/>
  <c r="D1046" i="1"/>
  <c r="C1046" i="1"/>
  <c r="G1045" i="1"/>
  <c r="F1045" i="1"/>
  <c r="E1045" i="1"/>
  <c r="D1045" i="1"/>
  <c r="C1045" i="1"/>
  <c r="G1044" i="1"/>
  <c r="F1044" i="1"/>
  <c r="E1044" i="1"/>
  <c r="D1044" i="1"/>
  <c r="C1044" i="1"/>
  <c r="G1043" i="1"/>
  <c r="F1043" i="1"/>
  <c r="E1043" i="1"/>
  <c r="D1043" i="1"/>
  <c r="C1043" i="1"/>
  <c r="G1042" i="1"/>
  <c r="F1042" i="1"/>
  <c r="E1042" i="1"/>
  <c r="D1042" i="1"/>
  <c r="C1042" i="1"/>
  <c r="G1041" i="1"/>
  <c r="F1041" i="1"/>
  <c r="E1041" i="1"/>
  <c r="D1041" i="1"/>
  <c r="C1041" i="1"/>
  <c r="G1040" i="1"/>
  <c r="F1040" i="1"/>
  <c r="E1040" i="1"/>
  <c r="D1040" i="1"/>
  <c r="C1040" i="1"/>
  <c r="G1039" i="1"/>
  <c r="F1039" i="1"/>
  <c r="E1039" i="1"/>
  <c r="D1039" i="1"/>
  <c r="C1039" i="1"/>
  <c r="G1038" i="1"/>
  <c r="F1038" i="1"/>
  <c r="E1038" i="1"/>
  <c r="D1038" i="1"/>
  <c r="C1038" i="1"/>
  <c r="G1037" i="1"/>
  <c r="F1037" i="1"/>
  <c r="E1037" i="1"/>
  <c r="D1037" i="1"/>
  <c r="C1037" i="1"/>
  <c r="G1036" i="1"/>
  <c r="F1036" i="1"/>
  <c r="E1036" i="1"/>
  <c r="D1036" i="1"/>
  <c r="C1036" i="1"/>
  <c r="G1035" i="1"/>
  <c r="F1035" i="1"/>
  <c r="E1035" i="1"/>
  <c r="D1035" i="1"/>
  <c r="C1035" i="1"/>
  <c r="G1034" i="1"/>
  <c r="F1034" i="1"/>
  <c r="E1034" i="1"/>
  <c r="D1034" i="1"/>
  <c r="C1034" i="1"/>
  <c r="G1033" i="1"/>
  <c r="F1033" i="1"/>
  <c r="E1033" i="1"/>
  <c r="D1033" i="1"/>
  <c r="C1033" i="1"/>
  <c r="G1032" i="1"/>
  <c r="F1032" i="1"/>
  <c r="E1032" i="1"/>
  <c r="D1032" i="1"/>
  <c r="C1032" i="1"/>
  <c r="G1031" i="1"/>
  <c r="F1031" i="1"/>
  <c r="E1031" i="1"/>
  <c r="D1031" i="1"/>
  <c r="C1031" i="1"/>
  <c r="G1030" i="1"/>
  <c r="F1030" i="1"/>
  <c r="E1030" i="1"/>
  <c r="D1030" i="1"/>
  <c r="C1030" i="1"/>
  <c r="G1029" i="1"/>
  <c r="F1029" i="1"/>
  <c r="E1029" i="1"/>
  <c r="D1029" i="1"/>
  <c r="C1029" i="1"/>
  <c r="G1028" i="1"/>
  <c r="F1028" i="1"/>
  <c r="E1028" i="1"/>
  <c r="D1028" i="1"/>
  <c r="C1028" i="1"/>
  <c r="G1027" i="1"/>
  <c r="F1027" i="1"/>
  <c r="E1027" i="1"/>
  <c r="D1027" i="1"/>
  <c r="C1027" i="1"/>
  <c r="G1026" i="1"/>
  <c r="F1026" i="1"/>
  <c r="E1026" i="1"/>
  <c r="D1026" i="1"/>
  <c r="C1026" i="1"/>
  <c r="G1025" i="1"/>
  <c r="F1025" i="1"/>
  <c r="E1025" i="1"/>
  <c r="D1025" i="1"/>
  <c r="C1025" i="1"/>
  <c r="G1024" i="1"/>
  <c r="F1024" i="1"/>
  <c r="E1024" i="1"/>
  <c r="D1024" i="1"/>
  <c r="C1024" i="1"/>
  <c r="G1023" i="1"/>
  <c r="F1023" i="1"/>
  <c r="E1023" i="1"/>
  <c r="D1023" i="1"/>
  <c r="C1023" i="1"/>
  <c r="G1022" i="1"/>
  <c r="F1022" i="1"/>
  <c r="E1022" i="1"/>
  <c r="D1022" i="1"/>
  <c r="C1022" i="1"/>
  <c r="G1021" i="1"/>
  <c r="F1021" i="1"/>
  <c r="E1021" i="1"/>
  <c r="D1021" i="1"/>
  <c r="C1021" i="1"/>
  <c r="G1020" i="1"/>
  <c r="F1020" i="1"/>
  <c r="E1020" i="1"/>
  <c r="D1020" i="1"/>
  <c r="C1020" i="1"/>
  <c r="G1019" i="1"/>
  <c r="F1019" i="1"/>
  <c r="E1019" i="1"/>
  <c r="D1019" i="1"/>
  <c r="C1019" i="1"/>
  <c r="G1018" i="1"/>
  <c r="F1018" i="1"/>
  <c r="E1018" i="1"/>
  <c r="D1018" i="1"/>
  <c r="C1018" i="1"/>
  <c r="G1017" i="1"/>
  <c r="F1017" i="1"/>
  <c r="E1017" i="1"/>
  <c r="D1017" i="1"/>
  <c r="C1017" i="1"/>
  <c r="G1016" i="1"/>
  <c r="F1016" i="1"/>
  <c r="E1016" i="1"/>
  <c r="D1016" i="1"/>
  <c r="C1016" i="1"/>
  <c r="G1015" i="1"/>
  <c r="F1015" i="1"/>
  <c r="E1015" i="1"/>
  <c r="D1015" i="1"/>
  <c r="C1015" i="1"/>
  <c r="G1014" i="1"/>
  <c r="F1014" i="1"/>
  <c r="E1014" i="1"/>
  <c r="D1014" i="1"/>
  <c r="C1014" i="1"/>
  <c r="G1013" i="1"/>
  <c r="F1013" i="1"/>
  <c r="E1013" i="1"/>
  <c r="D1013" i="1"/>
  <c r="C1013" i="1"/>
  <c r="G1012" i="1"/>
  <c r="F1012" i="1"/>
  <c r="E1012" i="1"/>
  <c r="D1012" i="1"/>
  <c r="C1012" i="1"/>
  <c r="G1011" i="1"/>
  <c r="F1011" i="1"/>
  <c r="E1011" i="1"/>
  <c r="D1011" i="1"/>
  <c r="C1011" i="1"/>
  <c r="G1010" i="1"/>
  <c r="F1010" i="1"/>
  <c r="E1010" i="1"/>
  <c r="D1010" i="1"/>
  <c r="C1010" i="1"/>
  <c r="G1009" i="1"/>
  <c r="F1009" i="1"/>
  <c r="E1009" i="1"/>
  <c r="D1009" i="1"/>
  <c r="C1009" i="1"/>
  <c r="G1008" i="1"/>
  <c r="F1008" i="1"/>
  <c r="E1008" i="1"/>
  <c r="D1008" i="1"/>
  <c r="C1008" i="1"/>
  <c r="G1007" i="1"/>
  <c r="F1007" i="1"/>
  <c r="E1007" i="1"/>
  <c r="D1007" i="1"/>
  <c r="C1007" i="1"/>
  <c r="G1006" i="1"/>
  <c r="F1006" i="1"/>
  <c r="E1006" i="1"/>
  <c r="D1006" i="1"/>
  <c r="C1006" i="1"/>
  <c r="G1005" i="1"/>
  <c r="F1005" i="1"/>
  <c r="E1005" i="1"/>
  <c r="D1005" i="1"/>
  <c r="C1005" i="1"/>
  <c r="G1004" i="1"/>
  <c r="F1004" i="1"/>
  <c r="E1004" i="1"/>
  <c r="D1004" i="1"/>
  <c r="C1004" i="1"/>
  <c r="G1003" i="1"/>
  <c r="F1003" i="1"/>
  <c r="E1003" i="1"/>
  <c r="D1003" i="1"/>
  <c r="C1003" i="1"/>
  <c r="G1002" i="1"/>
  <c r="F1002" i="1"/>
  <c r="E1002" i="1"/>
  <c r="D1002" i="1"/>
  <c r="C1002" i="1"/>
  <c r="G1001" i="1"/>
  <c r="F1001" i="1"/>
  <c r="E1001" i="1"/>
  <c r="D1001" i="1"/>
  <c r="C1001" i="1"/>
  <c r="G1000" i="1"/>
  <c r="F1000" i="1"/>
  <c r="E1000" i="1"/>
  <c r="D1000" i="1"/>
  <c r="C1000" i="1"/>
  <c r="G999" i="1"/>
  <c r="F999" i="1"/>
  <c r="E999" i="1"/>
  <c r="D999" i="1"/>
  <c r="C999" i="1"/>
  <c r="G998" i="1"/>
  <c r="F998" i="1"/>
  <c r="E998" i="1"/>
  <c r="D998" i="1"/>
  <c r="C998" i="1"/>
  <c r="G997" i="1"/>
  <c r="F997" i="1"/>
  <c r="E997" i="1"/>
  <c r="D997" i="1"/>
  <c r="C997" i="1"/>
  <c r="G996" i="1"/>
  <c r="F996" i="1"/>
  <c r="E996" i="1"/>
  <c r="D996" i="1"/>
  <c r="C996" i="1"/>
  <c r="G995" i="1"/>
  <c r="F995" i="1"/>
  <c r="E995" i="1"/>
  <c r="D995" i="1"/>
  <c r="C995" i="1"/>
  <c r="G994" i="1"/>
  <c r="F994" i="1"/>
  <c r="E994" i="1"/>
  <c r="D994" i="1"/>
  <c r="C994" i="1"/>
  <c r="G993" i="1"/>
  <c r="F993" i="1"/>
  <c r="E993" i="1"/>
  <c r="D993" i="1"/>
  <c r="C993" i="1"/>
  <c r="G992" i="1"/>
  <c r="F992" i="1"/>
  <c r="E992" i="1"/>
  <c r="D992" i="1"/>
  <c r="C992" i="1"/>
  <c r="G991" i="1"/>
  <c r="F991" i="1"/>
  <c r="E991" i="1"/>
  <c r="D991" i="1"/>
  <c r="C991" i="1"/>
  <c r="G990" i="1"/>
  <c r="F990" i="1"/>
  <c r="E990" i="1"/>
  <c r="D990" i="1"/>
  <c r="C990" i="1"/>
  <c r="G989" i="1"/>
  <c r="F989" i="1"/>
  <c r="E989" i="1"/>
  <c r="D989" i="1"/>
  <c r="C989" i="1"/>
  <c r="G988" i="1"/>
  <c r="F988" i="1"/>
  <c r="E988" i="1"/>
  <c r="D988" i="1"/>
  <c r="C988" i="1"/>
  <c r="G987" i="1"/>
  <c r="F987" i="1"/>
  <c r="E987" i="1"/>
  <c r="D987" i="1"/>
  <c r="C987" i="1"/>
  <c r="G986" i="1"/>
  <c r="F986" i="1"/>
  <c r="E986" i="1"/>
  <c r="D986" i="1"/>
  <c r="C986" i="1"/>
  <c r="G985" i="1"/>
  <c r="F985" i="1"/>
  <c r="E985" i="1"/>
  <c r="D985" i="1"/>
  <c r="C985" i="1"/>
  <c r="G984" i="1"/>
  <c r="F984" i="1"/>
  <c r="E984" i="1"/>
  <c r="D984" i="1"/>
  <c r="C984" i="1"/>
  <c r="G983" i="1"/>
  <c r="F983" i="1"/>
  <c r="E983" i="1"/>
  <c r="D983" i="1"/>
  <c r="C983" i="1"/>
  <c r="G982" i="1"/>
  <c r="F982" i="1"/>
  <c r="E982" i="1"/>
  <c r="D982" i="1"/>
  <c r="C982" i="1"/>
  <c r="G981" i="1"/>
  <c r="F981" i="1"/>
  <c r="E981" i="1"/>
  <c r="D981" i="1"/>
  <c r="C981" i="1"/>
  <c r="G980" i="1"/>
  <c r="F980" i="1"/>
  <c r="E980" i="1"/>
  <c r="D980" i="1"/>
  <c r="C980" i="1"/>
  <c r="G979" i="1"/>
  <c r="F979" i="1"/>
  <c r="E979" i="1"/>
  <c r="D979" i="1"/>
  <c r="C979" i="1"/>
  <c r="G978" i="1"/>
  <c r="F978" i="1"/>
  <c r="E978" i="1"/>
  <c r="D978" i="1"/>
  <c r="C978" i="1"/>
  <c r="G977" i="1"/>
  <c r="F977" i="1"/>
  <c r="E977" i="1"/>
  <c r="D977" i="1"/>
  <c r="C977" i="1"/>
  <c r="G976" i="1"/>
  <c r="F976" i="1"/>
  <c r="E976" i="1"/>
  <c r="D976" i="1"/>
  <c r="C976" i="1"/>
  <c r="G975" i="1"/>
  <c r="F975" i="1"/>
  <c r="E975" i="1"/>
  <c r="D975" i="1"/>
  <c r="C975" i="1"/>
  <c r="G974" i="1"/>
  <c r="F974" i="1"/>
  <c r="E974" i="1"/>
  <c r="D974" i="1"/>
  <c r="C974" i="1"/>
  <c r="G973" i="1"/>
  <c r="F973" i="1"/>
  <c r="E973" i="1"/>
  <c r="D973" i="1"/>
  <c r="C973" i="1"/>
  <c r="G972" i="1"/>
  <c r="F972" i="1"/>
  <c r="E972" i="1"/>
  <c r="D972" i="1"/>
  <c r="C972" i="1"/>
  <c r="G971" i="1"/>
  <c r="F971" i="1"/>
  <c r="E971" i="1"/>
  <c r="D971" i="1"/>
  <c r="C971" i="1"/>
  <c r="G970" i="1"/>
  <c r="F970" i="1"/>
  <c r="E970" i="1"/>
  <c r="D970" i="1"/>
  <c r="C970" i="1"/>
  <c r="G969" i="1"/>
  <c r="F969" i="1"/>
  <c r="E969" i="1"/>
  <c r="D969" i="1"/>
  <c r="C969" i="1"/>
  <c r="G968" i="1"/>
  <c r="F968" i="1"/>
  <c r="E968" i="1"/>
  <c r="D968" i="1"/>
  <c r="C968" i="1"/>
  <c r="G967" i="1"/>
  <c r="F967" i="1"/>
  <c r="E967" i="1"/>
  <c r="D967" i="1"/>
  <c r="C967" i="1"/>
  <c r="G966" i="1"/>
  <c r="F966" i="1"/>
  <c r="E966" i="1"/>
  <c r="D966" i="1"/>
  <c r="C966" i="1"/>
  <c r="G965" i="1"/>
  <c r="F965" i="1"/>
  <c r="E965" i="1"/>
  <c r="D965" i="1"/>
  <c r="C965" i="1"/>
  <c r="G964" i="1"/>
  <c r="F964" i="1"/>
  <c r="E964" i="1"/>
  <c r="D964" i="1"/>
  <c r="C964" i="1"/>
  <c r="G963" i="1"/>
  <c r="F963" i="1"/>
  <c r="E963" i="1"/>
  <c r="D963" i="1"/>
  <c r="C963" i="1"/>
  <c r="G962" i="1"/>
  <c r="F962" i="1"/>
  <c r="E962" i="1"/>
  <c r="D962" i="1"/>
  <c r="C962" i="1"/>
  <c r="G961" i="1"/>
  <c r="F961" i="1"/>
  <c r="E961" i="1"/>
  <c r="D961" i="1"/>
  <c r="C961" i="1"/>
  <c r="G960" i="1"/>
  <c r="F960" i="1"/>
  <c r="E960" i="1"/>
  <c r="D960" i="1"/>
  <c r="C960" i="1"/>
  <c r="G959" i="1"/>
  <c r="F959" i="1"/>
  <c r="E959" i="1"/>
  <c r="D959" i="1"/>
  <c r="C959" i="1"/>
  <c r="G958" i="1"/>
  <c r="F958" i="1"/>
  <c r="E958" i="1"/>
  <c r="D958" i="1"/>
  <c r="C958" i="1"/>
  <c r="G957" i="1"/>
  <c r="F957" i="1"/>
  <c r="E957" i="1"/>
  <c r="D957" i="1"/>
  <c r="C957" i="1"/>
  <c r="G956" i="1"/>
  <c r="F956" i="1"/>
  <c r="E956" i="1"/>
  <c r="D956" i="1"/>
  <c r="C956" i="1"/>
  <c r="G955" i="1"/>
  <c r="F955" i="1"/>
  <c r="E955" i="1"/>
  <c r="D955" i="1"/>
  <c r="C955" i="1"/>
  <c r="G954" i="1"/>
  <c r="F954" i="1"/>
  <c r="E954" i="1"/>
  <c r="D954" i="1"/>
  <c r="C954" i="1"/>
  <c r="G953" i="1"/>
  <c r="F953" i="1"/>
  <c r="E953" i="1"/>
  <c r="D953" i="1"/>
  <c r="C953" i="1"/>
  <c r="G952" i="1"/>
  <c r="F952" i="1"/>
  <c r="E952" i="1"/>
  <c r="D952" i="1"/>
  <c r="C952" i="1"/>
  <c r="G951" i="1"/>
  <c r="F951" i="1"/>
  <c r="E951" i="1"/>
  <c r="D951" i="1"/>
  <c r="C951" i="1"/>
  <c r="G950" i="1"/>
  <c r="F950" i="1"/>
  <c r="E950" i="1"/>
  <c r="D950" i="1"/>
  <c r="C950" i="1"/>
  <c r="G949" i="1"/>
  <c r="F949" i="1"/>
  <c r="E949" i="1"/>
  <c r="D949" i="1"/>
  <c r="C949" i="1"/>
  <c r="G948" i="1"/>
  <c r="F948" i="1"/>
  <c r="E948" i="1"/>
  <c r="D948" i="1"/>
  <c r="C948" i="1"/>
  <c r="G947" i="1"/>
  <c r="F947" i="1"/>
  <c r="E947" i="1"/>
  <c r="D947" i="1"/>
  <c r="C947" i="1"/>
  <c r="G946" i="1"/>
  <c r="F946" i="1"/>
  <c r="E946" i="1"/>
  <c r="D946" i="1"/>
  <c r="C946" i="1"/>
  <c r="G945" i="1"/>
  <c r="F945" i="1"/>
  <c r="E945" i="1"/>
  <c r="D945" i="1"/>
  <c r="C945" i="1"/>
  <c r="G944" i="1"/>
  <c r="F944" i="1"/>
  <c r="E944" i="1"/>
  <c r="D944" i="1"/>
  <c r="C944" i="1"/>
  <c r="G943" i="1"/>
  <c r="F943" i="1"/>
  <c r="E943" i="1"/>
  <c r="D943" i="1"/>
  <c r="C943" i="1"/>
  <c r="G942" i="1"/>
  <c r="F942" i="1"/>
  <c r="E942" i="1"/>
  <c r="D942" i="1"/>
  <c r="C942" i="1"/>
  <c r="G941" i="1"/>
  <c r="F941" i="1"/>
  <c r="E941" i="1"/>
  <c r="D941" i="1"/>
  <c r="C941" i="1"/>
  <c r="G940" i="1"/>
  <c r="F940" i="1"/>
  <c r="E940" i="1"/>
  <c r="D940" i="1"/>
  <c r="C940" i="1"/>
  <c r="G939" i="1"/>
  <c r="F939" i="1"/>
  <c r="E939" i="1"/>
  <c r="D939" i="1"/>
  <c r="C939" i="1"/>
  <c r="G938" i="1"/>
  <c r="F938" i="1"/>
  <c r="E938" i="1"/>
  <c r="D938" i="1"/>
  <c r="C938" i="1"/>
  <c r="G937" i="1"/>
  <c r="F937" i="1"/>
  <c r="E937" i="1"/>
  <c r="D937" i="1"/>
  <c r="C937" i="1"/>
  <c r="G936" i="1"/>
  <c r="F936" i="1"/>
  <c r="E936" i="1"/>
  <c r="D936" i="1"/>
  <c r="C936" i="1"/>
  <c r="G935" i="1"/>
  <c r="F935" i="1"/>
  <c r="E935" i="1"/>
  <c r="D935" i="1"/>
  <c r="C935" i="1"/>
  <c r="G934" i="1"/>
  <c r="F934" i="1"/>
  <c r="E934" i="1"/>
  <c r="D934" i="1"/>
  <c r="C934" i="1"/>
  <c r="G933" i="1"/>
  <c r="F933" i="1"/>
  <c r="E933" i="1"/>
  <c r="D933" i="1"/>
  <c r="C933" i="1"/>
  <c r="G932" i="1"/>
  <c r="F932" i="1"/>
  <c r="E932" i="1"/>
  <c r="D932" i="1"/>
  <c r="C932" i="1"/>
  <c r="G931" i="1"/>
  <c r="F931" i="1"/>
  <c r="E931" i="1"/>
  <c r="D931" i="1"/>
  <c r="C931" i="1"/>
  <c r="G930" i="1"/>
  <c r="F930" i="1"/>
  <c r="E930" i="1"/>
  <c r="D930" i="1"/>
  <c r="C930" i="1"/>
  <c r="G929" i="1"/>
  <c r="F929" i="1"/>
  <c r="E929" i="1"/>
  <c r="D929" i="1"/>
  <c r="C929" i="1"/>
  <c r="G928" i="1"/>
  <c r="F928" i="1"/>
  <c r="E928" i="1"/>
  <c r="D928" i="1"/>
  <c r="C928" i="1"/>
  <c r="G927" i="1"/>
  <c r="F927" i="1"/>
  <c r="E927" i="1"/>
  <c r="D927" i="1"/>
  <c r="C927" i="1"/>
  <c r="G926" i="1"/>
  <c r="F926" i="1"/>
  <c r="E926" i="1"/>
  <c r="D926" i="1"/>
  <c r="C926" i="1"/>
  <c r="G925" i="1"/>
  <c r="F925" i="1"/>
  <c r="E925" i="1"/>
  <c r="D925" i="1"/>
  <c r="C925" i="1"/>
  <c r="G924" i="1"/>
  <c r="F924" i="1"/>
  <c r="E924" i="1"/>
  <c r="D924" i="1"/>
  <c r="C924" i="1"/>
  <c r="G923" i="1"/>
  <c r="F923" i="1"/>
  <c r="E923" i="1"/>
  <c r="D923" i="1"/>
  <c r="C923" i="1"/>
  <c r="G922" i="1"/>
  <c r="F922" i="1"/>
  <c r="E922" i="1"/>
  <c r="D922" i="1"/>
  <c r="C922" i="1"/>
  <c r="G921" i="1"/>
  <c r="F921" i="1"/>
  <c r="E921" i="1"/>
  <c r="D921" i="1"/>
  <c r="C921" i="1"/>
  <c r="G920" i="1"/>
  <c r="F920" i="1"/>
  <c r="E920" i="1"/>
  <c r="D920" i="1"/>
  <c r="C920" i="1"/>
  <c r="G919" i="1"/>
  <c r="F919" i="1"/>
  <c r="E919" i="1"/>
  <c r="D919" i="1"/>
  <c r="C919" i="1"/>
  <c r="G918" i="1"/>
  <c r="F918" i="1"/>
  <c r="E918" i="1"/>
  <c r="D918" i="1"/>
  <c r="C918" i="1"/>
  <c r="G917" i="1"/>
  <c r="F917" i="1"/>
  <c r="E917" i="1"/>
  <c r="D917" i="1"/>
  <c r="C917" i="1"/>
  <c r="G916" i="1"/>
  <c r="F916" i="1"/>
  <c r="E916" i="1"/>
  <c r="D916" i="1"/>
  <c r="C916" i="1"/>
  <c r="G915" i="1"/>
  <c r="F915" i="1"/>
  <c r="E915" i="1"/>
  <c r="D915" i="1"/>
  <c r="C915" i="1"/>
  <c r="G914" i="1"/>
  <c r="F914" i="1"/>
  <c r="E914" i="1"/>
  <c r="D914" i="1"/>
  <c r="C914" i="1"/>
  <c r="G913" i="1"/>
  <c r="F913" i="1"/>
  <c r="E913" i="1"/>
  <c r="D913" i="1"/>
  <c r="C913" i="1"/>
  <c r="G912" i="1"/>
  <c r="F912" i="1"/>
  <c r="E912" i="1"/>
  <c r="D912" i="1"/>
  <c r="C912" i="1"/>
  <c r="G911" i="1"/>
  <c r="F911" i="1"/>
  <c r="E911" i="1"/>
  <c r="D911" i="1"/>
  <c r="C911" i="1"/>
  <c r="G910" i="1"/>
  <c r="F910" i="1"/>
  <c r="E910" i="1"/>
  <c r="D910" i="1"/>
  <c r="C910" i="1"/>
  <c r="G909" i="1"/>
  <c r="F909" i="1"/>
  <c r="E909" i="1"/>
  <c r="D909" i="1"/>
  <c r="C909" i="1"/>
  <c r="G908" i="1"/>
  <c r="F908" i="1"/>
  <c r="E908" i="1"/>
  <c r="D908" i="1"/>
  <c r="C908" i="1"/>
  <c r="G907" i="1"/>
  <c r="F907" i="1"/>
  <c r="E907" i="1"/>
  <c r="D907" i="1"/>
  <c r="C907" i="1"/>
  <c r="G906" i="1"/>
  <c r="F906" i="1"/>
  <c r="E906" i="1"/>
  <c r="D906" i="1"/>
  <c r="C906" i="1"/>
  <c r="G905" i="1"/>
  <c r="F905" i="1"/>
  <c r="E905" i="1"/>
  <c r="D905" i="1"/>
  <c r="C905" i="1"/>
  <c r="G904" i="1"/>
  <c r="F904" i="1"/>
  <c r="E904" i="1"/>
  <c r="D904" i="1"/>
  <c r="C904" i="1"/>
  <c r="G903" i="1"/>
  <c r="F903" i="1"/>
  <c r="E903" i="1"/>
  <c r="D903" i="1"/>
  <c r="C903" i="1"/>
  <c r="G902" i="1"/>
  <c r="F902" i="1"/>
  <c r="E902" i="1"/>
  <c r="D902" i="1"/>
  <c r="C902" i="1"/>
  <c r="G901" i="1"/>
  <c r="F901" i="1"/>
  <c r="E901" i="1"/>
  <c r="D901" i="1"/>
  <c r="C901" i="1"/>
  <c r="G900" i="1"/>
  <c r="F900" i="1"/>
  <c r="E900" i="1"/>
  <c r="D900" i="1"/>
  <c r="C900" i="1"/>
  <c r="G899" i="1"/>
  <c r="F899" i="1"/>
  <c r="E899" i="1"/>
  <c r="D899" i="1"/>
  <c r="C899" i="1"/>
  <c r="G898" i="1"/>
  <c r="F898" i="1"/>
  <c r="E898" i="1"/>
  <c r="D898" i="1"/>
  <c r="C898" i="1"/>
  <c r="G897" i="1"/>
  <c r="F897" i="1"/>
  <c r="E897" i="1"/>
  <c r="D897" i="1"/>
  <c r="C897" i="1"/>
  <c r="G896" i="1"/>
  <c r="F896" i="1"/>
  <c r="E896" i="1"/>
  <c r="D896" i="1"/>
  <c r="C896" i="1"/>
  <c r="G895" i="1"/>
  <c r="F895" i="1"/>
  <c r="E895" i="1"/>
  <c r="D895" i="1"/>
  <c r="C895" i="1"/>
  <c r="G894" i="1"/>
  <c r="F894" i="1"/>
  <c r="E894" i="1"/>
  <c r="D894" i="1"/>
  <c r="C894" i="1"/>
  <c r="G893" i="1"/>
  <c r="F893" i="1"/>
  <c r="E893" i="1"/>
  <c r="D893" i="1"/>
  <c r="C893" i="1"/>
  <c r="G892" i="1"/>
  <c r="F892" i="1"/>
  <c r="E892" i="1"/>
  <c r="D892" i="1"/>
  <c r="C892" i="1"/>
  <c r="G891" i="1"/>
  <c r="F891" i="1"/>
  <c r="E891" i="1"/>
  <c r="D891" i="1"/>
  <c r="C891" i="1"/>
  <c r="G890" i="1"/>
  <c r="F890" i="1"/>
  <c r="E890" i="1"/>
  <c r="D890" i="1"/>
  <c r="C890" i="1"/>
  <c r="G889" i="1"/>
  <c r="F889" i="1"/>
  <c r="E889" i="1"/>
  <c r="D889" i="1"/>
  <c r="C889" i="1"/>
  <c r="G888" i="1"/>
  <c r="F888" i="1"/>
  <c r="E888" i="1"/>
  <c r="D888" i="1"/>
  <c r="C888" i="1"/>
  <c r="G887" i="1"/>
  <c r="F887" i="1"/>
  <c r="E887" i="1"/>
  <c r="D887" i="1"/>
  <c r="C887" i="1"/>
  <c r="G886" i="1"/>
  <c r="F886" i="1"/>
  <c r="E886" i="1"/>
  <c r="D886" i="1"/>
  <c r="C886" i="1"/>
  <c r="G885" i="1"/>
  <c r="F885" i="1"/>
  <c r="E885" i="1"/>
  <c r="D885" i="1"/>
  <c r="C885" i="1"/>
  <c r="G884" i="1"/>
  <c r="F884" i="1"/>
  <c r="E884" i="1"/>
  <c r="D884" i="1"/>
  <c r="C884" i="1"/>
  <c r="G883" i="1"/>
  <c r="F883" i="1"/>
  <c r="E883" i="1"/>
  <c r="D883" i="1"/>
  <c r="C883" i="1"/>
  <c r="G882" i="1"/>
  <c r="F882" i="1"/>
  <c r="E882" i="1"/>
  <c r="D882" i="1"/>
  <c r="C882" i="1"/>
  <c r="G881" i="1"/>
  <c r="F881" i="1"/>
  <c r="E881" i="1"/>
  <c r="D881" i="1"/>
  <c r="C881" i="1"/>
  <c r="G880" i="1"/>
  <c r="F880" i="1"/>
  <c r="E880" i="1"/>
  <c r="D880" i="1"/>
  <c r="C880" i="1"/>
  <c r="G879" i="1"/>
  <c r="F879" i="1"/>
  <c r="E879" i="1"/>
  <c r="D879" i="1"/>
  <c r="C879" i="1"/>
  <c r="G878" i="1"/>
  <c r="F878" i="1"/>
  <c r="E878" i="1"/>
  <c r="D878" i="1"/>
  <c r="C878" i="1"/>
  <c r="G877" i="1"/>
  <c r="F877" i="1"/>
  <c r="E877" i="1"/>
  <c r="D877" i="1"/>
  <c r="C877" i="1"/>
  <c r="G876" i="1"/>
  <c r="F876" i="1"/>
  <c r="E876" i="1"/>
  <c r="D876" i="1"/>
  <c r="C876" i="1"/>
  <c r="G875" i="1"/>
  <c r="F875" i="1"/>
  <c r="E875" i="1"/>
  <c r="D875" i="1"/>
  <c r="C875" i="1"/>
  <c r="G874" i="1"/>
  <c r="F874" i="1"/>
  <c r="E874" i="1"/>
  <c r="D874" i="1"/>
  <c r="C874" i="1"/>
  <c r="G873" i="1"/>
  <c r="F873" i="1"/>
  <c r="E873" i="1"/>
  <c r="D873" i="1"/>
  <c r="C873" i="1"/>
  <c r="G872" i="1"/>
  <c r="F872" i="1"/>
  <c r="E872" i="1"/>
  <c r="D872" i="1"/>
  <c r="C872" i="1"/>
  <c r="G871" i="1"/>
  <c r="F871" i="1"/>
  <c r="E871" i="1"/>
  <c r="D871" i="1"/>
  <c r="C871" i="1"/>
  <c r="G870" i="1"/>
  <c r="F870" i="1"/>
  <c r="E870" i="1"/>
  <c r="D870" i="1"/>
  <c r="C870" i="1"/>
  <c r="G869" i="1"/>
  <c r="F869" i="1"/>
  <c r="E869" i="1"/>
  <c r="D869" i="1"/>
  <c r="C869" i="1"/>
  <c r="G868" i="1"/>
  <c r="F868" i="1"/>
  <c r="E868" i="1"/>
  <c r="D868" i="1"/>
  <c r="C868" i="1"/>
  <c r="G867" i="1"/>
  <c r="F867" i="1"/>
  <c r="E867" i="1"/>
  <c r="D867" i="1"/>
  <c r="C867" i="1"/>
  <c r="G866" i="1"/>
  <c r="F866" i="1"/>
  <c r="E866" i="1"/>
  <c r="D866" i="1"/>
  <c r="C866" i="1"/>
  <c r="G865" i="1"/>
  <c r="F865" i="1"/>
  <c r="E865" i="1"/>
  <c r="D865" i="1"/>
  <c r="C865" i="1"/>
  <c r="G864" i="1"/>
  <c r="F864" i="1"/>
  <c r="E864" i="1"/>
  <c r="D864" i="1"/>
  <c r="C864" i="1"/>
  <c r="G863" i="1"/>
  <c r="F863" i="1"/>
  <c r="E863" i="1"/>
  <c r="D863" i="1"/>
  <c r="C863" i="1"/>
  <c r="G862" i="1"/>
  <c r="F862" i="1"/>
  <c r="E862" i="1"/>
  <c r="D862" i="1"/>
  <c r="C862" i="1"/>
  <c r="G861" i="1"/>
  <c r="F861" i="1"/>
  <c r="E861" i="1"/>
  <c r="D861" i="1"/>
  <c r="C861" i="1"/>
  <c r="G860" i="1"/>
  <c r="F860" i="1"/>
  <c r="E860" i="1"/>
  <c r="D860" i="1"/>
  <c r="C860" i="1"/>
  <c r="G859" i="1"/>
  <c r="F859" i="1"/>
  <c r="E859" i="1"/>
  <c r="D859" i="1"/>
  <c r="C859" i="1"/>
  <c r="G858" i="1"/>
  <c r="F858" i="1"/>
  <c r="E858" i="1"/>
  <c r="D858" i="1"/>
  <c r="C858" i="1"/>
  <c r="G857" i="1"/>
  <c r="F857" i="1"/>
  <c r="E857" i="1"/>
  <c r="D857" i="1"/>
  <c r="C857" i="1"/>
  <c r="G856" i="1"/>
  <c r="F856" i="1"/>
  <c r="E856" i="1"/>
  <c r="D856" i="1"/>
  <c r="C856" i="1"/>
  <c r="G855" i="1"/>
  <c r="F855" i="1"/>
  <c r="E855" i="1"/>
  <c r="D855" i="1"/>
  <c r="C855" i="1"/>
  <c r="G854" i="1"/>
  <c r="F854" i="1"/>
  <c r="E854" i="1"/>
  <c r="D854" i="1"/>
  <c r="C854" i="1"/>
  <c r="G853" i="1"/>
  <c r="F853" i="1"/>
  <c r="E853" i="1"/>
  <c r="D853" i="1"/>
  <c r="C853" i="1"/>
  <c r="G852" i="1"/>
  <c r="F852" i="1"/>
  <c r="E852" i="1"/>
  <c r="D852" i="1"/>
  <c r="C852" i="1"/>
  <c r="G851" i="1"/>
  <c r="F851" i="1"/>
  <c r="E851" i="1"/>
  <c r="D851" i="1"/>
  <c r="C851" i="1"/>
  <c r="G850" i="1"/>
  <c r="F850" i="1"/>
  <c r="E850" i="1"/>
  <c r="D850" i="1"/>
  <c r="C850" i="1"/>
  <c r="G849" i="1"/>
  <c r="F849" i="1"/>
  <c r="E849" i="1"/>
  <c r="D849" i="1"/>
  <c r="C849" i="1"/>
  <c r="G848" i="1"/>
  <c r="F848" i="1"/>
  <c r="E848" i="1"/>
  <c r="D848" i="1"/>
  <c r="C848" i="1"/>
  <c r="G847" i="1"/>
  <c r="F847" i="1"/>
  <c r="E847" i="1"/>
  <c r="D847" i="1"/>
  <c r="C847" i="1"/>
  <c r="G846" i="1"/>
  <c r="F846" i="1"/>
  <c r="E846" i="1"/>
  <c r="D846" i="1"/>
  <c r="C846" i="1"/>
  <c r="G845" i="1"/>
  <c r="F845" i="1"/>
  <c r="E845" i="1"/>
  <c r="D845" i="1"/>
  <c r="C845" i="1"/>
  <c r="G844" i="1"/>
  <c r="F844" i="1"/>
  <c r="E844" i="1"/>
  <c r="D844" i="1"/>
  <c r="C844" i="1"/>
  <c r="G843" i="1"/>
  <c r="F843" i="1"/>
  <c r="E843" i="1"/>
  <c r="D843" i="1"/>
  <c r="C843" i="1"/>
  <c r="G842" i="1"/>
  <c r="F842" i="1"/>
  <c r="E842" i="1"/>
  <c r="D842" i="1"/>
  <c r="C842" i="1"/>
  <c r="G841" i="1"/>
  <c r="F841" i="1"/>
  <c r="E841" i="1"/>
  <c r="D841" i="1"/>
  <c r="C841" i="1"/>
  <c r="G840" i="1"/>
  <c r="F840" i="1"/>
  <c r="E840" i="1"/>
  <c r="D840" i="1"/>
  <c r="C840" i="1"/>
  <c r="G839" i="1"/>
  <c r="F839" i="1"/>
  <c r="E839" i="1"/>
  <c r="D839" i="1"/>
  <c r="C839" i="1"/>
  <c r="G838" i="1"/>
  <c r="F838" i="1"/>
  <c r="E838" i="1"/>
  <c r="D838" i="1"/>
  <c r="C838" i="1"/>
  <c r="G837" i="1"/>
  <c r="F837" i="1"/>
  <c r="E837" i="1"/>
  <c r="D837" i="1"/>
  <c r="C837" i="1"/>
  <c r="G836" i="1"/>
  <c r="F836" i="1"/>
  <c r="E836" i="1"/>
  <c r="D836" i="1"/>
  <c r="C836" i="1"/>
  <c r="G835" i="1"/>
  <c r="F835" i="1"/>
  <c r="E835" i="1"/>
  <c r="D835" i="1"/>
  <c r="C835" i="1"/>
  <c r="G834" i="1"/>
  <c r="F834" i="1"/>
  <c r="E834" i="1"/>
  <c r="D834" i="1"/>
  <c r="C834" i="1"/>
  <c r="G833" i="1"/>
  <c r="F833" i="1"/>
  <c r="E833" i="1"/>
  <c r="D833" i="1"/>
  <c r="C833" i="1"/>
  <c r="G832" i="1"/>
  <c r="F832" i="1"/>
  <c r="E832" i="1"/>
  <c r="D832" i="1"/>
  <c r="C832" i="1"/>
  <c r="G831" i="1"/>
  <c r="F831" i="1"/>
  <c r="E831" i="1"/>
  <c r="D831" i="1"/>
  <c r="C831" i="1"/>
  <c r="G830" i="1"/>
  <c r="F830" i="1"/>
  <c r="E830" i="1"/>
  <c r="D830" i="1"/>
  <c r="C830" i="1"/>
  <c r="G829" i="1"/>
  <c r="F829" i="1"/>
  <c r="E829" i="1"/>
  <c r="D829" i="1"/>
  <c r="C829" i="1"/>
  <c r="G828" i="1"/>
  <c r="F828" i="1"/>
  <c r="E828" i="1"/>
  <c r="D828" i="1"/>
  <c r="C828" i="1"/>
  <c r="G827" i="1"/>
  <c r="F827" i="1"/>
  <c r="E827" i="1"/>
  <c r="D827" i="1"/>
  <c r="C827" i="1"/>
  <c r="G826" i="1"/>
  <c r="F826" i="1"/>
  <c r="E826" i="1"/>
  <c r="D826" i="1"/>
  <c r="C826" i="1"/>
  <c r="G825" i="1"/>
  <c r="F825" i="1"/>
  <c r="E825" i="1"/>
  <c r="D825" i="1"/>
  <c r="C825" i="1"/>
  <c r="G824" i="1"/>
  <c r="F824" i="1"/>
  <c r="E824" i="1"/>
  <c r="D824" i="1"/>
  <c r="C824" i="1"/>
  <c r="G823" i="1"/>
  <c r="F823" i="1"/>
  <c r="E823" i="1"/>
  <c r="D823" i="1"/>
  <c r="C823" i="1"/>
  <c r="G822" i="1"/>
  <c r="F822" i="1"/>
  <c r="E822" i="1"/>
  <c r="D822" i="1"/>
  <c r="C822" i="1"/>
  <c r="G821" i="1"/>
  <c r="F821" i="1"/>
  <c r="E821" i="1"/>
  <c r="D821" i="1"/>
  <c r="C821" i="1"/>
  <c r="G820" i="1"/>
  <c r="F820" i="1"/>
  <c r="E820" i="1"/>
  <c r="D820" i="1"/>
  <c r="C820" i="1"/>
  <c r="G819" i="1"/>
  <c r="F819" i="1"/>
  <c r="E819" i="1"/>
  <c r="D819" i="1"/>
  <c r="C819" i="1"/>
  <c r="G818" i="1"/>
  <c r="F818" i="1"/>
  <c r="E818" i="1"/>
  <c r="D818" i="1"/>
  <c r="C818" i="1"/>
  <c r="G817" i="1"/>
  <c r="F817" i="1"/>
  <c r="E817" i="1"/>
  <c r="D817" i="1"/>
  <c r="C817" i="1"/>
  <c r="G816" i="1"/>
  <c r="F816" i="1"/>
  <c r="E816" i="1"/>
  <c r="D816" i="1"/>
  <c r="C816" i="1"/>
  <c r="G815" i="1"/>
  <c r="F815" i="1"/>
  <c r="E815" i="1"/>
  <c r="D815" i="1"/>
  <c r="C815" i="1"/>
  <c r="G814" i="1"/>
  <c r="F814" i="1"/>
  <c r="E814" i="1"/>
  <c r="D814" i="1"/>
  <c r="C814" i="1"/>
  <c r="G813" i="1"/>
  <c r="F813" i="1"/>
  <c r="E813" i="1"/>
  <c r="D813" i="1"/>
  <c r="C813" i="1"/>
  <c r="G812" i="1"/>
  <c r="F812" i="1"/>
  <c r="E812" i="1"/>
  <c r="D812" i="1"/>
  <c r="C812" i="1"/>
  <c r="G811" i="1"/>
  <c r="F811" i="1"/>
  <c r="E811" i="1"/>
  <c r="D811" i="1"/>
  <c r="C811" i="1"/>
  <c r="G810" i="1"/>
  <c r="F810" i="1"/>
  <c r="E810" i="1"/>
  <c r="D810" i="1"/>
  <c r="C810" i="1"/>
  <c r="G809" i="1"/>
  <c r="F809" i="1"/>
  <c r="E809" i="1"/>
  <c r="D809" i="1"/>
  <c r="C809" i="1"/>
  <c r="G808" i="1"/>
  <c r="F808" i="1"/>
  <c r="E808" i="1"/>
  <c r="D808" i="1"/>
  <c r="C808" i="1"/>
  <c r="G807" i="1"/>
  <c r="F807" i="1"/>
  <c r="E807" i="1"/>
  <c r="D807" i="1"/>
  <c r="C807" i="1"/>
  <c r="G806" i="1"/>
  <c r="F806" i="1"/>
  <c r="E806" i="1"/>
  <c r="D806" i="1"/>
  <c r="C806" i="1"/>
  <c r="G805" i="1"/>
  <c r="F805" i="1"/>
  <c r="E805" i="1"/>
  <c r="D805" i="1"/>
  <c r="C805" i="1"/>
  <c r="G804" i="1"/>
  <c r="F804" i="1"/>
  <c r="E804" i="1"/>
  <c r="D804" i="1"/>
  <c r="C804" i="1"/>
  <c r="G803" i="1"/>
  <c r="F803" i="1"/>
  <c r="E803" i="1"/>
  <c r="D803" i="1"/>
  <c r="C803" i="1"/>
  <c r="G802" i="1"/>
  <c r="F802" i="1"/>
  <c r="E802" i="1"/>
  <c r="D802" i="1"/>
  <c r="C802" i="1"/>
  <c r="G801" i="1"/>
  <c r="F801" i="1"/>
  <c r="E801" i="1"/>
  <c r="D801" i="1"/>
  <c r="C801" i="1"/>
  <c r="G800" i="1"/>
  <c r="F800" i="1"/>
  <c r="E800" i="1"/>
  <c r="D800" i="1"/>
  <c r="C800" i="1"/>
  <c r="G799" i="1"/>
  <c r="F799" i="1"/>
  <c r="E799" i="1"/>
  <c r="D799" i="1"/>
  <c r="C799" i="1"/>
  <c r="G798" i="1"/>
  <c r="F798" i="1"/>
  <c r="E798" i="1"/>
  <c r="D798" i="1"/>
  <c r="C798" i="1"/>
  <c r="G797" i="1"/>
  <c r="F797" i="1"/>
  <c r="E797" i="1"/>
  <c r="D797" i="1"/>
  <c r="C797" i="1"/>
  <c r="G796" i="1"/>
  <c r="F796" i="1"/>
  <c r="E796" i="1"/>
  <c r="D796" i="1"/>
  <c r="C796" i="1"/>
  <c r="G795" i="1"/>
  <c r="F795" i="1"/>
  <c r="E795" i="1"/>
  <c r="D795" i="1"/>
  <c r="C795" i="1"/>
  <c r="G794" i="1"/>
  <c r="F794" i="1"/>
  <c r="E794" i="1"/>
  <c r="D794" i="1"/>
  <c r="C794" i="1"/>
  <c r="G793" i="1"/>
  <c r="F793" i="1"/>
  <c r="E793" i="1"/>
  <c r="D793" i="1"/>
  <c r="C793" i="1"/>
  <c r="G792" i="1"/>
  <c r="F792" i="1"/>
  <c r="E792" i="1"/>
  <c r="D792" i="1"/>
  <c r="C792" i="1"/>
  <c r="G791" i="1"/>
  <c r="F791" i="1"/>
  <c r="E791" i="1"/>
  <c r="D791" i="1"/>
  <c r="C791" i="1"/>
  <c r="G790" i="1"/>
  <c r="F790" i="1"/>
  <c r="E790" i="1"/>
  <c r="D790" i="1"/>
  <c r="C790" i="1"/>
  <c r="G789" i="1"/>
  <c r="F789" i="1"/>
  <c r="E789" i="1"/>
  <c r="D789" i="1"/>
  <c r="C789" i="1"/>
  <c r="G788" i="1"/>
  <c r="F788" i="1"/>
  <c r="E788" i="1"/>
  <c r="D788" i="1"/>
  <c r="C788" i="1"/>
  <c r="G787" i="1"/>
  <c r="F787" i="1"/>
  <c r="E787" i="1"/>
  <c r="D787" i="1"/>
  <c r="C787" i="1"/>
  <c r="G786" i="1"/>
  <c r="F786" i="1"/>
  <c r="E786" i="1"/>
  <c r="D786" i="1"/>
  <c r="C786" i="1"/>
  <c r="G785" i="1"/>
  <c r="F785" i="1"/>
  <c r="E785" i="1"/>
  <c r="D785" i="1"/>
  <c r="C785" i="1"/>
  <c r="G784" i="1"/>
  <c r="F784" i="1"/>
  <c r="E784" i="1"/>
  <c r="D784" i="1"/>
  <c r="C784" i="1"/>
  <c r="G783" i="1"/>
  <c r="F783" i="1"/>
  <c r="E783" i="1"/>
  <c r="D783" i="1"/>
  <c r="C783" i="1"/>
  <c r="G782" i="1"/>
  <c r="F782" i="1"/>
  <c r="E782" i="1"/>
  <c r="D782" i="1"/>
  <c r="C782" i="1"/>
  <c r="G781" i="1"/>
  <c r="F781" i="1"/>
  <c r="E781" i="1"/>
  <c r="D781" i="1"/>
  <c r="C781" i="1"/>
  <c r="G780" i="1"/>
  <c r="F780" i="1"/>
  <c r="E780" i="1"/>
  <c r="D780" i="1"/>
  <c r="C780" i="1"/>
  <c r="G779" i="1"/>
  <c r="F779" i="1"/>
  <c r="E779" i="1"/>
  <c r="D779" i="1"/>
  <c r="C779" i="1"/>
  <c r="G778" i="1"/>
  <c r="F778" i="1"/>
  <c r="E778" i="1"/>
  <c r="D778" i="1"/>
  <c r="C778" i="1"/>
  <c r="G777" i="1"/>
  <c r="F777" i="1"/>
  <c r="E777" i="1"/>
  <c r="D777" i="1"/>
  <c r="C777" i="1"/>
  <c r="G776" i="1"/>
  <c r="F776" i="1"/>
  <c r="E776" i="1"/>
  <c r="D776" i="1"/>
  <c r="C776" i="1"/>
  <c r="G775" i="1"/>
  <c r="F775" i="1"/>
  <c r="E775" i="1"/>
  <c r="D775" i="1"/>
  <c r="C775" i="1"/>
  <c r="G774" i="1"/>
  <c r="F774" i="1"/>
  <c r="E774" i="1"/>
  <c r="D774" i="1"/>
  <c r="C774" i="1"/>
  <c r="G773" i="1"/>
  <c r="F773" i="1"/>
  <c r="E773" i="1"/>
  <c r="D773" i="1"/>
  <c r="C773" i="1"/>
  <c r="G772" i="1"/>
  <c r="F772" i="1"/>
  <c r="E772" i="1"/>
  <c r="D772" i="1"/>
  <c r="C772" i="1"/>
  <c r="G771" i="1"/>
  <c r="F771" i="1"/>
  <c r="E771" i="1"/>
  <c r="D771" i="1"/>
  <c r="C771" i="1"/>
  <c r="G770" i="1"/>
  <c r="F770" i="1"/>
  <c r="E770" i="1"/>
  <c r="D770" i="1"/>
  <c r="C770" i="1"/>
  <c r="G769" i="1"/>
  <c r="F769" i="1"/>
  <c r="E769" i="1"/>
  <c r="D769" i="1"/>
  <c r="C769" i="1"/>
  <c r="G768" i="1"/>
  <c r="F768" i="1"/>
  <c r="E768" i="1"/>
  <c r="D768" i="1"/>
  <c r="C768" i="1"/>
  <c r="G767" i="1"/>
  <c r="F767" i="1"/>
  <c r="E767" i="1"/>
  <c r="D767" i="1"/>
  <c r="C767" i="1"/>
  <c r="G766" i="1"/>
  <c r="F766" i="1"/>
  <c r="E766" i="1"/>
  <c r="D766" i="1"/>
  <c r="C766" i="1"/>
  <c r="G765" i="1"/>
  <c r="F765" i="1"/>
  <c r="E765" i="1"/>
  <c r="D765" i="1"/>
  <c r="C765" i="1"/>
  <c r="G764" i="1"/>
  <c r="F764" i="1"/>
  <c r="E764" i="1"/>
  <c r="D764" i="1"/>
  <c r="C764" i="1"/>
  <c r="G763" i="1"/>
  <c r="F763" i="1"/>
  <c r="E763" i="1"/>
  <c r="D763" i="1"/>
  <c r="C763" i="1"/>
  <c r="G762" i="1"/>
  <c r="F762" i="1"/>
  <c r="E762" i="1"/>
  <c r="D762" i="1"/>
  <c r="C762" i="1"/>
  <c r="G761" i="1"/>
  <c r="F761" i="1"/>
  <c r="E761" i="1"/>
  <c r="D761" i="1"/>
  <c r="C761" i="1"/>
  <c r="G760" i="1"/>
  <c r="F760" i="1"/>
  <c r="E760" i="1"/>
  <c r="D760" i="1"/>
  <c r="C760" i="1"/>
  <c r="G759" i="1"/>
  <c r="F759" i="1"/>
  <c r="E759" i="1"/>
  <c r="D759" i="1"/>
  <c r="C759" i="1"/>
  <c r="G758" i="1"/>
  <c r="F758" i="1"/>
  <c r="E758" i="1"/>
  <c r="D758" i="1"/>
  <c r="C758" i="1"/>
  <c r="G757" i="1"/>
  <c r="F757" i="1"/>
  <c r="E757" i="1"/>
  <c r="D757" i="1"/>
  <c r="C757" i="1"/>
  <c r="G756" i="1"/>
  <c r="F756" i="1"/>
  <c r="E756" i="1"/>
  <c r="D756" i="1"/>
  <c r="C756" i="1"/>
  <c r="G755" i="1"/>
  <c r="F755" i="1"/>
  <c r="E755" i="1"/>
  <c r="D755" i="1"/>
  <c r="C755" i="1"/>
  <c r="G754" i="1"/>
  <c r="F754" i="1"/>
  <c r="E754" i="1"/>
  <c r="D754" i="1"/>
  <c r="C754" i="1"/>
  <c r="G753" i="1"/>
  <c r="F753" i="1"/>
  <c r="E753" i="1"/>
  <c r="D753" i="1"/>
  <c r="C753" i="1"/>
  <c r="G752" i="1"/>
  <c r="F752" i="1"/>
  <c r="E752" i="1"/>
  <c r="D752" i="1"/>
  <c r="C752" i="1"/>
  <c r="G751" i="1"/>
  <c r="F751" i="1"/>
  <c r="E751" i="1"/>
  <c r="D751" i="1"/>
  <c r="C751" i="1"/>
  <c r="G750" i="1"/>
  <c r="F750" i="1"/>
  <c r="E750" i="1"/>
  <c r="D750" i="1"/>
  <c r="C750" i="1"/>
  <c r="G749" i="1"/>
  <c r="F749" i="1"/>
  <c r="E749" i="1"/>
  <c r="D749" i="1"/>
  <c r="C749" i="1"/>
  <c r="G748" i="1"/>
  <c r="F748" i="1"/>
  <c r="E748" i="1"/>
  <c r="D748" i="1"/>
  <c r="C748" i="1"/>
  <c r="G747" i="1"/>
  <c r="F747" i="1"/>
  <c r="E747" i="1"/>
  <c r="D747" i="1"/>
  <c r="C747" i="1"/>
  <c r="G746" i="1"/>
  <c r="F746" i="1"/>
  <c r="E746" i="1"/>
  <c r="D746" i="1"/>
  <c r="C746" i="1"/>
  <c r="G745" i="1"/>
  <c r="F745" i="1"/>
  <c r="E745" i="1"/>
  <c r="D745" i="1"/>
  <c r="C745" i="1"/>
  <c r="G744" i="1"/>
  <c r="F744" i="1"/>
  <c r="E744" i="1"/>
  <c r="D744" i="1"/>
  <c r="C744" i="1"/>
  <c r="G743" i="1"/>
  <c r="F743" i="1"/>
  <c r="E743" i="1"/>
  <c r="D743" i="1"/>
  <c r="C743" i="1"/>
  <c r="G742" i="1"/>
  <c r="F742" i="1"/>
  <c r="E742" i="1"/>
  <c r="D742" i="1"/>
  <c r="C742" i="1"/>
  <c r="G741" i="1"/>
  <c r="F741" i="1"/>
  <c r="E741" i="1"/>
  <c r="D741" i="1"/>
  <c r="C741" i="1"/>
  <c r="G740" i="1"/>
  <c r="F740" i="1"/>
  <c r="E740" i="1"/>
  <c r="D740" i="1"/>
  <c r="C740" i="1"/>
  <c r="G739" i="1"/>
  <c r="F739" i="1"/>
  <c r="E739" i="1"/>
  <c r="D739" i="1"/>
  <c r="C739" i="1"/>
  <c r="G738" i="1"/>
  <c r="F738" i="1"/>
  <c r="E738" i="1"/>
  <c r="D738" i="1"/>
  <c r="C738" i="1"/>
  <c r="G737" i="1"/>
  <c r="F737" i="1"/>
  <c r="E737" i="1"/>
  <c r="D737" i="1"/>
  <c r="C737" i="1"/>
  <c r="G736" i="1"/>
  <c r="F736" i="1"/>
  <c r="E736" i="1"/>
  <c r="D736" i="1"/>
  <c r="C736" i="1"/>
  <c r="G735" i="1"/>
  <c r="F735" i="1"/>
  <c r="E735" i="1"/>
  <c r="D735" i="1"/>
  <c r="C735" i="1"/>
  <c r="G734" i="1"/>
  <c r="F734" i="1"/>
  <c r="E734" i="1"/>
  <c r="D734" i="1"/>
  <c r="C734" i="1"/>
  <c r="G733" i="1"/>
  <c r="F733" i="1"/>
  <c r="E733" i="1"/>
  <c r="D733" i="1"/>
  <c r="C733" i="1"/>
  <c r="G732" i="1"/>
  <c r="F732" i="1"/>
  <c r="E732" i="1"/>
  <c r="D732" i="1"/>
  <c r="C732" i="1"/>
  <c r="G731" i="1"/>
  <c r="F731" i="1"/>
  <c r="E731" i="1"/>
  <c r="D731" i="1"/>
  <c r="C731" i="1"/>
  <c r="G730" i="1"/>
  <c r="F730" i="1"/>
  <c r="E730" i="1"/>
  <c r="D730" i="1"/>
  <c r="C730" i="1"/>
  <c r="G729" i="1"/>
  <c r="F729" i="1"/>
  <c r="E729" i="1"/>
  <c r="D729" i="1"/>
  <c r="C729" i="1"/>
  <c r="G728" i="1"/>
  <c r="F728" i="1"/>
  <c r="E728" i="1"/>
  <c r="D728" i="1"/>
  <c r="C728" i="1"/>
  <c r="G727" i="1"/>
  <c r="F727" i="1"/>
  <c r="E727" i="1"/>
  <c r="D727" i="1"/>
  <c r="C727" i="1"/>
  <c r="G726" i="1"/>
  <c r="F726" i="1"/>
  <c r="E726" i="1"/>
  <c r="D726" i="1"/>
  <c r="C726" i="1"/>
  <c r="G725" i="1"/>
  <c r="F725" i="1"/>
  <c r="E725" i="1"/>
  <c r="D725" i="1"/>
  <c r="C725" i="1"/>
  <c r="G724" i="1"/>
  <c r="F724" i="1"/>
  <c r="E724" i="1"/>
  <c r="D724" i="1"/>
  <c r="C724" i="1"/>
  <c r="G723" i="1"/>
  <c r="F723" i="1"/>
  <c r="E723" i="1"/>
  <c r="D723" i="1"/>
  <c r="C723" i="1"/>
  <c r="G722" i="1"/>
  <c r="F722" i="1"/>
  <c r="E722" i="1"/>
  <c r="D722" i="1"/>
  <c r="C722" i="1"/>
  <c r="G721" i="1"/>
  <c r="F721" i="1"/>
  <c r="E721" i="1"/>
  <c r="D721" i="1"/>
  <c r="C721" i="1"/>
  <c r="G720" i="1"/>
  <c r="F720" i="1"/>
  <c r="E720" i="1"/>
  <c r="D720" i="1"/>
  <c r="C720" i="1"/>
  <c r="G719" i="1"/>
  <c r="F719" i="1"/>
  <c r="E719" i="1"/>
  <c r="D719" i="1"/>
  <c r="C719" i="1"/>
  <c r="G718" i="1"/>
  <c r="F718" i="1"/>
  <c r="E718" i="1"/>
  <c r="D718" i="1"/>
  <c r="C718" i="1"/>
  <c r="G717" i="1"/>
  <c r="F717" i="1"/>
  <c r="E717" i="1"/>
  <c r="D717" i="1"/>
  <c r="C717" i="1"/>
  <c r="G716" i="1"/>
  <c r="F716" i="1"/>
  <c r="E716" i="1"/>
  <c r="D716" i="1"/>
  <c r="C716" i="1"/>
  <c r="G715" i="1"/>
  <c r="F715" i="1"/>
  <c r="E715" i="1"/>
  <c r="D715" i="1"/>
  <c r="C715" i="1"/>
  <c r="G714" i="1"/>
  <c r="F714" i="1"/>
  <c r="E714" i="1"/>
  <c r="D714" i="1"/>
  <c r="C714" i="1"/>
  <c r="G713" i="1"/>
  <c r="F713" i="1"/>
  <c r="E713" i="1"/>
  <c r="D713" i="1"/>
  <c r="C713" i="1"/>
  <c r="G712" i="1"/>
  <c r="F712" i="1"/>
  <c r="E712" i="1"/>
  <c r="D712" i="1"/>
  <c r="C712" i="1"/>
  <c r="G711" i="1"/>
  <c r="F711" i="1"/>
  <c r="E711" i="1"/>
  <c r="D711" i="1"/>
  <c r="C711" i="1"/>
  <c r="G710" i="1"/>
  <c r="F710" i="1"/>
  <c r="E710" i="1"/>
  <c r="D710" i="1"/>
  <c r="C710" i="1"/>
  <c r="G709" i="1"/>
  <c r="F709" i="1"/>
  <c r="E709" i="1"/>
  <c r="D709" i="1"/>
  <c r="C709" i="1"/>
  <c r="G708" i="1"/>
  <c r="F708" i="1"/>
  <c r="E708" i="1"/>
  <c r="D708" i="1"/>
  <c r="C708" i="1"/>
  <c r="G707" i="1"/>
  <c r="F707" i="1"/>
  <c r="E707" i="1"/>
  <c r="D707" i="1"/>
  <c r="C707" i="1"/>
  <c r="G706" i="1"/>
  <c r="F706" i="1"/>
  <c r="E706" i="1"/>
  <c r="D706" i="1"/>
  <c r="C706" i="1"/>
  <c r="G705" i="1"/>
  <c r="F705" i="1"/>
  <c r="E705" i="1"/>
  <c r="D705" i="1"/>
  <c r="C705" i="1"/>
  <c r="G704" i="1"/>
  <c r="F704" i="1"/>
  <c r="E704" i="1"/>
  <c r="D704" i="1"/>
  <c r="C704" i="1"/>
  <c r="G703" i="1"/>
  <c r="F703" i="1"/>
  <c r="E703" i="1"/>
  <c r="D703" i="1"/>
  <c r="C703" i="1"/>
  <c r="G702" i="1"/>
  <c r="F702" i="1"/>
  <c r="E702" i="1"/>
  <c r="D702" i="1"/>
  <c r="C702" i="1"/>
  <c r="G701" i="1"/>
  <c r="F701" i="1"/>
  <c r="E701" i="1"/>
  <c r="D701" i="1"/>
  <c r="C701" i="1"/>
  <c r="G700" i="1"/>
  <c r="F700" i="1"/>
  <c r="E700" i="1"/>
  <c r="D700" i="1"/>
  <c r="C700" i="1"/>
  <c r="G699" i="1"/>
  <c r="F699" i="1"/>
  <c r="E699" i="1"/>
  <c r="D699" i="1"/>
  <c r="C699" i="1"/>
  <c r="G698" i="1"/>
  <c r="F698" i="1"/>
  <c r="E698" i="1"/>
  <c r="D698" i="1"/>
  <c r="C698" i="1"/>
  <c r="G697" i="1"/>
  <c r="F697" i="1"/>
  <c r="E697" i="1"/>
  <c r="D697" i="1"/>
  <c r="C697" i="1"/>
  <c r="G696" i="1"/>
  <c r="F696" i="1"/>
  <c r="E696" i="1"/>
  <c r="D696" i="1"/>
  <c r="C696" i="1"/>
  <c r="G695" i="1"/>
  <c r="F695" i="1"/>
  <c r="E695" i="1"/>
  <c r="D695" i="1"/>
  <c r="C695" i="1"/>
  <c r="G694" i="1"/>
  <c r="F694" i="1"/>
  <c r="E694" i="1"/>
  <c r="D694" i="1"/>
  <c r="C694" i="1"/>
  <c r="G693" i="1"/>
  <c r="F693" i="1"/>
  <c r="E693" i="1"/>
  <c r="D693" i="1"/>
  <c r="C693" i="1"/>
  <c r="G692" i="1"/>
  <c r="F692" i="1"/>
  <c r="E692" i="1"/>
  <c r="D692" i="1"/>
  <c r="C692" i="1"/>
  <c r="G691" i="1"/>
  <c r="F691" i="1"/>
  <c r="E691" i="1"/>
  <c r="D691" i="1"/>
  <c r="C691" i="1"/>
  <c r="G690" i="1"/>
  <c r="F690" i="1"/>
  <c r="E690" i="1"/>
  <c r="D690" i="1"/>
  <c r="C690" i="1"/>
  <c r="G689" i="1"/>
  <c r="F689" i="1"/>
  <c r="E689" i="1"/>
  <c r="D689" i="1"/>
  <c r="C689" i="1"/>
  <c r="G688" i="1"/>
  <c r="F688" i="1"/>
  <c r="E688" i="1"/>
  <c r="D688" i="1"/>
  <c r="C688" i="1"/>
  <c r="G687" i="1"/>
  <c r="F687" i="1"/>
  <c r="E687" i="1"/>
  <c r="D687" i="1"/>
  <c r="C687" i="1"/>
  <c r="G686" i="1"/>
  <c r="F686" i="1"/>
  <c r="E686" i="1"/>
  <c r="D686" i="1"/>
  <c r="C686" i="1"/>
  <c r="G685" i="1"/>
  <c r="F685" i="1"/>
  <c r="E685" i="1"/>
  <c r="D685" i="1"/>
  <c r="C685" i="1"/>
  <c r="G684" i="1"/>
  <c r="F684" i="1"/>
  <c r="E684" i="1"/>
  <c r="D684" i="1"/>
  <c r="C684" i="1"/>
  <c r="G683" i="1"/>
  <c r="F683" i="1"/>
  <c r="E683" i="1"/>
  <c r="D683" i="1"/>
  <c r="C683" i="1"/>
  <c r="G682" i="1"/>
  <c r="F682" i="1"/>
  <c r="E682" i="1"/>
  <c r="D682" i="1"/>
  <c r="C682" i="1"/>
  <c r="G681" i="1"/>
  <c r="F681" i="1"/>
  <c r="E681" i="1"/>
  <c r="D681" i="1"/>
  <c r="C681" i="1"/>
  <c r="G680" i="1"/>
  <c r="F680" i="1"/>
  <c r="E680" i="1"/>
  <c r="D680" i="1"/>
  <c r="C680" i="1"/>
  <c r="G679" i="1"/>
  <c r="F679" i="1"/>
  <c r="E679" i="1"/>
  <c r="D679" i="1"/>
  <c r="C679" i="1"/>
  <c r="G678" i="1"/>
  <c r="F678" i="1"/>
  <c r="E678" i="1"/>
  <c r="D678" i="1"/>
  <c r="C678" i="1"/>
  <c r="G677" i="1"/>
  <c r="F677" i="1"/>
  <c r="E677" i="1"/>
  <c r="D677" i="1"/>
  <c r="C677" i="1"/>
  <c r="G676" i="1"/>
  <c r="F676" i="1"/>
  <c r="E676" i="1"/>
  <c r="D676" i="1"/>
  <c r="C676" i="1"/>
  <c r="G675" i="1"/>
  <c r="F675" i="1"/>
  <c r="E675" i="1"/>
  <c r="D675" i="1"/>
  <c r="C675" i="1"/>
  <c r="G674" i="1"/>
  <c r="F674" i="1"/>
  <c r="E674" i="1"/>
  <c r="D674" i="1"/>
  <c r="C674" i="1"/>
  <c r="G673" i="1"/>
  <c r="F673" i="1"/>
  <c r="E673" i="1"/>
  <c r="D673" i="1"/>
  <c r="C673" i="1"/>
  <c r="G672" i="1"/>
  <c r="F672" i="1"/>
  <c r="E672" i="1"/>
  <c r="D672" i="1"/>
  <c r="C672" i="1"/>
  <c r="G671" i="1"/>
  <c r="F671" i="1"/>
  <c r="E671" i="1"/>
  <c r="D671" i="1"/>
  <c r="C671" i="1"/>
  <c r="G670" i="1"/>
  <c r="F670" i="1"/>
  <c r="E670" i="1"/>
  <c r="D670" i="1"/>
  <c r="C670" i="1"/>
  <c r="G669" i="1"/>
  <c r="F669" i="1"/>
  <c r="E669" i="1"/>
  <c r="D669" i="1"/>
  <c r="C669" i="1"/>
  <c r="G668" i="1"/>
  <c r="F668" i="1"/>
  <c r="E668" i="1"/>
  <c r="D668" i="1"/>
  <c r="C668" i="1"/>
  <c r="G667" i="1"/>
  <c r="F667" i="1"/>
  <c r="E667" i="1"/>
  <c r="D667" i="1"/>
  <c r="C667" i="1"/>
  <c r="G666" i="1"/>
  <c r="F666" i="1"/>
  <c r="E666" i="1"/>
  <c r="D666" i="1"/>
  <c r="C666" i="1"/>
  <c r="G665" i="1"/>
  <c r="F665" i="1"/>
  <c r="E665" i="1"/>
  <c r="D665" i="1"/>
  <c r="C665" i="1"/>
  <c r="G664" i="1"/>
  <c r="F664" i="1"/>
  <c r="E664" i="1"/>
  <c r="D664" i="1"/>
  <c r="C664" i="1"/>
  <c r="G663" i="1"/>
  <c r="F663" i="1"/>
  <c r="E663" i="1"/>
  <c r="D663" i="1"/>
  <c r="C663" i="1"/>
  <c r="G662" i="1"/>
  <c r="F662" i="1"/>
  <c r="E662" i="1"/>
  <c r="D662" i="1"/>
  <c r="C662" i="1"/>
  <c r="G661" i="1"/>
  <c r="F661" i="1"/>
  <c r="E661" i="1"/>
  <c r="D661" i="1"/>
  <c r="C661" i="1"/>
  <c r="G660" i="1"/>
  <c r="F660" i="1"/>
  <c r="E660" i="1"/>
  <c r="D660" i="1"/>
  <c r="C660" i="1"/>
  <c r="G659" i="1"/>
  <c r="F659" i="1"/>
  <c r="E659" i="1"/>
  <c r="D659" i="1"/>
  <c r="C659" i="1"/>
  <c r="G658" i="1"/>
  <c r="F658" i="1"/>
  <c r="E658" i="1"/>
  <c r="D658" i="1"/>
  <c r="C658" i="1"/>
  <c r="G657" i="1"/>
  <c r="F657" i="1"/>
  <c r="E657" i="1"/>
  <c r="D657" i="1"/>
  <c r="C657" i="1"/>
  <c r="G656" i="1"/>
  <c r="F656" i="1"/>
  <c r="E656" i="1"/>
  <c r="D656" i="1"/>
  <c r="C656" i="1"/>
  <c r="G655" i="1"/>
  <c r="F655" i="1"/>
  <c r="E655" i="1"/>
  <c r="D655" i="1"/>
  <c r="C655" i="1"/>
  <c r="G654" i="1"/>
  <c r="F654" i="1"/>
  <c r="E654" i="1"/>
  <c r="D654" i="1"/>
  <c r="C654" i="1"/>
  <c r="G653" i="1"/>
  <c r="F653" i="1"/>
  <c r="E653" i="1"/>
  <c r="D653" i="1"/>
  <c r="C653" i="1"/>
  <c r="G652" i="1"/>
  <c r="F652" i="1"/>
  <c r="E652" i="1"/>
  <c r="D652" i="1"/>
  <c r="C652" i="1"/>
  <c r="G651" i="1"/>
  <c r="F651" i="1"/>
  <c r="E651" i="1"/>
  <c r="D651" i="1"/>
  <c r="C651" i="1"/>
  <c r="G650" i="1"/>
  <c r="F650" i="1"/>
  <c r="E650" i="1"/>
  <c r="D650" i="1"/>
  <c r="C650" i="1"/>
  <c r="G649" i="1"/>
  <c r="F649" i="1"/>
  <c r="E649" i="1"/>
  <c r="D649" i="1"/>
  <c r="C649" i="1"/>
  <c r="G648" i="1"/>
  <c r="F648" i="1"/>
  <c r="E648" i="1"/>
  <c r="D648" i="1"/>
  <c r="C648" i="1"/>
  <c r="G647" i="1"/>
  <c r="F647" i="1"/>
  <c r="E647" i="1"/>
  <c r="D647" i="1"/>
  <c r="C647" i="1"/>
  <c r="G646" i="1"/>
  <c r="F646" i="1"/>
  <c r="E646" i="1"/>
  <c r="D646" i="1"/>
  <c r="C646" i="1"/>
  <c r="G645" i="1"/>
  <c r="F645" i="1"/>
  <c r="E645" i="1"/>
  <c r="D645" i="1"/>
  <c r="C645" i="1"/>
  <c r="G644" i="1"/>
  <c r="F644" i="1"/>
  <c r="E644" i="1"/>
  <c r="D644" i="1"/>
  <c r="C644" i="1"/>
  <c r="G643" i="1"/>
  <c r="F643" i="1"/>
  <c r="E643" i="1"/>
  <c r="D643" i="1"/>
  <c r="C643" i="1"/>
  <c r="G642" i="1"/>
  <c r="F642" i="1"/>
  <c r="E642" i="1"/>
  <c r="D642" i="1"/>
  <c r="C642" i="1"/>
  <c r="G641" i="1"/>
  <c r="F641" i="1"/>
  <c r="E641" i="1"/>
  <c r="D641" i="1"/>
  <c r="C641" i="1"/>
  <c r="G640" i="1"/>
  <c r="F640" i="1"/>
  <c r="E640" i="1"/>
  <c r="D640" i="1"/>
  <c r="C640" i="1"/>
  <c r="G639" i="1"/>
  <c r="F639" i="1"/>
  <c r="E639" i="1"/>
  <c r="D639" i="1"/>
  <c r="C639" i="1"/>
  <c r="G638" i="1"/>
  <c r="F638" i="1"/>
  <c r="E638" i="1"/>
  <c r="D638" i="1"/>
  <c r="C638" i="1"/>
  <c r="G637" i="1"/>
  <c r="F637" i="1"/>
  <c r="E637" i="1"/>
  <c r="D637" i="1"/>
  <c r="C637" i="1"/>
  <c r="G636" i="1"/>
  <c r="F636" i="1"/>
  <c r="E636" i="1"/>
  <c r="D636" i="1"/>
  <c r="C636" i="1"/>
  <c r="G635" i="1"/>
  <c r="F635" i="1"/>
  <c r="E635" i="1"/>
  <c r="D635" i="1"/>
  <c r="C635" i="1"/>
  <c r="G634" i="1"/>
  <c r="F634" i="1"/>
  <c r="E634" i="1"/>
  <c r="D634" i="1"/>
  <c r="C634" i="1"/>
  <c r="G633" i="1"/>
  <c r="F633" i="1"/>
  <c r="E633" i="1"/>
  <c r="D633" i="1"/>
  <c r="C633" i="1"/>
  <c r="G632" i="1"/>
  <c r="F632" i="1"/>
  <c r="E632" i="1"/>
  <c r="D632" i="1"/>
  <c r="C632" i="1"/>
  <c r="G631" i="1"/>
  <c r="F631" i="1"/>
  <c r="E631" i="1"/>
  <c r="D631" i="1"/>
  <c r="C631" i="1"/>
  <c r="G630" i="1"/>
  <c r="F630" i="1"/>
  <c r="E630" i="1"/>
  <c r="D630" i="1"/>
  <c r="C630" i="1"/>
  <c r="G629" i="1"/>
  <c r="F629" i="1"/>
  <c r="E629" i="1"/>
  <c r="D629" i="1"/>
  <c r="C629" i="1"/>
  <c r="G628" i="1"/>
  <c r="F628" i="1"/>
  <c r="E628" i="1"/>
  <c r="D628" i="1"/>
  <c r="C628" i="1"/>
  <c r="G627" i="1"/>
  <c r="F627" i="1"/>
  <c r="E627" i="1"/>
  <c r="D627" i="1"/>
  <c r="C627" i="1"/>
  <c r="G626" i="1"/>
  <c r="F626" i="1"/>
  <c r="E626" i="1"/>
  <c r="D626" i="1"/>
  <c r="C626" i="1"/>
  <c r="G625" i="1"/>
  <c r="F625" i="1"/>
  <c r="E625" i="1"/>
  <c r="D625" i="1"/>
  <c r="C625" i="1"/>
  <c r="G624" i="1"/>
  <c r="F624" i="1"/>
  <c r="E624" i="1"/>
  <c r="D624" i="1"/>
  <c r="C624" i="1"/>
  <c r="G623" i="1"/>
  <c r="F623" i="1"/>
  <c r="E623" i="1"/>
  <c r="D623" i="1"/>
  <c r="C623" i="1"/>
  <c r="G622" i="1"/>
  <c r="F622" i="1"/>
  <c r="E622" i="1"/>
  <c r="D622" i="1"/>
  <c r="C622" i="1"/>
  <c r="G621" i="1"/>
  <c r="F621" i="1"/>
  <c r="E621" i="1"/>
  <c r="D621" i="1"/>
  <c r="C621" i="1"/>
  <c r="G620" i="1"/>
  <c r="F620" i="1"/>
  <c r="E620" i="1"/>
  <c r="D620" i="1"/>
  <c r="C620" i="1"/>
  <c r="G619" i="1"/>
  <c r="F619" i="1"/>
  <c r="E619" i="1"/>
  <c r="D619" i="1"/>
  <c r="C619" i="1"/>
  <c r="G618" i="1"/>
  <c r="F618" i="1"/>
  <c r="E618" i="1"/>
  <c r="D618" i="1"/>
  <c r="C618" i="1"/>
  <c r="G617" i="1"/>
  <c r="F617" i="1"/>
  <c r="E617" i="1"/>
  <c r="D617" i="1"/>
  <c r="C617" i="1"/>
  <c r="G616" i="1"/>
  <c r="F616" i="1"/>
  <c r="E616" i="1"/>
  <c r="D616" i="1"/>
  <c r="C616" i="1"/>
  <c r="G615" i="1"/>
  <c r="F615" i="1"/>
  <c r="E615" i="1"/>
  <c r="D615" i="1"/>
  <c r="C615" i="1"/>
  <c r="G614" i="1"/>
  <c r="F614" i="1"/>
  <c r="E614" i="1"/>
  <c r="D614" i="1"/>
  <c r="C614" i="1"/>
  <c r="G613" i="1"/>
  <c r="F613" i="1"/>
  <c r="E613" i="1"/>
  <c r="D613" i="1"/>
  <c r="C613" i="1"/>
  <c r="G612" i="1"/>
  <c r="F612" i="1"/>
  <c r="E612" i="1"/>
  <c r="D612" i="1"/>
  <c r="C612" i="1"/>
  <c r="G611" i="1"/>
  <c r="F611" i="1"/>
  <c r="E611" i="1"/>
  <c r="D611" i="1"/>
  <c r="C611" i="1"/>
  <c r="G610" i="1"/>
  <c r="F610" i="1"/>
  <c r="E610" i="1"/>
  <c r="D610" i="1"/>
  <c r="C610" i="1"/>
  <c r="G609" i="1"/>
  <c r="F609" i="1"/>
  <c r="E609" i="1"/>
  <c r="D609" i="1"/>
  <c r="C609" i="1"/>
  <c r="G608" i="1"/>
  <c r="F608" i="1"/>
  <c r="E608" i="1"/>
  <c r="D608" i="1"/>
  <c r="C608" i="1"/>
  <c r="G607" i="1"/>
  <c r="F607" i="1"/>
  <c r="E607" i="1"/>
  <c r="D607" i="1"/>
  <c r="C607" i="1"/>
  <c r="G606" i="1"/>
  <c r="F606" i="1"/>
  <c r="E606" i="1"/>
  <c r="D606" i="1"/>
  <c r="C606" i="1"/>
  <c r="G605" i="1"/>
  <c r="F605" i="1"/>
  <c r="E605" i="1"/>
  <c r="D605" i="1"/>
  <c r="C605" i="1"/>
  <c r="G604" i="1"/>
  <c r="F604" i="1"/>
  <c r="E604" i="1"/>
  <c r="D604" i="1"/>
  <c r="C604" i="1"/>
  <c r="G603" i="1"/>
  <c r="F603" i="1"/>
  <c r="E603" i="1"/>
  <c r="D603" i="1"/>
  <c r="C603" i="1"/>
  <c r="G602" i="1"/>
  <c r="F602" i="1"/>
  <c r="E602" i="1"/>
  <c r="D602" i="1"/>
  <c r="C602" i="1"/>
  <c r="G601" i="1"/>
  <c r="F601" i="1"/>
  <c r="E601" i="1"/>
  <c r="D601" i="1"/>
  <c r="C601" i="1"/>
  <c r="G600" i="1"/>
  <c r="F600" i="1"/>
  <c r="E600" i="1"/>
  <c r="D600" i="1"/>
  <c r="C600" i="1"/>
  <c r="G599" i="1"/>
  <c r="F599" i="1"/>
  <c r="E599" i="1"/>
  <c r="D599" i="1"/>
  <c r="C599" i="1"/>
  <c r="G598" i="1"/>
  <c r="F598" i="1"/>
  <c r="E598" i="1"/>
  <c r="D598" i="1"/>
  <c r="C598" i="1"/>
  <c r="G597" i="1"/>
  <c r="F597" i="1"/>
  <c r="E597" i="1"/>
  <c r="D597" i="1"/>
  <c r="C597" i="1"/>
  <c r="G596" i="1"/>
  <c r="F596" i="1"/>
  <c r="E596" i="1"/>
  <c r="D596" i="1"/>
  <c r="C596" i="1"/>
  <c r="G595" i="1"/>
  <c r="F595" i="1"/>
  <c r="E595" i="1"/>
  <c r="D595" i="1"/>
  <c r="C595" i="1"/>
  <c r="G594" i="1"/>
  <c r="F594" i="1"/>
  <c r="E594" i="1"/>
  <c r="D594" i="1"/>
  <c r="C594" i="1"/>
  <c r="G593" i="1"/>
  <c r="F593" i="1"/>
  <c r="E593" i="1"/>
  <c r="D593" i="1"/>
  <c r="C593" i="1"/>
  <c r="G592" i="1"/>
  <c r="F592" i="1"/>
  <c r="E592" i="1"/>
  <c r="D592" i="1"/>
  <c r="C592" i="1"/>
  <c r="G591" i="1"/>
  <c r="F591" i="1"/>
  <c r="E591" i="1"/>
  <c r="D591" i="1"/>
  <c r="C591" i="1"/>
  <c r="G590" i="1"/>
  <c r="F590" i="1"/>
  <c r="E590" i="1"/>
  <c r="D590" i="1"/>
  <c r="C590" i="1"/>
  <c r="G589" i="1"/>
  <c r="F589" i="1"/>
  <c r="E589" i="1"/>
  <c r="D589" i="1"/>
  <c r="C589" i="1"/>
  <c r="G588" i="1"/>
  <c r="F588" i="1"/>
  <c r="E588" i="1"/>
  <c r="D588" i="1"/>
  <c r="C588" i="1"/>
  <c r="G587" i="1"/>
  <c r="F587" i="1"/>
  <c r="E587" i="1"/>
  <c r="D587" i="1"/>
  <c r="C587" i="1"/>
  <c r="G586" i="1"/>
  <c r="F586" i="1"/>
  <c r="E586" i="1"/>
  <c r="D586" i="1"/>
  <c r="C586" i="1"/>
  <c r="G585" i="1"/>
  <c r="F585" i="1"/>
  <c r="E585" i="1"/>
  <c r="D585" i="1"/>
  <c r="C585" i="1"/>
  <c r="G584" i="1"/>
  <c r="F584" i="1"/>
  <c r="E584" i="1"/>
  <c r="D584" i="1"/>
  <c r="C584" i="1"/>
  <c r="G583" i="1"/>
  <c r="F583" i="1"/>
  <c r="E583" i="1"/>
  <c r="D583" i="1"/>
  <c r="C583" i="1"/>
  <c r="G582" i="1"/>
  <c r="F582" i="1"/>
  <c r="E582" i="1"/>
  <c r="D582" i="1"/>
  <c r="C582" i="1"/>
  <c r="G581" i="1"/>
  <c r="F581" i="1"/>
  <c r="E581" i="1"/>
  <c r="D581" i="1"/>
  <c r="C581" i="1"/>
  <c r="G580" i="1"/>
  <c r="F580" i="1"/>
  <c r="E580" i="1"/>
  <c r="D580" i="1"/>
  <c r="C580" i="1"/>
  <c r="G579" i="1"/>
  <c r="F579" i="1"/>
  <c r="E579" i="1"/>
  <c r="D579" i="1"/>
  <c r="C579" i="1"/>
  <c r="G578" i="1"/>
  <c r="F578" i="1"/>
  <c r="E578" i="1"/>
  <c r="D578" i="1"/>
  <c r="C578" i="1"/>
  <c r="G577" i="1"/>
  <c r="F577" i="1"/>
  <c r="E577" i="1"/>
  <c r="D577" i="1"/>
  <c r="C577" i="1"/>
  <c r="G576" i="1"/>
  <c r="F576" i="1"/>
  <c r="E576" i="1"/>
  <c r="D576" i="1"/>
  <c r="C576" i="1"/>
  <c r="G575" i="1"/>
  <c r="F575" i="1"/>
  <c r="E575" i="1"/>
  <c r="D575" i="1"/>
  <c r="C575" i="1"/>
  <c r="G574" i="1"/>
  <c r="F574" i="1"/>
  <c r="E574" i="1"/>
  <c r="D574" i="1"/>
  <c r="C574" i="1"/>
  <c r="G573" i="1"/>
  <c r="F573" i="1"/>
  <c r="E573" i="1"/>
  <c r="D573" i="1"/>
  <c r="C573" i="1"/>
  <c r="G572" i="1"/>
  <c r="F572" i="1"/>
  <c r="E572" i="1"/>
  <c r="D572" i="1"/>
  <c r="C572" i="1"/>
  <c r="G571" i="1"/>
  <c r="F571" i="1"/>
  <c r="E571" i="1"/>
  <c r="D571" i="1"/>
  <c r="C571" i="1"/>
  <c r="G570" i="1"/>
  <c r="F570" i="1"/>
  <c r="E570" i="1"/>
  <c r="D570" i="1"/>
  <c r="C570" i="1"/>
  <c r="G569" i="1"/>
  <c r="F569" i="1"/>
  <c r="E569" i="1"/>
  <c r="D569" i="1"/>
  <c r="C569" i="1"/>
  <c r="G568" i="1"/>
  <c r="F568" i="1"/>
  <c r="E568" i="1"/>
  <c r="D568" i="1"/>
  <c r="C568" i="1"/>
  <c r="G567" i="1"/>
  <c r="F567" i="1"/>
  <c r="E567" i="1"/>
  <c r="D567" i="1"/>
  <c r="C567" i="1"/>
  <c r="G566" i="1"/>
  <c r="F566" i="1"/>
  <c r="E566" i="1"/>
  <c r="D566" i="1"/>
  <c r="C566" i="1"/>
  <c r="G565" i="1"/>
  <c r="F565" i="1"/>
  <c r="E565" i="1"/>
  <c r="D565" i="1"/>
  <c r="C565" i="1"/>
  <c r="G564" i="1"/>
  <c r="F564" i="1"/>
  <c r="E564" i="1"/>
  <c r="D564" i="1"/>
  <c r="C564" i="1"/>
  <c r="G563" i="1"/>
  <c r="F563" i="1"/>
  <c r="E563" i="1"/>
  <c r="D563" i="1"/>
  <c r="C563" i="1"/>
  <c r="G562" i="1"/>
  <c r="F562" i="1"/>
  <c r="E562" i="1"/>
  <c r="D562" i="1"/>
  <c r="C562" i="1"/>
  <c r="G561" i="1"/>
  <c r="F561" i="1"/>
  <c r="E561" i="1"/>
  <c r="D561" i="1"/>
  <c r="C561" i="1"/>
  <c r="G560" i="1"/>
  <c r="F560" i="1"/>
  <c r="E560" i="1"/>
  <c r="D560" i="1"/>
  <c r="C560" i="1"/>
  <c r="G559" i="1"/>
  <c r="F559" i="1"/>
  <c r="E559" i="1"/>
  <c r="D559" i="1"/>
  <c r="C559" i="1"/>
  <c r="G558" i="1"/>
  <c r="F558" i="1"/>
  <c r="E558" i="1"/>
  <c r="D558" i="1"/>
  <c r="C558" i="1"/>
  <c r="G557" i="1"/>
  <c r="F557" i="1"/>
  <c r="E557" i="1"/>
  <c r="D557" i="1"/>
  <c r="C557" i="1"/>
  <c r="G556" i="1"/>
  <c r="F556" i="1"/>
  <c r="E556" i="1"/>
  <c r="D556" i="1"/>
  <c r="C556" i="1"/>
  <c r="G555" i="1"/>
  <c r="F555" i="1"/>
  <c r="E555" i="1"/>
  <c r="D555" i="1"/>
  <c r="C555" i="1"/>
  <c r="G554" i="1"/>
  <c r="F554" i="1"/>
  <c r="E554" i="1"/>
  <c r="D554" i="1"/>
  <c r="C554" i="1"/>
  <c r="G553" i="1"/>
  <c r="F553" i="1"/>
  <c r="E553" i="1"/>
  <c r="D553" i="1"/>
  <c r="C553" i="1"/>
  <c r="G552" i="1"/>
  <c r="F552" i="1"/>
  <c r="E552" i="1"/>
  <c r="D552" i="1"/>
  <c r="C552" i="1"/>
  <c r="G551" i="1"/>
  <c r="F551" i="1"/>
  <c r="E551" i="1"/>
  <c r="D551" i="1"/>
  <c r="C551" i="1"/>
  <c r="G550" i="1"/>
  <c r="F550" i="1"/>
  <c r="E550" i="1"/>
  <c r="D550" i="1"/>
  <c r="C550" i="1"/>
  <c r="G549" i="1"/>
  <c r="F549" i="1"/>
  <c r="E549" i="1"/>
  <c r="D549" i="1"/>
  <c r="C549" i="1"/>
  <c r="G548" i="1"/>
  <c r="F548" i="1"/>
  <c r="E548" i="1"/>
  <c r="D548" i="1"/>
  <c r="C548" i="1"/>
  <c r="G547" i="1"/>
  <c r="F547" i="1"/>
  <c r="E547" i="1"/>
  <c r="D547" i="1"/>
  <c r="C547" i="1"/>
  <c r="G546" i="1"/>
  <c r="F546" i="1"/>
  <c r="E546" i="1"/>
  <c r="D546" i="1"/>
  <c r="C546" i="1"/>
  <c r="G545" i="1"/>
  <c r="F545" i="1"/>
  <c r="E545" i="1"/>
  <c r="D545" i="1"/>
  <c r="C545" i="1"/>
  <c r="G544" i="1"/>
  <c r="F544" i="1"/>
  <c r="E544" i="1"/>
  <c r="D544" i="1"/>
  <c r="C544" i="1"/>
  <c r="G543" i="1"/>
  <c r="F543" i="1"/>
  <c r="E543" i="1"/>
  <c r="D543" i="1"/>
  <c r="C543" i="1"/>
  <c r="G542" i="1"/>
  <c r="F542" i="1"/>
  <c r="E542" i="1"/>
  <c r="D542" i="1"/>
  <c r="C542" i="1"/>
  <c r="G541" i="1"/>
  <c r="F541" i="1"/>
  <c r="E541" i="1"/>
  <c r="D541" i="1"/>
  <c r="C541" i="1"/>
  <c r="G540" i="1"/>
  <c r="F540" i="1"/>
  <c r="E540" i="1"/>
  <c r="D540" i="1"/>
  <c r="C540" i="1"/>
  <c r="G539" i="1"/>
  <c r="F539" i="1"/>
  <c r="E539" i="1"/>
  <c r="D539" i="1"/>
  <c r="C539" i="1"/>
  <c r="G538" i="1"/>
  <c r="F538" i="1"/>
  <c r="E538" i="1"/>
  <c r="D538" i="1"/>
  <c r="C538" i="1"/>
  <c r="G537" i="1"/>
  <c r="F537" i="1"/>
  <c r="E537" i="1"/>
  <c r="D537" i="1"/>
  <c r="C537" i="1"/>
  <c r="G536" i="1"/>
  <c r="F536" i="1"/>
  <c r="E536" i="1"/>
  <c r="D536" i="1"/>
  <c r="C536" i="1"/>
  <c r="G535" i="1"/>
  <c r="F535" i="1"/>
  <c r="E535" i="1"/>
  <c r="D535" i="1"/>
  <c r="C535" i="1"/>
  <c r="G534" i="1"/>
  <c r="F534" i="1"/>
  <c r="E534" i="1"/>
  <c r="D534" i="1"/>
  <c r="C534" i="1"/>
  <c r="G533" i="1"/>
  <c r="F533" i="1"/>
  <c r="E533" i="1"/>
  <c r="D533" i="1"/>
  <c r="C533" i="1"/>
  <c r="G532" i="1"/>
  <c r="F532" i="1"/>
  <c r="E532" i="1"/>
  <c r="D532" i="1"/>
  <c r="C532" i="1"/>
  <c r="G531" i="1"/>
  <c r="F531" i="1"/>
  <c r="E531" i="1"/>
  <c r="D531" i="1"/>
  <c r="C531" i="1"/>
  <c r="G530" i="1"/>
  <c r="F530" i="1"/>
  <c r="E530" i="1"/>
  <c r="D530" i="1"/>
  <c r="C530" i="1"/>
  <c r="G529" i="1"/>
  <c r="F529" i="1"/>
  <c r="E529" i="1"/>
  <c r="D529" i="1"/>
  <c r="C529" i="1"/>
  <c r="G528" i="1"/>
  <c r="F528" i="1"/>
  <c r="E528" i="1"/>
  <c r="D528" i="1"/>
  <c r="C528" i="1"/>
  <c r="G527" i="1"/>
  <c r="F527" i="1"/>
  <c r="E527" i="1"/>
  <c r="D527" i="1"/>
  <c r="C527" i="1"/>
  <c r="G526" i="1"/>
  <c r="F526" i="1"/>
  <c r="E526" i="1"/>
  <c r="D526" i="1"/>
  <c r="C526" i="1"/>
  <c r="G525" i="1"/>
  <c r="F525" i="1"/>
  <c r="E525" i="1"/>
  <c r="D525" i="1"/>
  <c r="C525" i="1"/>
  <c r="G524" i="1"/>
  <c r="F524" i="1"/>
  <c r="E524" i="1"/>
  <c r="D524" i="1"/>
  <c r="C524" i="1"/>
  <c r="G523" i="1"/>
  <c r="F523" i="1"/>
  <c r="E523" i="1"/>
  <c r="D523" i="1"/>
  <c r="C523" i="1"/>
  <c r="G522" i="1"/>
  <c r="F522" i="1"/>
  <c r="E522" i="1"/>
  <c r="D522" i="1"/>
  <c r="C522" i="1"/>
  <c r="G521" i="1"/>
  <c r="F521" i="1"/>
  <c r="E521" i="1"/>
  <c r="D521" i="1"/>
  <c r="C521" i="1"/>
  <c r="G520" i="1"/>
  <c r="F520" i="1"/>
  <c r="E520" i="1"/>
  <c r="D520" i="1"/>
  <c r="C520" i="1"/>
  <c r="G519" i="1"/>
  <c r="F519" i="1"/>
  <c r="E519" i="1"/>
  <c r="D519" i="1"/>
  <c r="C519" i="1"/>
  <c r="G518" i="1"/>
  <c r="F518" i="1"/>
  <c r="E518" i="1"/>
  <c r="D518" i="1"/>
  <c r="C518" i="1"/>
  <c r="G517" i="1"/>
  <c r="F517" i="1"/>
  <c r="E517" i="1"/>
  <c r="D517" i="1"/>
  <c r="C517" i="1"/>
  <c r="G516" i="1"/>
  <c r="F516" i="1"/>
  <c r="E516" i="1"/>
  <c r="D516" i="1"/>
  <c r="C516" i="1"/>
  <c r="G515" i="1"/>
  <c r="F515" i="1"/>
  <c r="E515" i="1"/>
  <c r="D515" i="1"/>
  <c r="C515" i="1"/>
  <c r="G514" i="1"/>
  <c r="F514" i="1"/>
  <c r="E514" i="1"/>
  <c r="D514" i="1"/>
  <c r="C514" i="1"/>
  <c r="G513" i="1"/>
  <c r="F513" i="1"/>
  <c r="E513" i="1"/>
  <c r="D513" i="1"/>
  <c r="C513" i="1"/>
  <c r="G512" i="1"/>
  <c r="F512" i="1"/>
  <c r="E512" i="1"/>
  <c r="D512" i="1"/>
  <c r="C512" i="1"/>
  <c r="G511" i="1"/>
  <c r="F511" i="1"/>
  <c r="E511" i="1"/>
  <c r="D511" i="1"/>
  <c r="C511" i="1"/>
  <c r="G510" i="1"/>
  <c r="F510" i="1"/>
  <c r="E510" i="1"/>
  <c r="D510" i="1"/>
  <c r="C510" i="1"/>
  <c r="G509" i="1"/>
  <c r="F509" i="1"/>
  <c r="E509" i="1"/>
  <c r="D509" i="1"/>
  <c r="C509" i="1"/>
  <c r="G508" i="1"/>
  <c r="F508" i="1"/>
  <c r="E508" i="1"/>
  <c r="D508" i="1"/>
  <c r="C508" i="1"/>
  <c r="G507" i="1"/>
  <c r="F507" i="1"/>
  <c r="E507" i="1"/>
  <c r="D507" i="1"/>
  <c r="C507" i="1"/>
  <c r="G506" i="1"/>
  <c r="F506" i="1"/>
  <c r="E506" i="1"/>
  <c r="D506" i="1"/>
  <c r="C506" i="1"/>
  <c r="G505" i="1"/>
  <c r="F505" i="1"/>
  <c r="E505" i="1"/>
  <c r="D505" i="1"/>
  <c r="C505" i="1"/>
  <c r="G504" i="1"/>
  <c r="F504" i="1"/>
  <c r="E504" i="1"/>
  <c r="D504" i="1"/>
  <c r="C504" i="1"/>
  <c r="G503" i="1"/>
  <c r="F503" i="1"/>
  <c r="E503" i="1"/>
  <c r="D503" i="1"/>
  <c r="C503" i="1"/>
  <c r="G502" i="1"/>
  <c r="F502" i="1"/>
  <c r="E502" i="1"/>
  <c r="D502" i="1"/>
  <c r="C502" i="1"/>
  <c r="G501" i="1"/>
  <c r="F501" i="1"/>
  <c r="E501" i="1"/>
  <c r="D501" i="1"/>
  <c r="C501" i="1"/>
  <c r="G500" i="1"/>
  <c r="F500" i="1"/>
  <c r="E500" i="1"/>
  <c r="D500" i="1"/>
  <c r="C500" i="1"/>
  <c r="G499" i="1"/>
  <c r="F499" i="1"/>
  <c r="E499" i="1"/>
  <c r="D499" i="1"/>
  <c r="C499" i="1"/>
  <c r="G498" i="1"/>
  <c r="F498" i="1"/>
  <c r="E498" i="1"/>
  <c r="D498" i="1"/>
  <c r="C498" i="1"/>
  <c r="G497" i="1"/>
  <c r="F497" i="1"/>
  <c r="E497" i="1"/>
  <c r="D497" i="1"/>
  <c r="C497" i="1"/>
  <c r="G496" i="1"/>
  <c r="F496" i="1"/>
  <c r="E496" i="1"/>
  <c r="D496" i="1"/>
  <c r="C496" i="1"/>
  <c r="G495" i="1"/>
  <c r="F495" i="1"/>
  <c r="E495" i="1"/>
  <c r="D495" i="1"/>
  <c r="C495" i="1"/>
  <c r="G494" i="1"/>
  <c r="F494" i="1"/>
  <c r="E494" i="1"/>
  <c r="D494" i="1"/>
  <c r="C494" i="1"/>
  <c r="G493" i="1"/>
  <c r="F493" i="1"/>
  <c r="E493" i="1"/>
  <c r="D493" i="1"/>
  <c r="C493" i="1"/>
  <c r="G492" i="1"/>
  <c r="F492" i="1"/>
  <c r="E492" i="1"/>
  <c r="D492" i="1"/>
  <c r="C492" i="1"/>
  <c r="G491" i="1"/>
  <c r="F491" i="1"/>
  <c r="E491" i="1"/>
  <c r="D491" i="1"/>
  <c r="C491" i="1"/>
  <c r="G490" i="1"/>
  <c r="F490" i="1"/>
  <c r="E490" i="1"/>
  <c r="D490" i="1"/>
  <c r="C490" i="1"/>
  <c r="G489" i="1"/>
  <c r="F489" i="1"/>
  <c r="E489" i="1"/>
  <c r="D489" i="1"/>
  <c r="C489" i="1"/>
  <c r="G488" i="1"/>
  <c r="F488" i="1"/>
  <c r="E488" i="1"/>
  <c r="D488" i="1"/>
  <c r="C488" i="1"/>
  <c r="G487" i="1"/>
  <c r="F487" i="1"/>
  <c r="E487" i="1"/>
  <c r="D487" i="1"/>
  <c r="C487" i="1"/>
  <c r="G486" i="1"/>
  <c r="F486" i="1"/>
  <c r="E486" i="1"/>
  <c r="D486" i="1"/>
  <c r="C486" i="1"/>
  <c r="G485" i="1"/>
  <c r="F485" i="1"/>
  <c r="E485" i="1"/>
  <c r="D485" i="1"/>
  <c r="C485" i="1"/>
  <c r="G484" i="1"/>
  <c r="F484" i="1"/>
  <c r="E484" i="1"/>
  <c r="D484" i="1"/>
  <c r="C484" i="1"/>
  <c r="G483" i="1"/>
  <c r="F483" i="1"/>
  <c r="E483" i="1"/>
  <c r="D483" i="1"/>
  <c r="C483" i="1"/>
  <c r="G482" i="1"/>
  <c r="F482" i="1"/>
  <c r="E482" i="1"/>
  <c r="D482" i="1"/>
  <c r="C482" i="1"/>
  <c r="G481" i="1"/>
  <c r="F481" i="1"/>
  <c r="E481" i="1"/>
  <c r="D481" i="1"/>
  <c r="C481" i="1"/>
  <c r="G480" i="1"/>
  <c r="F480" i="1"/>
  <c r="E480" i="1"/>
  <c r="D480" i="1"/>
  <c r="C480" i="1"/>
  <c r="G479" i="1"/>
  <c r="F479" i="1"/>
  <c r="E479" i="1"/>
  <c r="D479" i="1"/>
  <c r="C479" i="1"/>
  <c r="G478" i="1"/>
  <c r="F478" i="1"/>
  <c r="E478" i="1"/>
  <c r="D478" i="1"/>
  <c r="C478" i="1"/>
  <c r="G477" i="1"/>
  <c r="F477" i="1"/>
  <c r="E477" i="1"/>
  <c r="D477" i="1"/>
  <c r="C477" i="1"/>
  <c r="G476" i="1"/>
  <c r="F476" i="1"/>
  <c r="E476" i="1"/>
  <c r="D476" i="1"/>
  <c r="C476" i="1"/>
  <c r="G475" i="1"/>
  <c r="F475" i="1"/>
  <c r="E475" i="1"/>
  <c r="D475" i="1"/>
  <c r="C475" i="1"/>
  <c r="G474" i="1"/>
  <c r="F474" i="1"/>
  <c r="E474" i="1"/>
  <c r="D474" i="1"/>
  <c r="C474" i="1"/>
  <c r="G473" i="1"/>
  <c r="F473" i="1"/>
  <c r="E473" i="1"/>
  <c r="D473" i="1"/>
  <c r="C473" i="1"/>
  <c r="G472" i="1"/>
  <c r="F472" i="1"/>
  <c r="E472" i="1"/>
  <c r="D472" i="1"/>
  <c r="C472" i="1"/>
  <c r="G471" i="1"/>
  <c r="F471" i="1"/>
  <c r="E471" i="1"/>
  <c r="D471" i="1"/>
  <c r="C471" i="1"/>
  <c r="G470" i="1"/>
  <c r="F470" i="1"/>
  <c r="E470" i="1"/>
  <c r="D470" i="1"/>
  <c r="C470" i="1"/>
  <c r="G469" i="1"/>
  <c r="F469" i="1"/>
  <c r="E469" i="1"/>
  <c r="D469" i="1"/>
  <c r="C469" i="1"/>
  <c r="G468" i="1"/>
  <c r="F468" i="1"/>
  <c r="E468" i="1"/>
  <c r="D468" i="1"/>
  <c r="C468" i="1"/>
  <c r="G467" i="1"/>
  <c r="F467" i="1"/>
  <c r="E467" i="1"/>
  <c r="D467" i="1"/>
  <c r="C467" i="1"/>
  <c r="G466" i="1"/>
  <c r="F466" i="1"/>
  <c r="E466" i="1"/>
  <c r="D466" i="1"/>
  <c r="C466" i="1"/>
  <c r="G465" i="1"/>
  <c r="F465" i="1"/>
  <c r="E465" i="1"/>
  <c r="D465" i="1"/>
  <c r="C465" i="1"/>
  <c r="G464" i="1"/>
  <c r="F464" i="1"/>
  <c r="E464" i="1"/>
  <c r="D464" i="1"/>
  <c r="C464" i="1"/>
  <c r="G463" i="1"/>
  <c r="F463" i="1"/>
  <c r="E463" i="1"/>
  <c r="D463" i="1"/>
  <c r="C463" i="1"/>
  <c r="G462" i="1"/>
  <c r="F462" i="1"/>
  <c r="E462" i="1"/>
  <c r="D462" i="1"/>
  <c r="C462" i="1"/>
  <c r="G461" i="1"/>
  <c r="F461" i="1"/>
  <c r="E461" i="1"/>
  <c r="D461" i="1"/>
  <c r="C461" i="1"/>
  <c r="G460" i="1"/>
  <c r="F460" i="1"/>
  <c r="E460" i="1"/>
  <c r="D460" i="1"/>
  <c r="C460" i="1"/>
  <c r="G459" i="1"/>
  <c r="F459" i="1"/>
  <c r="E459" i="1"/>
  <c r="D459" i="1"/>
  <c r="C459" i="1"/>
  <c r="G458" i="1"/>
  <c r="F458" i="1"/>
  <c r="E458" i="1"/>
  <c r="D458" i="1"/>
  <c r="C458" i="1"/>
  <c r="G457" i="1"/>
  <c r="F457" i="1"/>
  <c r="E457" i="1"/>
  <c r="D457" i="1"/>
  <c r="C457" i="1"/>
  <c r="G456" i="1"/>
  <c r="F456" i="1"/>
  <c r="E456" i="1"/>
  <c r="D456" i="1"/>
  <c r="C456" i="1"/>
  <c r="G455" i="1"/>
  <c r="F455" i="1"/>
  <c r="E455" i="1"/>
  <c r="D455" i="1"/>
  <c r="C455" i="1"/>
  <c r="G454" i="1"/>
  <c r="F454" i="1"/>
  <c r="E454" i="1"/>
  <c r="D454" i="1"/>
  <c r="C454" i="1"/>
  <c r="G453" i="1"/>
  <c r="F453" i="1"/>
  <c r="E453" i="1"/>
  <c r="D453" i="1"/>
  <c r="C453" i="1"/>
  <c r="G452" i="1"/>
  <c r="F452" i="1"/>
  <c r="E452" i="1"/>
  <c r="D452" i="1"/>
  <c r="C452" i="1"/>
  <c r="G451" i="1"/>
  <c r="F451" i="1"/>
  <c r="E451" i="1"/>
  <c r="D451" i="1"/>
  <c r="C451" i="1"/>
  <c r="G450" i="1"/>
  <c r="F450" i="1"/>
  <c r="E450" i="1"/>
  <c r="D450" i="1"/>
  <c r="C450" i="1"/>
  <c r="G449" i="1"/>
  <c r="F449" i="1"/>
  <c r="E449" i="1"/>
  <c r="D449" i="1"/>
  <c r="C449" i="1"/>
  <c r="G448" i="1"/>
  <c r="F448" i="1"/>
  <c r="E448" i="1"/>
  <c r="D448" i="1"/>
  <c r="C448" i="1"/>
  <c r="G447" i="1"/>
  <c r="F447" i="1"/>
  <c r="E447" i="1"/>
  <c r="D447" i="1"/>
  <c r="C447" i="1"/>
  <c r="G446" i="1"/>
  <c r="F446" i="1"/>
  <c r="E446" i="1"/>
  <c r="D446" i="1"/>
  <c r="C446" i="1"/>
  <c r="G445" i="1"/>
  <c r="F445" i="1"/>
  <c r="E445" i="1"/>
  <c r="D445" i="1"/>
  <c r="C445" i="1"/>
  <c r="G444" i="1"/>
  <c r="F444" i="1"/>
  <c r="E444" i="1"/>
  <c r="D444" i="1"/>
  <c r="C444" i="1"/>
  <c r="G443" i="1"/>
  <c r="F443" i="1"/>
  <c r="E443" i="1"/>
  <c r="D443" i="1"/>
  <c r="C443" i="1"/>
  <c r="G442" i="1"/>
  <c r="F442" i="1"/>
  <c r="E442" i="1"/>
  <c r="D442" i="1"/>
  <c r="C442" i="1"/>
  <c r="G441" i="1"/>
  <c r="F441" i="1"/>
  <c r="E441" i="1"/>
  <c r="D441" i="1"/>
  <c r="C441" i="1"/>
  <c r="G440" i="1"/>
  <c r="F440" i="1"/>
  <c r="E440" i="1"/>
  <c r="D440" i="1"/>
  <c r="C440" i="1"/>
  <c r="G439" i="1"/>
  <c r="F439" i="1"/>
  <c r="E439" i="1"/>
  <c r="D439" i="1"/>
  <c r="C439" i="1"/>
  <c r="G438" i="1"/>
  <c r="F438" i="1"/>
  <c r="E438" i="1"/>
  <c r="D438" i="1"/>
  <c r="C438" i="1"/>
  <c r="G437" i="1"/>
  <c r="F437" i="1"/>
  <c r="E437" i="1"/>
  <c r="D437" i="1"/>
  <c r="C437" i="1"/>
  <c r="G436" i="1"/>
  <c r="F436" i="1"/>
  <c r="E436" i="1"/>
  <c r="D436" i="1"/>
  <c r="C436" i="1"/>
  <c r="G435" i="1"/>
  <c r="F435" i="1"/>
  <c r="E435" i="1"/>
  <c r="D435" i="1"/>
  <c r="C435" i="1"/>
  <c r="G434" i="1"/>
  <c r="F434" i="1"/>
  <c r="E434" i="1"/>
  <c r="D434" i="1"/>
  <c r="C434" i="1"/>
  <c r="G433" i="1"/>
  <c r="F433" i="1"/>
  <c r="E433" i="1"/>
  <c r="D433" i="1"/>
  <c r="C433" i="1"/>
  <c r="G432" i="1"/>
  <c r="F432" i="1"/>
  <c r="E432" i="1"/>
  <c r="D432" i="1"/>
  <c r="C432" i="1"/>
  <c r="G431" i="1"/>
  <c r="F431" i="1"/>
  <c r="E431" i="1"/>
  <c r="D431" i="1"/>
  <c r="C431" i="1"/>
  <c r="G430" i="1"/>
  <c r="F430" i="1"/>
  <c r="E430" i="1"/>
  <c r="D430" i="1"/>
  <c r="C430" i="1"/>
  <c r="G429" i="1"/>
  <c r="F429" i="1"/>
  <c r="E429" i="1"/>
  <c r="D429" i="1"/>
  <c r="C429" i="1"/>
  <c r="G428" i="1"/>
  <c r="F428" i="1"/>
  <c r="E428" i="1"/>
  <c r="D428" i="1"/>
  <c r="C428" i="1"/>
  <c r="G427" i="1"/>
  <c r="F427" i="1"/>
  <c r="E427" i="1"/>
  <c r="D427" i="1"/>
  <c r="C427" i="1"/>
  <c r="G426" i="1"/>
  <c r="F426" i="1"/>
  <c r="E426" i="1"/>
  <c r="D426" i="1"/>
  <c r="C426" i="1"/>
  <c r="G425" i="1"/>
  <c r="F425" i="1"/>
  <c r="E425" i="1"/>
  <c r="D425" i="1"/>
  <c r="C425" i="1"/>
  <c r="G424" i="1"/>
  <c r="F424" i="1"/>
  <c r="E424" i="1"/>
  <c r="D424" i="1"/>
  <c r="C424" i="1"/>
  <c r="G423" i="1"/>
  <c r="F423" i="1"/>
  <c r="E423" i="1"/>
  <c r="D423" i="1"/>
  <c r="C423" i="1"/>
  <c r="G422" i="1"/>
  <c r="F422" i="1"/>
  <c r="E422" i="1"/>
  <c r="D422" i="1"/>
  <c r="C422" i="1"/>
  <c r="G421" i="1"/>
  <c r="F421" i="1"/>
  <c r="E421" i="1"/>
  <c r="D421" i="1"/>
  <c r="C421" i="1"/>
  <c r="G420" i="1"/>
  <c r="F420" i="1"/>
  <c r="E420" i="1"/>
  <c r="D420" i="1"/>
  <c r="C420" i="1"/>
  <c r="G419" i="1"/>
  <c r="F419" i="1"/>
  <c r="E419" i="1"/>
  <c r="D419" i="1"/>
  <c r="C419" i="1"/>
  <c r="G418" i="1"/>
  <c r="F418" i="1"/>
  <c r="E418" i="1"/>
  <c r="D418" i="1"/>
  <c r="C418" i="1"/>
  <c r="G417" i="1"/>
  <c r="F417" i="1"/>
  <c r="E417" i="1"/>
  <c r="D417" i="1"/>
  <c r="C417" i="1"/>
  <c r="G416" i="1"/>
  <c r="F416" i="1"/>
  <c r="E416" i="1"/>
  <c r="D416" i="1"/>
  <c r="C416" i="1"/>
  <c r="G415" i="1"/>
  <c r="F415" i="1"/>
  <c r="E415" i="1"/>
  <c r="D415" i="1"/>
  <c r="C415" i="1"/>
  <c r="G414" i="1"/>
  <c r="F414" i="1"/>
  <c r="E414" i="1"/>
  <c r="D414" i="1"/>
  <c r="C414" i="1"/>
  <c r="G413" i="1"/>
  <c r="F413" i="1"/>
  <c r="E413" i="1"/>
  <c r="D413" i="1"/>
  <c r="C413" i="1"/>
  <c r="G412" i="1"/>
  <c r="F412" i="1"/>
  <c r="E412" i="1"/>
  <c r="D412" i="1"/>
  <c r="C412" i="1"/>
  <c r="G411" i="1"/>
  <c r="F411" i="1"/>
  <c r="E411" i="1"/>
  <c r="D411" i="1"/>
  <c r="C411" i="1"/>
  <c r="G410" i="1"/>
  <c r="F410" i="1"/>
  <c r="E410" i="1"/>
  <c r="D410" i="1"/>
  <c r="C410" i="1"/>
  <c r="G409" i="1"/>
  <c r="F409" i="1"/>
  <c r="E409" i="1"/>
  <c r="D409" i="1"/>
  <c r="C409" i="1"/>
  <c r="G408" i="1"/>
  <c r="F408" i="1"/>
  <c r="E408" i="1"/>
  <c r="D408" i="1"/>
  <c r="C408" i="1"/>
  <c r="G407" i="1"/>
  <c r="F407" i="1"/>
  <c r="E407" i="1"/>
  <c r="D407" i="1"/>
  <c r="C407" i="1"/>
  <c r="G406" i="1"/>
  <c r="F406" i="1"/>
  <c r="E406" i="1"/>
  <c r="D406" i="1"/>
  <c r="C406" i="1"/>
  <c r="G405" i="1"/>
  <c r="F405" i="1"/>
  <c r="E405" i="1"/>
  <c r="D405" i="1"/>
  <c r="C405" i="1"/>
  <c r="G404" i="1"/>
  <c r="F404" i="1"/>
  <c r="E404" i="1"/>
  <c r="D404" i="1"/>
  <c r="C404" i="1"/>
  <c r="G403" i="1"/>
  <c r="F403" i="1"/>
  <c r="E403" i="1"/>
  <c r="D403" i="1"/>
  <c r="C403" i="1"/>
  <c r="G402" i="1"/>
  <c r="F402" i="1"/>
  <c r="E402" i="1"/>
  <c r="D402" i="1"/>
  <c r="C402" i="1"/>
  <c r="G401" i="1"/>
  <c r="F401" i="1"/>
  <c r="E401" i="1"/>
  <c r="D401" i="1"/>
  <c r="C401" i="1"/>
  <c r="G400" i="1"/>
  <c r="F400" i="1"/>
  <c r="E400" i="1"/>
  <c r="D400" i="1"/>
  <c r="C400" i="1"/>
  <c r="G399" i="1"/>
  <c r="F399" i="1"/>
  <c r="E399" i="1"/>
  <c r="D399" i="1"/>
  <c r="C399" i="1"/>
  <c r="G398" i="1"/>
  <c r="F398" i="1"/>
  <c r="E398" i="1"/>
  <c r="D398" i="1"/>
  <c r="C398" i="1"/>
  <c r="G397" i="1"/>
  <c r="F397" i="1"/>
  <c r="E397" i="1"/>
  <c r="D397" i="1"/>
  <c r="C397" i="1"/>
  <c r="G396" i="1"/>
  <c r="F396" i="1"/>
  <c r="E396" i="1"/>
  <c r="D396" i="1"/>
  <c r="C396" i="1"/>
  <c r="G395" i="1"/>
  <c r="F395" i="1"/>
  <c r="E395" i="1"/>
  <c r="D395" i="1"/>
  <c r="C395" i="1"/>
  <c r="G394" i="1"/>
  <c r="F394" i="1"/>
  <c r="E394" i="1"/>
  <c r="D394" i="1"/>
  <c r="C394" i="1"/>
  <c r="G393" i="1"/>
  <c r="F393" i="1"/>
  <c r="E393" i="1"/>
  <c r="D393" i="1"/>
  <c r="C393" i="1"/>
  <c r="G392" i="1"/>
  <c r="F392" i="1"/>
  <c r="E392" i="1"/>
  <c r="D392" i="1"/>
  <c r="C392" i="1"/>
  <c r="G391" i="1"/>
  <c r="F391" i="1"/>
  <c r="E391" i="1"/>
  <c r="D391" i="1"/>
  <c r="C391" i="1"/>
  <c r="G390" i="1"/>
  <c r="F390" i="1"/>
  <c r="E390" i="1"/>
  <c r="D390" i="1"/>
  <c r="C390" i="1"/>
  <c r="G389" i="1"/>
  <c r="F389" i="1"/>
  <c r="E389" i="1"/>
  <c r="D389" i="1"/>
  <c r="C389" i="1"/>
  <c r="G388" i="1"/>
  <c r="F388" i="1"/>
  <c r="E388" i="1"/>
  <c r="D388" i="1"/>
  <c r="C388" i="1"/>
  <c r="G387" i="1"/>
  <c r="F387" i="1"/>
  <c r="E387" i="1"/>
  <c r="D387" i="1"/>
  <c r="C387" i="1"/>
  <c r="G386" i="1"/>
  <c r="F386" i="1"/>
  <c r="E386" i="1"/>
  <c r="D386" i="1"/>
  <c r="C386" i="1"/>
  <c r="G385" i="1"/>
  <c r="F385" i="1"/>
  <c r="E385" i="1"/>
  <c r="D385" i="1"/>
  <c r="C385" i="1"/>
  <c r="G384" i="1"/>
  <c r="F384" i="1"/>
  <c r="E384" i="1"/>
  <c r="D384" i="1"/>
  <c r="C384" i="1"/>
  <c r="G383" i="1"/>
  <c r="F383" i="1"/>
  <c r="E383" i="1"/>
  <c r="D383" i="1"/>
  <c r="C383" i="1"/>
  <c r="G382" i="1"/>
  <c r="F382" i="1"/>
  <c r="E382" i="1"/>
  <c r="D382" i="1"/>
  <c r="C382" i="1"/>
  <c r="G381" i="1"/>
  <c r="F381" i="1"/>
  <c r="E381" i="1"/>
  <c r="D381" i="1"/>
  <c r="C381" i="1"/>
  <c r="G380" i="1"/>
  <c r="F380" i="1"/>
  <c r="E380" i="1"/>
  <c r="D380" i="1"/>
  <c r="C380" i="1"/>
  <c r="G379" i="1"/>
  <c r="F379" i="1"/>
  <c r="E379" i="1"/>
  <c r="D379" i="1"/>
  <c r="C379" i="1"/>
  <c r="G378" i="1"/>
  <c r="F378" i="1"/>
  <c r="E378" i="1"/>
  <c r="D378" i="1"/>
  <c r="C378" i="1"/>
  <c r="G377" i="1"/>
  <c r="F377" i="1"/>
  <c r="E377" i="1"/>
  <c r="D377" i="1"/>
  <c r="C377" i="1"/>
  <c r="G376" i="1"/>
  <c r="F376" i="1"/>
  <c r="E376" i="1"/>
  <c r="D376" i="1"/>
  <c r="C376" i="1"/>
  <c r="G375" i="1"/>
  <c r="F375" i="1"/>
  <c r="E375" i="1"/>
  <c r="D375" i="1"/>
  <c r="C375" i="1"/>
  <c r="G374" i="1"/>
  <c r="F374" i="1"/>
  <c r="E374" i="1"/>
  <c r="D374" i="1"/>
  <c r="C374" i="1"/>
  <c r="G373" i="1"/>
  <c r="F373" i="1"/>
  <c r="E373" i="1"/>
  <c r="D373" i="1"/>
  <c r="C373" i="1"/>
  <c r="G372" i="1"/>
  <c r="F372" i="1"/>
  <c r="E372" i="1"/>
  <c r="D372" i="1"/>
  <c r="C372" i="1"/>
  <c r="G371" i="1"/>
  <c r="F371" i="1"/>
  <c r="E371" i="1"/>
  <c r="D371" i="1"/>
  <c r="C371" i="1"/>
  <c r="G370" i="1"/>
  <c r="F370" i="1"/>
  <c r="E370" i="1"/>
  <c r="D370" i="1"/>
  <c r="C370" i="1"/>
  <c r="G369" i="1"/>
  <c r="F369" i="1"/>
  <c r="E369" i="1"/>
  <c r="D369" i="1"/>
  <c r="C369" i="1"/>
  <c r="G368" i="1"/>
  <c r="F368" i="1"/>
  <c r="E368" i="1"/>
  <c r="D368" i="1"/>
  <c r="C368" i="1"/>
  <c r="G367" i="1"/>
  <c r="F367" i="1"/>
  <c r="E367" i="1"/>
  <c r="D367" i="1"/>
  <c r="C367" i="1"/>
  <c r="G366" i="1"/>
  <c r="F366" i="1"/>
  <c r="E366" i="1"/>
  <c r="D366" i="1"/>
  <c r="C366" i="1"/>
  <c r="G365" i="1"/>
  <c r="F365" i="1"/>
  <c r="E365" i="1"/>
  <c r="D365" i="1"/>
  <c r="C365" i="1"/>
  <c r="G364" i="1"/>
  <c r="F364" i="1"/>
  <c r="E364" i="1"/>
  <c r="D364" i="1"/>
  <c r="C364" i="1"/>
  <c r="G363" i="1"/>
  <c r="F363" i="1"/>
  <c r="E363" i="1"/>
  <c r="D363" i="1"/>
  <c r="C363" i="1"/>
  <c r="G362" i="1"/>
  <c r="F362" i="1"/>
  <c r="E362" i="1"/>
  <c r="D362" i="1"/>
  <c r="C362" i="1"/>
  <c r="G361" i="1"/>
  <c r="F361" i="1"/>
  <c r="E361" i="1"/>
  <c r="D361" i="1"/>
  <c r="C361" i="1"/>
  <c r="G360" i="1"/>
  <c r="F360" i="1"/>
  <c r="E360" i="1"/>
  <c r="D360" i="1"/>
  <c r="C360" i="1"/>
  <c r="G359" i="1"/>
  <c r="F359" i="1"/>
  <c r="E359" i="1"/>
  <c r="D359" i="1"/>
  <c r="C359" i="1"/>
  <c r="G358" i="1"/>
  <c r="F358" i="1"/>
  <c r="E358" i="1"/>
  <c r="D358" i="1"/>
  <c r="C358" i="1"/>
  <c r="G357" i="1"/>
  <c r="F357" i="1"/>
  <c r="E357" i="1"/>
  <c r="D357" i="1"/>
  <c r="C357" i="1"/>
  <c r="G356" i="1"/>
  <c r="F356" i="1"/>
  <c r="E356" i="1"/>
  <c r="D356" i="1"/>
  <c r="C356" i="1"/>
  <c r="G355" i="1"/>
  <c r="F355" i="1"/>
  <c r="E355" i="1"/>
  <c r="D355" i="1"/>
  <c r="C355" i="1"/>
  <c r="G354" i="1"/>
  <c r="F354" i="1"/>
  <c r="E354" i="1"/>
  <c r="D354" i="1"/>
  <c r="C354" i="1"/>
  <c r="G353" i="1"/>
  <c r="F353" i="1"/>
  <c r="E353" i="1"/>
  <c r="D353" i="1"/>
  <c r="C353" i="1"/>
  <c r="G352" i="1"/>
  <c r="F352" i="1"/>
  <c r="E352" i="1"/>
  <c r="D352" i="1"/>
  <c r="C352" i="1"/>
  <c r="G351" i="1"/>
  <c r="F351" i="1"/>
  <c r="E351" i="1"/>
  <c r="D351" i="1"/>
  <c r="C351" i="1"/>
  <c r="G350" i="1"/>
  <c r="F350" i="1"/>
  <c r="E350" i="1"/>
  <c r="D350" i="1"/>
  <c r="C350" i="1"/>
  <c r="G349" i="1"/>
  <c r="F349" i="1"/>
  <c r="E349" i="1"/>
  <c r="D349" i="1"/>
  <c r="C349" i="1"/>
  <c r="G348" i="1"/>
  <c r="F348" i="1"/>
  <c r="E348" i="1"/>
  <c r="D348" i="1"/>
  <c r="C348" i="1"/>
  <c r="G347" i="1"/>
  <c r="F347" i="1"/>
  <c r="E347" i="1"/>
  <c r="D347" i="1"/>
  <c r="C347" i="1"/>
  <c r="G346" i="1"/>
  <c r="F346" i="1"/>
  <c r="E346" i="1"/>
  <c r="D346" i="1"/>
  <c r="C346" i="1"/>
  <c r="G345" i="1"/>
  <c r="F345" i="1"/>
  <c r="E345" i="1"/>
  <c r="D345" i="1"/>
  <c r="C345" i="1"/>
  <c r="G344" i="1"/>
  <c r="F344" i="1"/>
  <c r="E344" i="1"/>
  <c r="D344" i="1"/>
  <c r="C344" i="1"/>
  <c r="G343" i="1"/>
  <c r="F343" i="1"/>
  <c r="E343" i="1"/>
  <c r="D343" i="1"/>
  <c r="C343" i="1"/>
  <c r="G342" i="1"/>
  <c r="F342" i="1"/>
  <c r="E342" i="1"/>
  <c r="D342" i="1"/>
  <c r="C342" i="1"/>
  <c r="G341" i="1"/>
  <c r="F341" i="1"/>
  <c r="E341" i="1"/>
  <c r="D341" i="1"/>
  <c r="C341" i="1"/>
  <c r="G340" i="1"/>
  <c r="F340" i="1"/>
  <c r="E340" i="1"/>
  <c r="D340" i="1"/>
  <c r="C340" i="1"/>
  <c r="G339" i="1"/>
  <c r="F339" i="1"/>
  <c r="E339" i="1"/>
  <c r="D339" i="1"/>
  <c r="C339" i="1"/>
  <c r="G338" i="1"/>
  <c r="F338" i="1"/>
  <c r="E338" i="1"/>
  <c r="D338" i="1"/>
  <c r="C338" i="1"/>
  <c r="G337" i="1"/>
  <c r="F337" i="1"/>
  <c r="E337" i="1"/>
  <c r="D337" i="1"/>
  <c r="C337" i="1"/>
  <c r="G336" i="1"/>
  <c r="F336" i="1"/>
  <c r="E336" i="1"/>
  <c r="D336" i="1"/>
  <c r="C336" i="1"/>
  <c r="G335" i="1"/>
  <c r="F335" i="1"/>
  <c r="E335" i="1"/>
  <c r="D335" i="1"/>
  <c r="C335" i="1"/>
  <c r="G334" i="1"/>
  <c r="F334" i="1"/>
  <c r="E334" i="1"/>
  <c r="D334" i="1"/>
  <c r="C334" i="1"/>
  <c r="G333" i="1"/>
  <c r="F333" i="1"/>
  <c r="E333" i="1"/>
  <c r="D333" i="1"/>
  <c r="C333" i="1"/>
  <c r="G332" i="1"/>
  <c r="F332" i="1"/>
  <c r="E332" i="1"/>
  <c r="D332" i="1"/>
  <c r="C332" i="1"/>
  <c r="G331" i="1"/>
  <c r="F331" i="1"/>
  <c r="E331" i="1"/>
  <c r="D331" i="1"/>
  <c r="C331" i="1"/>
  <c r="G330" i="1"/>
  <c r="F330" i="1"/>
  <c r="E330" i="1"/>
  <c r="D330" i="1"/>
  <c r="C330" i="1"/>
  <c r="G329" i="1"/>
  <c r="F329" i="1"/>
  <c r="E329" i="1"/>
  <c r="D329" i="1"/>
  <c r="C329" i="1"/>
  <c r="G328" i="1"/>
  <c r="F328" i="1"/>
  <c r="E328" i="1"/>
  <c r="D328" i="1"/>
  <c r="C328" i="1"/>
  <c r="G327" i="1"/>
  <c r="F327" i="1"/>
  <c r="E327" i="1"/>
  <c r="D327" i="1"/>
  <c r="C327" i="1"/>
  <c r="G326" i="1"/>
  <c r="F326" i="1"/>
  <c r="E326" i="1"/>
  <c r="D326" i="1"/>
  <c r="C326" i="1"/>
  <c r="G325" i="1"/>
  <c r="F325" i="1"/>
  <c r="E325" i="1"/>
  <c r="D325" i="1"/>
  <c r="C325" i="1"/>
  <c r="G324" i="1"/>
  <c r="F324" i="1"/>
  <c r="E324" i="1"/>
  <c r="D324" i="1"/>
  <c r="C324" i="1"/>
  <c r="G323" i="1"/>
  <c r="F323" i="1"/>
  <c r="E323" i="1"/>
  <c r="D323" i="1"/>
  <c r="C323" i="1"/>
  <c r="G322" i="1"/>
  <c r="F322" i="1"/>
  <c r="E322" i="1"/>
  <c r="D322" i="1"/>
  <c r="C322" i="1"/>
  <c r="G321" i="1"/>
  <c r="F321" i="1"/>
  <c r="E321" i="1"/>
  <c r="D321" i="1"/>
  <c r="C321" i="1"/>
  <c r="G320" i="1"/>
  <c r="F320" i="1"/>
  <c r="E320" i="1"/>
  <c r="D320" i="1"/>
  <c r="C320" i="1"/>
  <c r="G319" i="1"/>
  <c r="F319" i="1"/>
  <c r="E319" i="1"/>
  <c r="D319" i="1"/>
  <c r="C319" i="1"/>
  <c r="G318" i="1"/>
  <c r="F318" i="1"/>
  <c r="E318" i="1"/>
  <c r="D318" i="1"/>
  <c r="C318" i="1"/>
  <c r="G317" i="1"/>
  <c r="F317" i="1"/>
  <c r="E317" i="1"/>
  <c r="D317" i="1"/>
  <c r="C317" i="1"/>
  <c r="G316" i="1"/>
  <c r="F316" i="1"/>
  <c r="E316" i="1"/>
  <c r="D316" i="1"/>
  <c r="C316" i="1"/>
  <c r="G315" i="1"/>
  <c r="F315" i="1"/>
  <c r="E315" i="1"/>
  <c r="D315" i="1"/>
  <c r="C315" i="1"/>
  <c r="G314" i="1"/>
  <c r="F314" i="1"/>
  <c r="E314" i="1"/>
  <c r="D314" i="1"/>
  <c r="C314" i="1"/>
  <c r="G313" i="1"/>
  <c r="F313" i="1"/>
  <c r="E313" i="1"/>
  <c r="D313" i="1"/>
  <c r="C313" i="1"/>
  <c r="G312" i="1"/>
  <c r="F312" i="1"/>
  <c r="E312" i="1"/>
  <c r="D312" i="1"/>
  <c r="C312" i="1"/>
  <c r="G311" i="1"/>
  <c r="F311" i="1"/>
  <c r="E311" i="1"/>
  <c r="D311" i="1"/>
  <c r="C311" i="1"/>
  <c r="G310" i="1"/>
  <c r="F310" i="1"/>
  <c r="E310" i="1"/>
  <c r="D310" i="1"/>
  <c r="C310" i="1"/>
  <c r="G309" i="1"/>
  <c r="F309" i="1"/>
  <c r="E309" i="1"/>
  <c r="D309" i="1"/>
  <c r="C309" i="1"/>
  <c r="G308" i="1"/>
  <c r="F308" i="1"/>
  <c r="E308" i="1"/>
  <c r="D308" i="1"/>
  <c r="C308" i="1"/>
  <c r="G307" i="1"/>
  <c r="F307" i="1"/>
  <c r="E307" i="1"/>
  <c r="D307" i="1"/>
  <c r="C307" i="1"/>
  <c r="G306" i="1"/>
  <c r="F306" i="1"/>
  <c r="E306" i="1"/>
  <c r="D306" i="1"/>
  <c r="C306" i="1"/>
  <c r="G305" i="1"/>
  <c r="F305" i="1"/>
  <c r="E305" i="1"/>
  <c r="D305" i="1"/>
  <c r="C305" i="1"/>
  <c r="G304" i="1"/>
  <c r="F304" i="1"/>
  <c r="E304" i="1"/>
  <c r="D304" i="1"/>
  <c r="C304" i="1"/>
  <c r="G303" i="1"/>
  <c r="F303" i="1"/>
  <c r="E303" i="1"/>
  <c r="D303" i="1"/>
  <c r="C303" i="1"/>
  <c r="G302" i="1"/>
  <c r="F302" i="1"/>
  <c r="E302" i="1"/>
  <c r="D302" i="1"/>
  <c r="C302" i="1"/>
  <c r="G301" i="1"/>
  <c r="F301" i="1"/>
  <c r="E301" i="1"/>
  <c r="D301" i="1"/>
  <c r="C301" i="1"/>
  <c r="G300" i="1"/>
  <c r="F300" i="1"/>
  <c r="E300" i="1"/>
  <c r="D300" i="1"/>
  <c r="C300" i="1"/>
  <c r="G299" i="1"/>
  <c r="F299" i="1"/>
  <c r="E299" i="1"/>
  <c r="D299" i="1"/>
  <c r="C299" i="1"/>
  <c r="G298" i="1"/>
  <c r="F298" i="1"/>
  <c r="E298" i="1"/>
  <c r="D298" i="1"/>
  <c r="C298" i="1"/>
  <c r="G297" i="1"/>
  <c r="F297" i="1"/>
  <c r="E297" i="1"/>
  <c r="D297" i="1"/>
  <c r="C297" i="1"/>
  <c r="G296" i="1"/>
  <c r="F296" i="1"/>
  <c r="E296" i="1"/>
  <c r="D296" i="1"/>
  <c r="C296" i="1"/>
  <c r="G295" i="1"/>
  <c r="F295" i="1"/>
  <c r="E295" i="1"/>
  <c r="D295" i="1"/>
  <c r="C295" i="1"/>
  <c r="G294" i="1"/>
  <c r="F294" i="1"/>
  <c r="E294" i="1"/>
  <c r="D294" i="1"/>
  <c r="C294" i="1"/>
  <c r="G293" i="1"/>
  <c r="F293" i="1"/>
  <c r="E293" i="1"/>
  <c r="D293" i="1"/>
  <c r="C293" i="1"/>
  <c r="G292" i="1"/>
  <c r="F292" i="1"/>
  <c r="E292" i="1"/>
  <c r="D292" i="1"/>
  <c r="C292" i="1"/>
  <c r="G291" i="1"/>
  <c r="F291" i="1"/>
  <c r="E291" i="1"/>
  <c r="D291" i="1"/>
  <c r="C291" i="1"/>
  <c r="G290" i="1"/>
  <c r="F290" i="1"/>
  <c r="E290" i="1"/>
  <c r="D290" i="1"/>
  <c r="C290" i="1"/>
  <c r="G289" i="1"/>
  <c r="F289" i="1"/>
  <c r="E289" i="1"/>
  <c r="D289" i="1"/>
  <c r="C289" i="1"/>
  <c r="G288" i="1"/>
  <c r="F288" i="1"/>
  <c r="E288" i="1"/>
  <c r="D288" i="1"/>
  <c r="C288" i="1"/>
  <c r="G287" i="1"/>
  <c r="F287" i="1"/>
  <c r="E287" i="1"/>
  <c r="D287" i="1"/>
  <c r="C287" i="1"/>
  <c r="G286" i="1"/>
  <c r="F286" i="1"/>
  <c r="E286" i="1"/>
  <c r="D286" i="1"/>
  <c r="C286" i="1"/>
  <c r="G285" i="1"/>
  <c r="F285" i="1"/>
  <c r="E285" i="1"/>
  <c r="D285" i="1"/>
  <c r="C285" i="1"/>
  <c r="G284" i="1"/>
  <c r="F284" i="1"/>
  <c r="E284" i="1"/>
  <c r="D284" i="1"/>
  <c r="C284" i="1"/>
  <c r="G283" i="1"/>
  <c r="F283" i="1"/>
  <c r="E283" i="1"/>
  <c r="D283" i="1"/>
  <c r="C283" i="1"/>
  <c r="G282" i="1"/>
  <c r="F282" i="1"/>
  <c r="E282" i="1"/>
  <c r="D282" i="1"/>
  <c r="C282" i="1"/>
  <c r="G281" i="1"/>
  <c r="F281" i="1"/>
  <c r="E281" i="1"/>
  <c r="D281" i="1"/>
  <c r="C281" i="1"/>
  <c r="G280" i="1"/>
  <c r="F280" i="1"/>
  <c r="E280" i="1"/>
  <c r="D280" i="1"/>
  <c r="C280" i="1"/>
  <c r="G279" i="1"/>
  <c r="F279" i="1"/>
  <c r="E279" i="1"/>
  <c r="D279" i="1"/>
  <c r="C279" i="1"/>
  <c r="G278" i="1"/>
  <c r="F278" i="1"/>
  <c r="E278" i="1"/>
  <c r="D278" i="1"/>
  <c r="C278" i="1"/>
  <c r="G277" i="1"/>
  <c r="F277" i="1"/>
  <c r="E277" i="1"/>
  <c r="D277" i="1"/>
  <c r="C277" i="1"/>
  <c r="G276" i="1"/>
  <c r="F276" i="1"/>
  <c r="E276" i="1"/>
  <c r="D276" i="1"/>
  <c r="C276" i="1"/>
  <c r="G275" i="1"/>
  <c r="F275" i="1"/>
  <c r="E275" i="1"/>
  <c r="D275" i="1"/>
  <c r="C275" i="1"/>
  <c r="G274" i="1"/>
  <c r="F274" i="1"/>
  <c r="E274" i="1"/>
  <c r="D274" i="1"/>
  <c r="C274" i="1"/>
  <c r="G273" i="1"/>
  <c r="F273" i="1"/>
  <c r="E273" i="1"/>
  <c r="D273" i="1"/>
  <c r="C273" i="1"/>
  <c r="G272" i="1"/>
  <c r="F272" i="1"/>
  <c r="E272" i="1"/>
  <c r="D272" i="1"/>
  <c r="C272" i="1"/>
  <c r="G271" i="1"/>
  <c r="F271" i="1"/>
  <c r="E271" i="1"/>
  <c r="D271" i="1"/>
  <c r="C271" i="1"/>
  <c r="G270" i="1"/>
  <c r="F270" i="1"/>
  <c r="E270" i="1"/>
  <c r="D270" i="1"/>
  <c r="C270" i="1"/>
  <c r="G269" i="1"/>
  <c r="F269" i="1"/>
  <c r="E269" i="1"/>
  <c r="D269" i="1"/>
  <c r="C269" i="1"/>
  <c r="G268" i="1"/>
  <c r="F268" i="1"/>
  <c r="E268" i="1"/>
  <c r="D268" i="1"/>
  <c r="C268" i="1"/>
  <c r="G267" i="1"/>
  <c r="F267" i="1"/>
  <c r="E267" i="1"/>
  <c r="D267" i="1"/>
  <c r="C267" i="1"/>
  <c r="G266" i="1"/>
  <c r="F266" i="1"/>
  <c r="E266" i="1"/>
  <c r="D266" i="1"/>
  <c r="C266" i="1"/>
  <c r="G265" i="1"/>
  <c r="F265" i="1"/>
  <c r="E265" i="1"/>
  <c r="D265" i="1"/>
  <c r="C265" i="1"/>
  <c r="G264" i="1"/>
  <c r="F264" i="1"/>
  <c r="E264" i="1"/>
  <c r="D264" i="1"/>
  <c r="C264" i="1"/>
  <c r="G263" i="1"/>
  <c r="F263" i="1"/>
  <c r="E263" i="1"/>
  <c r="D263" i="1"/>
  <c r="C263" i="1"/>
  <c r="G262" i="1"/>
  <c r="F262" i="1"/>
  <c r="E262" i="1"/>
  <c r="D262" i="1"/>
  <c r="C262" i="1"/>
  <c r="G261" i="1"/>
  <c r="F261" i="1"/>
  <c r="E261" i="1"/>
  <c r="D261" i="1"/>
  <c r="C261" i="1"/>
  <c r="G260" i="1"/>
  <c r="F260" i="1"/>
  <c r="E260" i="1"/>
  <c r="D260" i="1"/>
  <c r="C260" i="1"/>
  <c r="G259" i="1"/>
  <c r="F259" i="1"/>
  <c r="E259" i="1"/>
  <c r="D259" i="1"/>
  <c r="C259" i="1"/>
  <c r="G258" i="1"/>
  <c r="F258" i="1"/>
  <c r="E258" i="1"/>
  <c r="D258" i="1"/>
  <c r="C258" i="1"/>
  <c r="G257" i="1"/>
  <c r="F257" i="1"/>
  <c r="E257" i="1"/>
  <c r="D257" i="1"/>
  <c r="C257" i="1"/>
  <c r="G256" i="1"/>
  <c r="F256" i="1"/>
  <c r="E256" i="1"/>
  <c r="D256" i="1"/>
  <c r="C256" i="1"/>
  <c r="G255" i="1"/>
  <c r="F255" i="1"/>
  <c r="E255" i="1"/>
  <c r="D255" i="1"/>
  <c r="C255" i="1"/>
  <c r="G254" i="1"/>
  <c r="F254" i="1"/>
  <c r="E254" i="1"/>
  <c r="D254" i="1"/>
  <c r="C254" i="1"/>
  <c r="G253" i="1"/>
  <c r="F253" i="1"/>
  <c r="E253" i="1"/>
  <c r="D253" i="1"/>
  <c r="C253" i="1"/>
  <c r="G252" i="1"/>
  <c r="F252" i="1"/>
  <c r="E252" i="1"/>
  <c r="D252" i="1"/>
  <c r="C252" i="1"/>
  <c r="G251" i="1"/>
  <c r="F251" i="1"/>
  <c r="E251" i="1"/>
  <c r="D251" i="1"/>
  <c r="C251" i="1"/>
  <c r="G250" i="1"/>
  <c r="F250" i="1"/>
  <c r="E250" i="1"/>
  <c r="D250" i="1"/>
  <c r="C250" i="1"/>
  <c r="G249" i="1"/>
  <c r="F249" i="1"/>
  <c r="E249" i="1"/>
  <c r="D249" i="1"/>
  <c r="C249" i="1"/>
  <c r="G248" i="1"/>
  <c r="F248" i="1"/>
  <c r="E248" i="1"/>
  <c r="D248" i="1"/>
  <c r="C248" i="1"/>
  <c r="G247" i="1"/>
  <c r="F247" i="1"/>
  <c r="E247" i="1"/>
  <c r="D247" i="1"/>
  <c r="C247" i="1"/>
  <c r="G246" i="1"/>
  <c r="F246" i="1"/>
  <c r="E246" i="1"/>
  <c r="D246" i="1"/>
  <c r="C246" i="1"/>
  <c r="G245" i="1"/>
  <c r="F245" i="1"/>
  <c r="E245" i="1"/>
  <c r="D245" i="1"/>
  <c r="C245" i="1"/>
  <c r="G244" i="1"/>
  <c r="F244" i="1"/>
  <c r="E244" i="1"/>
  <c r="D244" i="1"/>
  <c r="C244" i="1"/>
  <c r="G243" i="1"/>
  <c r="F243" i="1"/>
  <c r="E243" i="1"/>
  <c r="D243" i="1"/>
  <c r="C243" i="1"/>
  <c r="G242" i="1"/>
  <c r="F242" i="1"/>
  <c r="E242" i="1"/>
  <c r="D242" i="1"/>
  <c r="C242" i="1"/>
  <c r="G241" i="1"/>
  <c r="F241" i="1"/>
  <c r="E241" i="1"/>
  <c r="D241" i="1"/>
  <c r="C241" i="1"/>
  <c r="G240" i="1"/>
  <c r="F240" i="1"/>
  <c r="E240" i="1"/>
  <c r="D240" i="1"/>
  <c r="C240" i="1"/>
  <c r="G239" i="1"/>
  <c r="F239" i="1"/>
  <c r="E239" i="1"/>
  <c r="D239" i="1"/>
  <c r="C239" i="1"/>
  <c r="G238" i="1"/>
  <c r="F238" i="1"/>
  <c r="E238" i="1"/>
  <c r="D238" i="1"/>
  <c r="C238" i="1"/>
  <c r="G237" i="1"/>
  <c r="F237" i="1"/>
  <c r="E237" i="1"/>
  <c r="D237" i="1"/>
  <c r="C237" i="1"/>
  <c r="G236" i="1"/>
  <c r="F236" i="1"/>
  <c r="E236" i="1"/>
  <c r="D236" i="1"/>
  <c r="C236" i="1"/>
  <c r="G235" i="1"/>
  <c r="F235" i="1"/>
  <c r="E235" i="1"/>
  <c r="D235" i="1"/>
  <c r="C235" i="1"/>
  <c r="G234" i="1"/>
  <c r="F234" i="1"/>
  <c r="E234" i="1"/>
  <c r="D234" i="1"/>
  <c r="C234" i="1"/>
  <c r="G233" i="1"/>
  <c r="F233" i="1"/>
  <c r="E233" i="1"/>
  <c r="D233" i="1"/>
  <c r="C233" i="1"/>
  <c r="G232" i="1"/>
  <c r="F232" i="1"/>
  <c r="E232" i="1"/>
  <c r="D232" i="1"/>
  <c r="C232" i="1"/>
  <c r="G231" i="1"/>
  <c r="F231" i="1"/>
  <c r="E231" i="1"/>
  <c r="D231" i="1"/>
  <c r="C231" i="1"/>
  <c r="G230" i="1"/>
  <c r="F230" i="1"/>
  <c r="E230" i="1"/>
  <c r="D230" i="1"/>
  <c r="C230" i="1"/>
  <c r="G229" i="1"/>
  <c r="F229" i="1"/>
  <c r="E229" i="1"/>
  <c r="D229" i="1"/>
  <c r="C229" i="1"/>
  <c r="G228" i="1"/>
  <c r="F228" i="1"/>
  <c r="E228" i="1"/>
  <c r="D228" i="1"/>
  <c r="C228" i="1"/>
  <c r="G227" i="1"/>
  <c r="F227" i="1"/>
  <c r="E227" i="1"/>
  <c r="D227" i="1"/>
  <c r="C227" i="1"/>
  <c r="G226" i="1"/>
  <c r="F226" i="1"/>
  <c r="E226" i="1"/>
  <c r="D226" i="1"/>
  <c r="C226" i="1"/>
  <c r="G225" i="1"/>
  <c r="F225" i="1"/>
  <c r="E225" i="1"/>
  <c r="D225" i="1"/>
  <c r="C225" i="1"/>
  <c r="G224" i="1"/>
  <c r="F224" i="1"/>
  <c r="E224" i="1"/>
  <c r="D224" i="1"/>
  <c r="C224" i="1"/>
  <c r="G223" i="1"/>
  <c r="F223" i="1"/>
  <c r="E223" i="1"/>
  <c r="D223" i="1"/>
  <c r="C223" i="1"/>
  <c r="G222" i="1"/>
  <c r="F222" i="1"/>
  <c r="E222" i="1"/>
  <c r="D222" i="1"/>
  <c r="C222" i="1"/>
  <c r="G221" i="1"/>
  <c r="F221" i="1"/>
  <c r="E221" i="1"/>
  <c r="D221" i="1"/>
  <c r="C221" i="1"/>
  <c r="G220" i="1"/>
  <c r="F220" i="1"/>
  <c r="E220" i="1"/>
  <c r="D220" i="1"/>
  <c r="C220" i="1"/>
  <c r="G219" i="1"/>
  <c r="F219" i="1"/>
  <c r="E219" i="1"/>
  <c r="D219" i="1"/>
  <c r="C219" i="1"/>
  <c r="G218" i="1"/>
  <c r="F218" i="1"/>
  <c r="E218" i="1"/>
  <c r="D218" i="1"/>
  <c r="C218" i="1"/>
  <c r="G217" i="1"/>
  <c r="F217" i="1"/>
  <c r="E217" i="1"/>
  <c r="D217" i="1"/>
  <c r="C217" i="1"/>
  <c r="G216" i="1"/>
  <c r="F216" i="1"/>
  <c r="E216" i="1"/>
  <c r="D216" i="1"/>
  <c r="C216" i="1"/>
  <c r="G215" i="1"/>
  <c r="F215" i="1"/>
  <c r="E215" i="1"/>
  <c r="D215" i="1"/>
  <c r="C215" i="1"/>
  <c r="G214" i="1"/>
  <c r="F214" i="1"/>
  <c r="E214" i="1"/>
  <c r="D214" i="1"/>
  <c r="C214" i="1"/>
  <c r="G213" i="1"/>
  <c r="F213" i="1"/>
  <c r="E213" i="1"/>
  <c r="D213" i="1"/>
  <c r="C213" i="1"/>
  <c r="G212" i="1"/>
  <c r="F212" i="1"/>
  <c r="E212" i="1"/>
  <c r="D212" i="1"/>
  <c r="C212" i="1"/>
  <c r="G211" i="1"/>
  <c r="F211" i="1"/>
  <c r="E211" i="1"/>
  <c r="D211" i="1"/>
  <c r="C211" i="1"/>
  <c r="G210" i="1"/>
  <c r="F210" i="1"/>
  <c r="E210" i="1"/>
  <c r="D210" i="1"/>
  <c r="C210" i="1"/>
  <c r="G209" i="1"/>
  <c r="F209" i="1"/>
  <c r="E209" i="1"/>
  <c r="D209" i="1"/>
  <c r="C209" i="1"/>
  <c r="G208" i="1"/>
  <c r="F208" i="1"/>
  <c r="E208" i="1"/>
  <c r="D208" i="1"/>
  <c r="C208" i="1"/>
  <c r="G207" i="1"/>
  <c r="F207" i="1"/>
  <c r="E207" i="1"/>
  <c r="D207" i="1"/>
  <c r="C207" i="1"/>
  <c r="G206" i="1"/>
  <c r="F206" i="1"/>
  <c r="E206" i="1"/>
  <c r="D206" i="1"/>
  <c r="C206" i="1"/>
  <c r="G205" i="1"/>
  <c r="F205" i="1"/>
  <c r="E205" i="1"/>
  <c r="D205" i="1"/>
  <c r="C205" i="1"/>
  <c r="G204" i="1"/>
  <c r="F204" i="1"/>
  <c r="E204" i="1"/>
  <c r="D204" i="1"/>
  <c r="C204" i="1"/>
  <c r="G203" i="1"/>
  <c r="F203" i="1"/>
  <c r="E203" i="1"/>
  <c r="D203" i="1"/>
  <c r="C203" i="1"/>
  <c r="G202" i="1"/>
  <c r="F202" i="1"/>
  <c r="E202" i="1"/>
  <c r="D202" i="1"/>
  <c r="C202" i="1"/>
  <c r="G201" i="1"/>
  <c r="F201" i="1"/>
  <c r="E201" i="1"/>
  <c r="D201" i="1"/>
  <c r="C201" i="1"/>
  <c r="G200" i="1"/>
  <c r="F200" i="1"/>
  <c r="E200" i="1"/>
  <c r="D200" i="1"/>
  <c r="C200" i="1"/>
  <c r="G199" i="1"/>
  <c r="F199" i="1"/>
  <c r="E199" i="1"/>
  <c r="D199" i="1"/>
  <c r="C199" i="1"/>
  <c r="G198" i="1"/>
  <c r="F198" i="1"/>
  <c r="E198" i="1"/>
  <c r="D198" i="1"/>
  <c r="C198" i="1"/>
  <c r="G197" i="1"/>
  <c r="F197" i="1"/>
  <c r="E197" i="1"/>
  <c r="D197" i="1"/>
  <c r="C197" i="1"/>
  <c r="G196" i="1"/>
  <c r="F196" i="1"/>
  <c r="E196" i="1"/>
  <c r="D196" i="1"/>
  <c r="C196" i="1"/>
  <c r="G195" i="1"/>
  <c r="F195" i="1"/>
  <c r="E195" i="1"/>
  <c r="D195" i="1"/>
  <c r="C195" i="1"/>
  <c r="G194" i="1"/>
  <c r="F194" i="1"/>
  <c r="E194" i="1"/>
  <c r="D194" i="1"/>
  <c r="C194" i="1"/>
  <c r="G193" i="1"/>
  <c r="F193" i="1"/>
  <c r="E193" i="1"/>
  <c r="D193" i="1"/>
  <c r="C193" i="1"/>
  <c r="G192" i="1"/>
  <c r="F192" i="1"/>
  <c r="E192" i="1"/>
  <c r="D192" i="1"/>
  <c r="C192" i="1"/>
  <c r="G191" i="1"/>
  <c r="F191" i="1"/>
  <c r="E191" i="1"/>
  <c r="D191" i="1"/>
  <c r="C191" i="1"/>
  <c r="G190" i="1"/>
  <c r="F190" i="1"/>
  <c r="E190" i="1"/>
  <c r="D190" i="1"/>
  <c r="C190" i="1"/>
  <c r="G189" i="1"/>
  <c r="F189" i="1"/>
  <c r="E189" i="1"/>
  <c r="D189" i="1"/>
  <c r="C189" i="1"/>
  <c r="G188" i="1"/>
  <c r="F188" i="1"/>
  <c r="E188" i="1"/>
  <c r="D188" i="1"/>
  <c r="C188" i="1"/>
  <c r="G187" i="1"/>
  <c r="F187" i="1"/>
  <c r="E187" i="1"/>
  <c r="D187" i="1"/>
  <c r="C187" i="1"/>
  <c r="G186" i="1"/>
  <c r="F186" i="1"/>
  <c r="E186" i="1"/>
  <c r="D186" i="1"/>
  <c r="C186" i="1"/>
  <c r="G185" i="1"/>
  <c r="F185" i="1"/>
  <c r="E185" i="1"/>
  <c r="D185" i="1"/>
  <c r="C185" i="1"/>
  <c r="G184" i="1"/>
  <c r="F184" i="1"/>
  <c r="E184" i="1"/>
  <c r="D184" i="1"/>
  <c r="C184" i="1"/>
  <c r="G183" i="1"/>
  <c r="F183" i="1"/>
  <c r="E183" i="1"/>
  <c r="D183" i="1"/>
  <c r="C183" i="1"/>
  <c r="G182" i="1"/>
  <c r="F182" i="1"/>
  <c r="E182" i="1"/>
  <c r="D182" i="1"/>
  <c r="C182" i="1"/>
  <c r="G181" i="1"/>
  <c r="F181" i="1"/>
  <c r="E181" i="1"/>
  <c r="D181" i="1"/>
  <c r="C181" i="1"/>
  <c r="G180" i="1"/>
  <c r="F180" i="1"/>
  <c r="E180" i="1"/>
  <c r="D180" i="1"/>
  <c r="C180" i="1"/>
  <c r="G179" i="1"/>
  <c r="F179" i="1"/>
  <c r="E179" i="1"/>
  <c r="D179" i="1"/>
  <c r="C179" i="1"/>
  <c r="G178" i="1"/>
  <c r="F178" i="1"/>
  <c r="E178" i="1"/>
  <c r="D178" i="1"/>
  <c r="C178" i="1"/>
  <c r="G177" i="1"/>
  <c r="F177" i="1"/>
  <c r="E177" i="1"/>
  <c r="D177" i="1"/>
  <c r="C177" i="1"/>
  <c r="G176" i="1"/>
  <c r="F176" i="1"/>
  <c r="E176" i="1"/>
  <c r="D176" i="1"/>
  <c r="C176" i="1"/>
  <c r="G175" i="1"/>
  <c r="F175" i="1"/>
  <c r="E175" i="1"/>
  <c r="D175" i="1"/>
  <c r="C175" i="1"/>
  <c r="G174" i="1"/>
  <c r="F174" i="1"/>
  <c r="E174" i="1"/>
  <c r="D174" i="1"/>
  <c r="C174" i="1"/>
  <c r="G173" i="1"/>
  <c r="F173" i="1"/>
  <c r="E173" i="1"/>
  <c r="D173" i="1"/>
  <c r="C173" i="1"/>
  <c r="G172" i="1"/>
  <c r="F172" i="1"/>
  <c r="E172" i="1"/>
  <c r="D172" i="1"/>
  <c r="C172" i="1"/>
  <c r="G171" i="1"/>
  <c r="F171" i="1"/>
  <c r="E171" i="1"/>
  <c r="D171" i="1"/>
  <c r="C171" i="1"/>
  <c r="G170" i="1"/>
  <c r="F170" i="1"/>
  <c r="E170" i="1"/>
  <c r="D170" i="1"/>
  <c r="C170" i="1"/>
  <c r="G169" i="1"/>
  <c r="F169" i="1"/>
  <c r="E169" i="1"/>
  <c r="D169" i="1"/>
  <c r="C169" i="1"/>
  <c r="G168" i="1"/>
  <c r="F168" i="1"/>
  <c r="E168" i="1"/>
  <c r="D168" i="1"/>
  <c r="C168" i="1"/>
  <c r="G167" i="1"/>
  <c r="F167" i="1"/>
  <c r="E167" i="1"/>
  <c r="D167" i="1"/>
  <c r="C167" i="1"/>
  <c r="G166" i="1"/>
  <c r="F166" i="1"/>
  <c r="E166" i="1"/>
  <c r="D166" i="1"/>
  <c r="C166" i="1"/>
  <c r="G165" i="1"/>
  <c r="F165" i="1"/>
  <c r="E165" i="1"/>
  <c r="D165" i="1"/>
  <c r="C165" i="1"/>
  <c r="G164" i="1"/>
  <c r="F164" i="1"/>
  <c r="E164" i="1"/>
  <c r="D164" i="1"/>
  <c r="C164" i="1"/>
  <c r="G163" i="1"/>
  <c r="F163" i="1"/>
  <c r="E163" i="1"/>
  <c r="D163" i="1"/>
  <c r="C163" i="1"/>
  <c r="G162" i="1"/>
  <c r="F162" i="1"/>
  <c r="E162" i="1"/>
  <c r="D162" i="1"/>
  <c r="C162" i="1"/>
  <c r="G161" i="1"/>
  <c r="F161" i="1"/>
  <c r="E161" i="1"/>
  <c r="D161" i="1"/>
  <c r="C161" i="1"/>
  <c r="G160" i="1"/>
  <c r="F160" i="1"/>
  <c r="E160" i="1"/>
  <c r="D160" i="1"/>
  <c r="C160" i="1"/>
  <c r="G159" i="1"/>
  <c r="F159" i="1"/>
  <c r="E159" i="1"/>
  <c r="D159" i="1"/>
  <c r="C159" i="1"/>
  <c r="G158" i="1"/>
  <c r="F158" i="1"/>
  <c r="E158" i="1"/>
  <c r="D158" i="1"/>
  <c r="C158" i="1"/>
  <c r="G157" i="1"/>
  <c r="F157" i="1"/>
  <c r="E157" i="1"/>
  <c r="D157" i="1"/>
  <c r="C157" i="1"/>
  <c r="G156" i="1"/>
  <c r="F156" i="1"/>
  <c r="E156" i="1"/>
  <c r="D156" i="1"/>
  <c r="C156" i="1"/>
  <c r="G155" i="1"/>
  <c r="F155" i="1"/>
  <c r="E155" i="1"/>
  <c r="D155" i="1"/>
  <c r="C155" i="1"/>
  <c r="G154" i="1"/>
  <c r="F154" i="1"/>
  <c r="E154" i="1"/>
  <c r="D154" i="1"/>
  <c r="C154" i="1"/>
  <c r="G153" i="1"/>
  <c r="F153" i="1"/>
  <c r="E153" i="1"/>
  <c r="D153" i="1"/>
  <c r="C153" i="1"/>
  <c r="G152" i="1"/>
  <c r="F152" i="1"/>
  <c r="E152" i="1"/>
  <c r="D152" i="1"/>
  <c r="C152" i="1"/>
  <c r="G151" i="1"/>
  <c r="F151" i="1"/>
  <c r="E151" i="1"/>
  <c r="D151" i="1"/>
  <c r="C151" i="1"/>
  <c r="G150" i="1"/>
  <c r="F150" i="1"/>
  <c r="E150" i="1"/>
  <c r="D150" i="1"/>
  <c r="C150" i="1"/>
  <c r="G149" i="1"/>
  <c r="F149" i="1"/>
  <c r="E149" i="1"/>
  <c r="D149" i="1"/>
  <c r="C149" i="1"/>
  <c r="G148" i="1"/>
  <c r="F148" i="1"/>
  <c r="E148" i="1"/>
  <c r="D148" i="1"/>
  <c r="C148" i="1"/>
  <c r="G147" i="1"/>
  <c r="F147" i="1"/>
  <c r="E147" i="1"/>
  <c r="D147" i="1"/>
  <c r="C147" i="1"/>
  <c r="G146" i="1"/>
  <c r="F146" i="1"/>
  <c r="E146" i="1"/>
  <c r="D146" i="1"/>
  <c r="C146" i="1"/>
  <c r="G145" i="1"/>
  <c r="F145" i="1"/>
  <c r="E145" i="1"/>
  <c r="D145" i="1"/>
  <c r="C145" i="1"/>
  <c r="G144" i="1"/>
  <c r="F144" i="1"/>
  <c r="E144" i="1"/>
  <c r="D144" i="1"/>
  <c r="C144" i="1"/>
  <c r="G143" i="1"/>
  <c r="F143" i="1"/>
  <c r="E143" i="1"/>
  <c r="D143" i="1"/>
  <c r="C143" i="1"/>
  <c r="G142" i="1"/>
  <c r="F142" i="1"/>
  <c r="E142" i="1"/>
  <c r="D142" i="1"/>
  <c r="C142" i="1"/>
  <c r="G141" i="1"/>
  <c r="F141" i="1"/>
  <c r="E141" i="1"/>
  <c r="D141" i="1"/>
  <c r="C141" i="1"/>
  <c r="G140" i="1"/>
  <c r="F140" i="1"/>
  <c r="E140" i="1"/>
  <c r="D140" i="1"/>
  <c r="C140" i="1"/>
  <c r="G139" i="1"/>
  <c r="F139" i="1"/>
  <c r="E139" i="1"/>
  <c r="D139" i="1"/>
  <c r="C139" i="1"/>
  <c r="G138" i="1"/>
  <c r="F138" i="1"/>
  <c r="E138" i="1"/>
  <c r="D138" i="1"/>
  <c r="C138" i="1"/>
  <c r="G137" i="1"/>
  <c r="F137" i="1"/>
  <c r="E137" i="1"/>
  <c r="D137" i="1"/>
  <c r="C137" i="1"/>
  <c r="G136" i="1"/>
  <c r="F136" i="1"/>
  <c r="E136" i="1"/>
  <c r="D136" i="1"/>
  <c r="C136" i="1"/>
  <c r="G135" i="1"/>
  <c r="F135" i="1"/>
  <c r="E135" i="1"/>
  <c r="D135" i="1"/>
  <c r="C135" i="1"/>
  <c r="G134" i="1"/>
  <c r="F134" i="1"/>
  <c r="E134" i="1"/>
  <c r="D134" i="1"/>
  <c r="C134" i="1"/>
  <c r="G133" i="1"/>
  <c r="F133" i="1"/>
  <c r="E133" i="1"/>
  <c r="D133" i="1"/>
  <c r="C133" i="1"/>
  <c r="G132" i="1"/>
  <c r="F132" i="1"/>
  <c r="E132" i="1"/>
  <c r="D132" i="1"/>
  <c r="C132" i="1"/>
  <c r="G131" i="1"/>
  <c r="F131" i="1"/>
  <c r="E131" i="1"/>
  <c r="D131" i="1"/>
  <c r="C131" i="1"/>
  <c r="G130" i="1"/>
  <c r="F130" i="1"/>
  <c r="E130" i="1"/>
  <c r="D130" i="1"/>
  <c r="C130" i="1"/>
  <c r="G129" i="1"/>
  <c r="F129" i="1"/>
  <c r="E129" i="1"/>
  <c r="D129" i="1"/>
  <c r="C129" i="1"/>
  <c r="G128" i="1"/>
  <c r="F128" i="1"/>
  <c r="E128" i="1"/>
  <c r="D128" i="1"/>
  <c r="C128" i="1"/>
  <c r="G127" i="1"/>
  <c r="F127" i="1"/>
  <c r="E127" i="1"/>
  <c r="D127" i="1"/>
  <c r="C127" i="1"/>
  <c r="G126" i="1"/>
  <c r="F126" i="1"/>
  <c r="E126" i="1"/>
  <c r="D126" i="1"/>
  <c r="C126" i="1"/>
  <c r="G125" i="1"/>
  <c r="F125" i="1"/>
  <c r="E125" i="1"/>
  <c r="D125" i="1"/>
  <c r="C125" i="1"/>
  <c r="G124" i="1"/>
  <c r="F124" i="1"/>
  <c r="E124" i="1"/>
  <c r="D124" i="1"/>
  <c r="C124" i="1"/>
  <c r="G123" i="1"/>
  <c r="F123" i="1"/>
  <c r="E123" i="1"/>
  <c r="D123" i="1"/>
  <c r="C123" i="1"/>
  <c r="G122" i="1"/>
  <c r="F122" i="1"/>
  <c r="E122" i="1"/>
  <c r="D122" i="1"/>
  <c r="C122" i="1"/>
  <c r="G121" i="1"/>
  <c r="F121" i="1"/>
  <c r="E121" i="1"/>
  <c r="D121" i="1"/>
  <c r="C121" i="1"/>
  <c r="G120" i="1"/>
  <c r="F120" i="1"/>
  <c r="E120" i="1"/>
  <c r="D120" i="1"/>
  <c r="C120" i="1"/>
  <c r="G119" i="1"/>
  <c r="F119" i="1"/>
  <c r="E119" i="1"/>
  <c r="D119" i="1"/>
  <c r="C119" i="1"/>
  <c r="G118" i="1"/>
  <c r="F118" i="1"/>
  <c r="E118" i="1"/>
  <c r="D118" i="1"/>
  <c r="C118" i="1"/>
  <c r="G117" i="1"/>
  <c r="F117" i="1"/>
  <c r="E117" i="1"/>
  <c r="D117" i="1"/>
  <c r="C117" i="1"/>
  <c r="G116" i="1"/>
  <c r="F116" i="1"/>
  <c r="E116" i="1"/>
  <c r="D116" i="1"/>
  <c r="C116" i="1"/>
  <c r="G115" i="1"/>
  <c r="F115" i="1"/>
  <c r="E115" i="1"/>
  <c r="D115" i="1"/>
  <c r="C115" i="1"/>
  <c r="G114" i="1"/>
  <c r="F114" i="1"/>
  <c r="E114" i="1"/>
  <c r="D114" i="1"/>
  <c r="C114" i="1"/>
  <c r="G113" i="1"/>
  <c r="F113" i="1"/>
  <c r="E113" i="1"/>
  <c r="D113" i="1"/>
  <c r="C113" i="1"/>
  <c r="G112" i="1"/>
  <c r="F112" i="1"/>
  <c r="E112" i="1"/>
  <c r="D112" i="1"/>
  <c r="C112" i="1"/>
  <c r="G111" i="1"/>
  <c r="F111" i="1"/>
  <c r="E111" i="1"/>
  <c r="D111" i="1"/>
  <c r="C111" i="1"/>
  <c r="G110" i="1"/>
  <c r="F110" i="1"/>
  <c r="E110" i="1"/>
  <c r="D110" i="1"/>
  <c r="C110" i="1"/>
  <c r="G109" i="1"/>
  <c r="F109" i="1"/>
  <c r="E109" i="1"/>
  <c r="D109" i="1"/>
  <c r="C109" i="1"/>
  <c r="G108" i="1"/>
  <c r="F108" i="1"/>
  <c r="E108" i="1"/>
  <c r="D108" i="1"/>
  <c r="C108" i="1"/>
  <c r="G107" i="1"/>
  <c r="F107" i="1"/>
  <c r="E107" i="1"/>
  <c r="D107" i="1"/>
  <c r="C107" i="1"/>
  <c r="G106" i="1"/>
  <c r="F106" i="1"/>
  <c r="E106" i="1"/>
  <c r="D106" i="1"/>
  <c r="C106" i="1"/>
  <c r="G105" i="1"/>
  <c r="F105" i="1"/>
  <c r="E105" i="1"/>
  <c r="D105" i="1"/>
  <c r="C105" i="1"/>
  <c r="G104" i="1"/>
  <c r="F104" i="1"/>
  <c r="E104" i="1"/>
  <c r="D104" i="1"/>
  <c r="C104" i="1"/>
  <c r="G103" i="1"/>
  <c r="F103" i="1"/>
  <c r="E103" i="1"/>
  <c r="D103" i="1"/>
  <c r="C103" i="1"/>
  <c r="G102" i="1"/>
  <c r="F102" i="1"/>
  <c r="E102" i="1"/>
  <c r="D102" i="1"/>
  <c r="C102" i="1"/>
  <c r="G101" i="1"/>
  <c r="F101" i="1"/>
  <c r="E101" i="1"/>
  <c r="D101" i="1"/>
  <c r="C101" i="1"/>
  <c r="G100" i="1"/>
  <c r="F100" i="1"/>
  <c r="E100" i="1"/>
  <c r="D100" i="1"/>
  <c r="C100" i="1"/>
  <c r="G99" i="1"/>
  <c r="F99" i="1"/>
  <c r="E99" i="1"/>
  <c r="D99" i="1"/>
  <c r="C99" i="1"/>
  <c r="G98" i="1"/>
  <c r="F98" i="1"/>
  <c r="E98" i="1"/>
  <c r="D98" i="1"/>
  <c r="C98" i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E94" i="1"/>
  <c r="D94" i="1"/>
  <c r="C94" i="1"/>
  <c r="G93" i="1"/>
  <c r="F93" i="1"/>
  <c r="E93" i="1"/>
  <c r="D93" i="1"/>
  <c r="C93" i="1"/>
  <c r="G92" i="1"/>
  <c r="F92" i="1"/>
  <c r="E92" i="1"/>
  <c r="D92" i="1"/>
  <c r="C92" i="1"/>
  <c r="G91" i="1"/>
  <c r="F91" i="1"/>
  <c r="E91" i="1"/>
  <c r="D91" i="1"/>
  <c r="C91" i="1"/>
  <c r="G90" i="1"/>
  <c r="F90" i="1"/>
  <c r="E90" i="1"/>
  <c r="D90" i="1"/>
  <c r="C90" i="1"/>
  <c r="G89" i="1"/>
  <c r="F89" i="1"/>
  <c r="E89" i="1"/>
  <c r="D89" i="1"/>
  <c r="C89" i="1"/>
  <c r="G88" i="1"/>
  <c r="F88" i="1"/>
  <c r="E88" i="1"/>
  <c r="D88" i="1"/>
  <c r="C88" i="1"/>
  <c r="G87" i="1"/>
  <c r="F87" i="1"/>
  <c r="E87" i="1"/>
  <c r="D87" i="1"/>
  <c r="C87" i="1"/>
  <c r="G86" i="1"/>
  <c r="F86" i="1"/>
  <c r="E86" i="1"/>
  <c r="D86" i="1"/>
  <c r="C86" i="1"/>
  <c r="G85" i="1"/>
  <c r="F85" i="1"/>
  <c r="E85" i="1"/>
  <c r="D85" i="1"/>
  <c r="C85" i="1"/>
  <c r="G84" i="1"/>
  <c r="F84" i="1"/>
  <c r="E84" i="1"/>
  <c r="D84" i="1"/>
  <c r="C84" i="1"/>
  <c r="G83" i="1"/>
  <c r="F83" i="1"/>
  <c r="E83" i="1"/>
  <c r="D83" i="1"/>
  <c r="C83" i="1"/>
  <c r="G82" i="1"/>
  <c r="F82" i="1"/>
  <c r="E82" i="1"/>
  <c r="D82" i="1"/>
  <c r="C82" i="1"/>
  <c r="G81" i="1"/>
  <c r="F81" i="1"/>
  <c r="E81" i="1"/>
  <c r="D81" i="1"/>
  <c r="C81" i="1"/>
  <c r="G80" i="1"/>
  <c r="F80" i="1"/>
  <c r="E80" i="1"/>
  <c r="D80" i="1"/>
  <c r="C80" i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C68" i="1"/>
  <c r="G67" i="1"/>
  <c r="F67" i="1"/>
  <c r="E67" i="1"/>
  <c r="D67" i="1"/>
  <c r="C67" i="1"/>
  <c r="G66" i="1"/>
  <c r="F66" i="1"/>
  <c r="E66" i="1"/>
  <c r="D66" i="1"/>
  <c r="C66" i="1"/>
  <c r="G65" i="1"/>
  <c r="F65" i="1"/>
  <c r="E65" i="1"/>
  <c r="D65" i="1"/>
  <c r="C65" i="1"/>
  <c r="G64" i="1"/>
  <c r="F64" i="1"/>
  <c r="E64" i="1"/>
  <c r="D64" i="1"/>
  <c r="C64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51" i="1"/>
  <c r="F51" i="1"/>
  <c r="E51" i="1"/>
  <c r="D51" i="1"/>
  <c r="C51" i="1"/>
  <c r="G50" i="1"/>
  <c r="F50" i="1"/>
  <c r="E50" i="1"/>
  <c r="D50" i="1"/>
  <c r="C50" i="1"/>
  <c r="G49" i="1"/>
  <c r="F49" i="1"/>
  <c r="E49" i="1"/>
  <c r="D49" i="1"/>
  <c r="C49" i="1"/>
  <c r="G48" i="1"/>
  <c r="F48" i="1"/>
  <c r="E48" i="1"/>
  <c r="D48" i="1"/>
  <c r="C48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G35" i="1"/>
  <c r="F35" i="1"/>
  <c r="E35" i="1"/>
  <c r="D35" i="1"/>
  <c r="C35" i="1"/>
  <c r="G34" i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<sst xmlns="http://schemas.openxmlformats.org/spreadsheetml/2006/main" count="28712" uniqueCount="828">
  <si>
    <t>우선순위</t>
    <phoneticPr fontId="1" type="noConversion"/>
  </si>
  <si>
    <t>내부식별자</t>
    <phoneticPr fontId="1" type="noConversion"/>
  </si>
  <si>
    <t>CAS</t>
    <phoneticPr fontId="1" type="noConversion"/>
  </si>
  <si>
    <t>물질명</t>
    <phoneticPr fontId="1" type="noConversion"/>
  </si>
  <si>
    <t>분자식</t>
    <phoneticPr fontId="1" type="noConversion"/>
  </si>
  <si>
    <t>분자량</t>
    <phoneticPr fontId="1" type="noConversion"/>
  </si>
  <si>
    <t>SMILES</t>
    <phoneticPr fontId="1" type="noConversion"/>
  </si>
  <si>
    <t>대분류</t>
    <phoneticPr fontId="1" type="noConversion"/>
  </si>
  <si>
    <t>유해성항목</t>
    <phoneticPr fontId="1" type="noConversion"/>
  </si>
  <si>
    <t>Endpoint</t>
    <phoneticPr fontId="1" type="noConversion"/>
  </si>
  <si>
    <t>Result</t>
    <phoneticPr fontId="1" type="noConversion"/>
  </si>
  <si>
    <t>단위</t>
    <phoneticPr fontId="1" type="noConversion"/>
  </si>
  <si>
    <t>시험종</t>
    <phoneticPr fontId="1" type="noConversion"/>
  </si>
  <si>
    <t>Strain</t>
    <phoneticPr fontId="1" type="noConversion"/>
  </si>
  <si>
    <t>성별</t>
    <phoneticPr fontId="1" type="noConversion"/>
  </si>
  <si>
    <t>Duration</t>
    <phoneticPr fontId="1" type="noConversion"/>
  </si>
  <si>
    <t>Duration_unit</t>
    <phoneticPr fontId="1" type="noConversion"/>
  </si>
  <si>
    <t>결과도출방법</t>
    <phoneticPr fontId="1" type="noConversion"/>
  </si>
  <si>
    <t>시험지침</t>
    <phoneticPr fontId="1" type="noConversion"/>
  </si>
  <si>
    <t>Domain status</t>
    <phoneticPr fontId="1" type="noConversion"/>
  </si>
  <si>
    <t>모델 종류 및 버전</t>
    <phoneticPr fontId="1" type="noConversion"/>
  </si>
  <si>
    <t>출처</t>
    <phoneticPr fontId="1" type="noConversion"/>
  </si>
  <si>
    <t>시험종(표준)</t>
    <phoneticPr fontId="1" type="noConversion"/>
  </si>
  <si>
    <t>Duration(표준)</t>
    <phoneticPr fontId="1" type="noConversion"/>
  </si>
  <si>
    <t>Endpoint(표준)</t>
    <phoneticPr fontId="1" type="noConversion"/>
  </si>
  <si>
    <t>B-3</t>
  </si>
  <si>
    <t>환경</t>
    <phoneticPr fontId="1" type="noConversion"/>
  </si>
  <si>
    <t>담수조류생장저해</t>
  </si>
  <si>
    <t>EC50</t>
  </si>
  <si>
    <t>-</t>
  </si>
  <si>
    <t>log(mmol/L)</t>
  </si>
  <si>
    <t>h</t>
  </si>
  <si>
    <t>QSAR</t>
    <phoneticPr fontId="1" type="noConversion"/>
  </si>
  <si>
    <t>Not applicable</t>
  </si>
  <si>
    <t>ECOSAR: GREEN ALGAE 96 h EC50 Growth (v1.11)</t>
  </si>
  <si>
    <t>QSAR Toolbox v.4.8</t>
  </si>
  <si>
    <t>Green Algae</t>
  </si>
  <si>
    <t>96 h</t>
  </si>
  <si>
    <t>ECOSAR: ALGAE 96 h EC50 Growth (v1.11)</t>
  </si>
  <si>
    <t>mg/L</t>
  </si>
  <si>
    <t>In domain</t>
  </si>
  <si>
    <t>Pseudokirchneriella subcapitata 72h EC50 - Danish QSAR DB battery model (v1.0)</t>
  </si>
  <si>
    <t>QSAR Toolbox v.4.8</t>
    <phoneticPr fontId="1" type="noConversion"/>
  </si>
  <si>
    <t>P. subcapitata</t>
  </si>
  <si>
    <t>72 h</t>
  </si>
  <si>
    <t>물벼룩급성독성</t>
  </si>
  <si>
    <t>Daphnia magna 48h EC50 - Danish QSAR DB battery model (v1.0)</t>
  </si>
  <si>
    <t>Daphnia magna</t>
  </si>
  <si>
    <t>48 h</t>
  </si>
  <si>
    <t>LC50</t>
  </si>
  <si>
    <t>ECOSAR: DAPHNIA 48 h LC50 Mortality Methacrylates (v1.11)</t>
  </si>
  <si>
    <t>어류급성독성</t>
  </si>
  <si>
    <t>Fathead minnow 96h LC50 - Danish QSAR DB battery model (v1.0)</t>
  </si>
  <si>
    <t>Fathead minnow</t>
  </si>
  <si>
    <t>ECOSAR: FISH (SW) 96 h LC50 Mortality (v1.11)</t>
  </si>
  <si>
    <t>Fish (Saltwater)</t>
  </si>
  <si>
    <t>ECOSAR: FISH 96 h LC50 Mortality Methacrylates (v1.11)</t>
  </si>
  <si>
    <t>Fish (Freshwater)</t>
  </si>
  <si>
    <t>ECOSAR: GREEN ALGAE 96 h EC50 Methacrylates (v1.11)</t>
  </si>
  <si>
    <t>B-9</t>
  </si>
  <si>
    <t>ECOSAR: DAPHNIA 48 h LC50 Mortality Acrylates (v1.11)</t>
  </si>
  <si>
    <t>ECOSAR: FISH (SW) 96 h LC50 Mortality Acrylates (v1.11)</t>
  </si>
  <si>
    <t>ECOSAR: FISH 96 h LC50 Mortality Acrylates (v1.11)</t>
  </si>
  <si>
    <t>ECOSAR: GREEN ALGAE 96 h EC50 Acrylates (v1.11)</t>
  </si>
  <si>
    <t>B-8</t>
  </si>
  <si>
    <t>B-7</t>
  </si>
  <si>
    <t>Out of domain</t>
  </si>
  <si>
    <t>B-6</t>
  </si>
  <si>
    <t>B-4</t>
  </si>
  <si>
    <t>B-2</t>
  </si>
  <si>
    <t>B-10</t>
  </si>
  <si>
    <t>B-1</t>
  </si>
  <si>
    <t>A-2</t>
  </si>
  <si>
    <t>ECOSAR: DAPHNIA 48 h LC50 Mortality NEUTRAL ORGANICS (v1.11)</t>
  </si>
  <si>
    <t>ECOSAR: FISH (SW) 96 h LC50 Mortality NEUTRAL ORGANICS (v1.11)</t>
  </si>
  <si>
    <t>ECOSAR: FISH 96 h LC50 Mortality Neutral Organics (v1.11)</t>
  </si>
  <si>
    <t>ECOSAR: GREEN ALGAE 96 h EC50 NEUTRAL ORGANICS (v1.11)</t>
  </si>
  <si>
    <t>B-5</t>
  </si>
  <si>
    <t>A-1</t>
    <phoneticPr fontId="1" type="noConversion"/>
  </si>
  <si>
    <t>인체</t>
    <phoneticPr fontId="1" type="noConversion"/>
  </si>
  <si>
    <t>급성경구독성</t>
  </si>
  <si>
    <t>LD50</t>
  </si>
  <si>
    <t>mg/kg/d</t>
  </si>
  <si>
    <t>Mouse</t>
  </si>
  <si>
    <t>Acute toxicity in Mouse, Oral - Danish QSAR DB ACDLabs model (v1.0)</t>
  </si>
  <si>
    <t>mg/kg bdwt/d</t>
  </si>
  <si>
    <t>Rat</t>
  </si>
  <si>
    <t>Acute toxicity in Rat, Oral - Danish QSAR DB ACDLabs model (v1.0)</t>
  </si>
  <si>
    <t>복귀돌연변이</t>
  </si>
  <si>
    <t>Gene mutation</t>
  </si>
  <si>
    <t>negative</t>
  </si>
  <si>
    <t>Salmonella Typhimurium</t>
  </si>
  <si>
    <t>Ames test in S. typhimurium (in vitro) - Danish QSAR DB battery model (v1.0)</t>
  </si>
  <si>
    <t>S. typhimurium</t>
  </si>
  <si>
    <t>Ames test in S. typhimurium (in vitro) - Danish QSAR DB CASE Ultra model (v1.0)</t>
  </si>
  <si>
    <t>Ames test in S. typhimurium (in vitro) - Danish QSAR DB Leadscope model (v1.0)</t>
  </si>
  <si>
    <t>Ames test in S. typhimurium (in vitro) - Danish QSAR DB SciQSAR model (v1.0)</t>
  </si>
  <si>
    <t>포유류 배양세포를 이용한 염색체이상</t>
  </si>
  <si>
    <t>Chromosome aberration</t>
  </si>
  <si>
    <t>positive</t>
  </si>
  <si>
    <t>Chinese Hamster</t>
  </si>
  <si>
    <t>CHL Cells</t>
  </si>
  <si>
    <t>Chromosome Aberrations in Chinese Hamster Lung (CHL) Cells - Danish QSAR DB battery model (v1.0)</t>
  </si>
  <si>
    <t>Chromosome Aberrations in Chinese Hamster Lung (CHL) Cells - Danish QSAR DB CASE Ultra model (v1.0)</t>
  </si>
  <si>
    <t>Chromosome Aberrations in Chinese Hamster Lung (CHL) Cells - Danish QSAR DB Leadscope model (v1.0)</t>
  </si>
  <si>
    <t>Chromosome Aberrations in Chinese Hamster Lung (CHL) Cells - Danish QSAR DB SciQSAR model (v1.0)</t>
  </si>
  <si>
    <t>CHO Cells</t>
  </si>
  <si>
    <t>Chromosome Aberrations in Chinese Hamster Ovary (CHO) Cells - Danish QSAR DB battery model (v1.0)</t>
  </si>
  <si>
    <t>Chromosome Aberrations in Chinese Hamster Ovary (CHO) Cells - Danish QSAR DB CASE Ultra model (v1.0)</t>
  </si>
  <si>
    <t>Chromosome Aberrations in Chinese Hamster Ovary (CHO) Cells - Danish QSAR DB Leadscope model (v1.0)</t>
  </si>
  <si>
    <t>Chromosome Aberrations in Chinese Hamster Ovary (CHO) Cells - Danish QSAR DB SciQSAR model (v1.0)</t>
  </si>
  <si>
    <t>소핵시험</t>
  </si>
  <si>
    <t>Mouse Erythrocytes</t>
  </si>
  <si>
    <t>Micronucleus Test in Mouse Erythrocytes - Danish QSAR DB battery model (v1.0)</t>
    <phoneticPr fontId="1" type="noConversion"/>
  </si>
  <si>
    <t>Micronucleus Test in Mouse Erythrocytes - Danish QSAR DB CASE Ultra model (v1.0)</t>
  </si>
  <si>
    <t>Micronucleus Test in Mouse Erythrocytes - Danish QSAR DB Leadscope model (v1.0)</t>
  </si>
  <si>
    <t>Micronucleus Test in Mouse Erythrocytes - Danish QSAR DB SciQSAR model (v1.0)</t>
  </si>
  <si>
    <t>Skin irritation/corrosion</t>
  </si>
  <si>
    <t>Irritating to skin</t>
  </si>
  <si>
    <t>BfR skin irritation/corrosion (v1.0)</t>
  </si>
  <si>
    <t>Rabbit</t>
  </si>
  <si>
    <t>Micronucleus Test in Mouse Erythrocytes - Danish QSAR DB battery model (v1.0)</t>
  </si>
  <si>
    <t>Mouse Erythrocytes</t>
    <phoneticPr fontId="1" type="noConversion"/>
  </si>
  <si>
    <t>Undefined</t>
  </si>
  <si>
    <t>Not Corrosive to skin</t>
  </si>
  <si>
    <t>A-1</t>
  </si>
  <si>
    <t>Not Irritating or Corrosive to skin</t>
    <phoneticPr fontId="1" type="noConversion"/>
  </si>
  <si>
    <t>어류급성독성</t>
    <phoneticPr fontId="1" type="noConversion"/>
  </si>
  <si>
    <t>LC50</t>
    <phoneticPr fontId="1" type="noConversion"/>
  </si>
  <si>
    <t>mg/L</t>
    <phoneticPr fontId="1" type="noConversion"/>
  </si>
  <si>
    <t>Fish (Fathead minnow 96h LC50 (mg/L))</t>
    <phoneticPr fontId="1" type="noConversion"/>
  </si>
  <si>
    <t>Danish QSAR</t>
    <phoneticPr fontId="1" type="noConversion"/>
  </si>
  <si>
    <t>물벼룩급성독성</t>
    <phoneticPr fontId="1" type="noConversion"/>
  </si>
  <si>
    <t>Daphnid (Daphnia magna 48h EC50 (mg/L))</t>
    <phoneticPr fontId="1" type="noConversion"/>
  </si>
  <si>
    <t>담수조류생장저해</t>
    <phoneticPr fontId="1" type="noConversion"/>
  </si>
  <si>
    <t>Pseudokirchneriella s.</t>
    <phoneticPr fontId="1" type="noConversion"/>
  </si>
  <si>
    <t>Green algae (Pseudokirchneriella s. 72h EC50 (mg/L))</t>
    <phoneticPr fontId="1" type="noConversion"/>
  </si>
  <si>
    <t>복귀돌연변이</t>
    <phoneticPr fontId="1" type="noConversion"/>
  </si>
  <si>
    <t>Bacterial reverse mutation test (Ames) in S. typhimurium (in vitro)</t>
    <phoneticPr fontId="1" type="noConversion"/>
  </si>
  <si>
    <t>포유류 배양세포를 이용한 염색체이상</t>
    <phoneticPr fontId="1" type="noConversion"/>
  </si>
  <si>
    <t>Chromosome Aberrations in Chinese Hamster Lung Cells</t>
  </si>
  <si>
    <t>소핵시험</t>
    <phoneticPr fontId="1" type="noConversion"/>
  </si>
  <si>
    <t>Micronucleus Test in Mouse Erythrocytes</t>
    <phoneticPr fontId="1" type="noConversion"/>
  </si>
  <si>
    <t>이분해성</t>
    <phoneticPr fontId="1" type="noConversion"/>
  </si>
  <si>
    <t>Not ready biodegradability</t>
    <phoneticPr fontId="1" type="noConversion"/>
  </si>
  <si>
    <t>positive(난분해성)</t>
  </si>
  <si>
    <t>Not ready biodegradability (POS=Not Ready)</t>
    <phoneticPr fontId="1" type="noConversion"/>
  </si>
  <si>
    <t>Mixed Culture</t>
  </si>
  <si>
    <t>28 d</t>
  </si>
  <si>
    <t>Daphnid (Daphnia magna 48h EC50 (mg/L))</t>
  </si>
  <si>
    <t>Green algae (Pseudokirchneriella s. 72h EC50 (mg/L))</t>
  </si>
  <si>
    <t>Bacterial reverse mutation test (Ames) in S. typhimurium (in vitro)</t>
  </si>
  <si>
    <t>Micronucleus Test in Mouse Erythrocytes</t>
  </si>
  <si>
    <t>negative(이분해성)</t>
  </si>
  <si>
    <t>Out of domain</t>
    <phoneticPr fontId="1" type="noConversion"/>
  </si>
  <si>
    <t>positive(이분해성)</t>
  </si>
  <si>
    <t>Biowin</t>
    <phoneticPr fontId="1" type="noConversion"/>
  </si>
  <si>
    <t>Epi suite</t>
    <phoneticPr fontId="1" type="noConversion"/>
  </si>
  <si>
    <t>mg/kg bw</t>
  </si>
  <si>
    <t>실험값</t>
  </si>
  <si>
    <t>ECHA CHEM</t>
  </si>
  <si>
    <t>mg/kg</t>
  </si>
  <si>
    <t>US DashBoard</t>
  </si>
  <si>
    <t>Pubchem</t>
  </si>
  <si>
    <t>LD0</t>
  </si>
  <si>
    <t>Sprague-Dawley</t>
  </si>
  <si>
    <t>male/female</t>
  </si>
  <si>
    <t>OECD Guideline 401</t>
  </si>
  <si>
    <t>환경부유해성심사결과</t>
  </si>
  <si>
    <t>K-reach</t>
  </si>
  <si>
    <t>male</t>
  </si>
  <si>
    <t>461–731</t>
  </si>
  <si>
    <t>760–1020</t>
  </si>
  <si>
    <t>280–420</t>
  </si>
  <si>
    <t>female</t>
  </si>
  <si>
    <t>Wistar</t>
  </si>
  <si>
    <t>급성흡입독성</t>
  </si>
  <si>
    <t>mg/L air</t>
  </si>
  <si>
    <t>OECD Guideline 403</t>
  </si>
  <si>
    <t>4 h</t>
  </si>
  <si>
    <t>ppm/4 hr</t>
  </si>
  <si>
    <t>LC0</t>
  </si>
  <si>
    <t>mg/m3</t>
  </si>
  <si>
    <t>ca. 25.8</t>
  </si>
  <si>
    <t>1 h</t>
  </si>
  <si>
    <t>ca 12.9</t>
  </si>
  <si>
    <t>min</t>
  </si>
  <si>
    <t>4 min</t>
  </si>
  <si>
    <t>8 min</t>
  </si>
  <si>
    <t>15 min</t>
  </si>
  <si>
    <t>1000-2000</t>
  </si>
  <si>
    <t>수컷</t>
  </si>
  <si>
    <t>IHT</t>
  </si>
  <si>
    <t>ca. 0.33</t>
  </si>
  <si>
    <t>8 h</t>
  </si>
  <si>
    <t>mg/L/4 hr</t>
  </si>
  <si>
    <t>approx 4901</t>
  </si>
  <si>
    <t>mg/cu m/2 hr</t>
  </si>
  <si>
    <t>RD50</t>
  </si>
  <si>
    <t>Swiss Webster</t>
  </si>
  <si>
    <t>ASTM E961-84</t>
  </si>
  <si>
    <t>30 min</t>
  </si>
  <si>
    <t>TA 1535, TA 1537, TA 98, TA 100</t>
  </si>
  <si>
    <t>Commission Regulation (EC) No. 440/2008 B13/14</t>
  </si>
  <si>
    <t>OECD Guideline 471</t>
  </si>
  <si>
    <t>E. coli</t>
  </si>
  <si>
    <t>WP2 uvr A</t>
  </si>
  <si>
    <t>Salmonella typhimurium</t>
  </si>
  <si>
    <t>TA98, TA100, TA1535, TA1537</t>
  </si>
  <si>
    <t>OECD Guideline 472</t>
  </si>
  <si>
    <t>JAPAN: Guidelines</t>
  </si>
  <si>
    <t>TA 98, TA 100, TA 1535, TA 1537, TA 1538</t>
  </si>
  <si>
    <t>EU Method B.13/14</t>
  </si>
  <si>
    <t>EPA OPPTS 870.5100</t>
  </si>
  <si>
    <t>TA 98, TA 100, TA 1535, TA 1537</t>
  </si>
  <si>
    <t>S. typhimurium / E. coli</t>
  </si>
  <si>
    <t>TA 1535, 1537, 98, 100 / WP2</t>
  </si>
  <si>
    <t>TA 1535, 1537, 98, 1538, 100</t>
  </si>
  <si>
    <t>lymphocytes</t>
  </si>
  <si>
    <t>OECD Guideline 487</t>
  </si>
  <si>
    <t>ovary (CHO) cells</t>
  </si>
  <si>
    <t>Chinese hamster</t>
  </si>
  <si>
    <t>ovary cells</t>
  </si>
  <si>
    <t>lung fibroblasts (V79)</t>
  </si>
  <si>
    <t>OECD Guideline 473</t>
  </si>
  <si>
    <t>cell line V79</t>
  </si>
  <si>
    <t>lung (CHL) cells</t>
  </si>
  <si>
    <t>Mammalian</t>
  </si>
  <si>
    <t>polychromatic erythrocytes</t>
  </si>
  <si>
    <t>mouse</t>
  </si>
  <si>
    <t>lymphoma cells</t>
  </si>
  <si>
    <t>lymphoma L5178Y cells</t>
  </si>
  <si>
    <t>Ovary (CHO)</t>
  </si>
  <si>
    <t>lymphoma cells(L5178Y)</t>
  </si>
  <si>
    <t>(Sprague-Dawley)</t>
  </si>
  <si>
    <t>EU Method B.10</t>
  </si>
  <si>
    <t>CHO Cells</t>
    <phoneticPr fontId="1" type="noConversion"/>
  </si>
  <si>
    <t>Lung (CHL) cells</t>
  </si>
  <si>
    <t>ambiguous</t>
  </si>
  <si>
    <t>Syrian hamster</t>
  </si>
  <si>
    <t>embryo fibroblasts (SHE-cells)</t>
  </si>
  <si>
    <t>NOEC</t>
  </si>
  <si>
    <t>Oncorhynchus mykiss</t>
  </si>
  <si>
    <t>OECD Guideline 203</t>
  </si>
  <si>
    <t>Rainbow trout</t>
  </si>
  <si>
    <t>Oncorhynchus mykiss(Rainbow trout)</t>
  </si>
  <si>
    <t>Pimephales promelas</t>
  </si>
  <si>
    <t>TSCA guideline 797.1440</t>
  </si>
  <si>
    <t>LC100</t>
  </si>
  <si>
    <t>Oryzias latipes</t>
  </si>
  <si>
    <t>Oryzias latipes (Medaka)</t>
  </si>
  <si>
    <t>24 h</t>
  </si>
  <si>
    <t>Pimephales promelas (Fathead minnow)</t>
  </si>
  <si>
    <t>Carassius auratus (goldfish)</t>
  </si>
  <si>
    <t>O. latipes</t>
  </si>
  <si>
    <t>EPA OTS 797.1400</t>
  </si>
  <si>
    <t>Cyprinodon variegatus</t>
  </si>
  <si>
    <t>ug/L</t>
  </si>
  <si>
    <t>O. mykiss</t>
  </si>
  <si>
    <t>ASTM 1980</t>
  </si>
  <si>
    <t>Leuciscus idus</t>
  </si>
  <si>
    <t>DIN 38412 L15</t>
  </si>
  <si>
    <t>Leuciscus idus (Golden orfe)</t>
  </si>
  <si>
    <t>Pimephales promelas (Fathead minnows)</t>
  </si>
  <si>
    <t>Cyprinodon variegatus (Sheepshead minnow)</t>
  </si>
  <si>
    <t>P. promelas</t>
  </si>
  <si>
    <t>DIN 38412, part 15</t>
  </si>
  <si>
    <t>Oncorhynchus mykiss (Rainbow trout)</t>
  </si>
  <si>
    <t>Leuciscus idus (Fish, fresh water)</t>
  </si>
  <si>
    <t>22-46</t>
  </si>
  <si>
    <t>Oncorhynchus mykiss (Steelhead salmon)</t>
  </si>
  <si>
    <t>C. variegatus</t>
  </si>
  <si>
    <t>EPA OPP 72-1</t>
  </si>
  <si>
    <t>OECD Guideline 202</t>
  </si>
  <si>
    <t>Daphnia magna (water flea)</t>
  </si>
  <si>
    <t>EC100</t>
  </si>
  <si>
    <t>EPA OTS 797.1300</t>
  </si>
  <si>
    <t>D. magna</t>
  </si>
  <si>
    <t>EU Method C.2</t>
  </si>
  <si>
    <t>EC0</t>
  </si>
  <si>
    <t>EPA OPPTS 850.1010</t>
  </si>
  <si>
    <t>ASTM Standard E729-96</t>
  </si>
  <si>
    <t>OECD Guideline 292</t>
  </si>
  <si>
    <t>EC10</t>
  </si>
  <si>
    <t>DIN 38412 part 11</t>
  </si>
  <si>
    <t>Americamysis bahia</t>
  </si>
  <si>
    <t>EPA OTS 797.1930</t>
  </si>
  <si>
    <t>Daphnia magna (Water flea)</t>
  </si>
  <si>
    <t>Ceriodaphnia dubia</t>
  </si>
  <si>
    <t>Pseudokirchneriella subcapitata (algae)</t>
  </si>
  <si>
    <t>OECD Guideline 201</t>
  </si>
  <si>
    <t>LOEC</t>
  </si>
  <si>
    <t>Raphidocelis subcapitata</t>
  </si>
  <si>
    <t>TSCA guideline 797.1060</t>
  </si>
  <si>
    <t>ErC50</t>
  </si>
  <si>
    <t>Desmodesmus subspicatus</t>
  </si>
  <si>
    <t>DIN 38412 part 9</t>
  </si>
  <si>
    <t>D. subspicatus</t>
  </si>
  <si>
    <t>EC90</t>
  </si>
  <si>
    <t>Microcystis aeruginosa</t>
  </si>
  <si>
    <t>EPA OPPTS 850.5400</t>
  </si>
  <si>
    <t>Pseudokirchneriella subcapitata (green algae)</t>
  </si>
  <si>
    <t>Desmodesmus subspicatus (algae)</t>
  </si>
  <si>
    <t>S. subcapitata</t>
  </si>
  <si>
    <t>이분해성</t>
  </si>
  <si>
    <t>degradation (O2 consumption)</t>
  </si>
  <si>
    <t>%</t>
  </si>
  <si>
    <t>d</t>
  </si>
  <si>
    <t>OECD Guideline 301 D</t>
  </si>
  <si>
    <t>21 d</t>
  </si>
  <si>
    <t>theoretical carbon dioxide evolution</t>
  </si>
  <si>
    <t>Pubchem</t>
    <phoneticPr fontId="1" type="noConversion"/>
  </si>
  <si>
    <t>ppm</t>
  </si>
  <si>
    <t>weeks</t>
  </si>
  <si>
    <t>Japanese MITI test</t>
  </si>
  <si>
    <t>2 week</t>
  </si>
  <si>
    <t>OECD Guideline 301 C</t>
  </si>
  <si>
    <t>theoretical BOD</t>
  </si>
  <si>
    <t>Theoretical BOD</t>
  </si>
  <si>
    <t>4 week</t>
  </si>
  <si>
    <t>14 d</t>
  </si>
  <si>
    <t>total organic carbon</t>
  </si>
  <si>
    <t>Zahn-Wellens test</t>
  </si>
  <si>
    <t>3 h</t>
  </si>
  <si>
    <t>7 d</t>
  </si>
  <si>
    <t>11 d</t>
  </si>
  <si>
    <t>degradation (CO2 evolution)</t>
  </si>
  <si>
    <t>80~90</t>
  </si>
  <si>
    <t>OECD Guideline 310</t>
  </si>
  <si>
    <t>50~60</t>
  </si>
  <si>
    <t>BOD/ThOD</t>
  </si>
  <si>
    <t>Degradation</t>
  </si>
  <si>
    <t>OECD Guideline 302 B</t>
  </si>
  <si>
    <t>degradation (CO2 evolution)</t>
    <phoneticPr fontId="1" type="noConversion"/>
  </si>
  <si>
    <t>OECD Guideline 301 B</t>
  </si>
  <si>
    <t>EU Method C.5</t>
  </si>
  <si>
    <t>degradation (DOC removal)</t>
  </si>
  <si>
    <t>15 d</t>
  </si>
  <si>
    <t>79–80</t>
  </si>
  <si>
    <t>Modified Sturm test</t>
  </si>
  <si>
    <t>ThBOD</t>
  </si>
  <si>
    <t>OECD Guideline 310</t>
    <phoneticPr fontId="1" type="noConversion"/>
  </si>
  <si>
    <t>degradation (O2 consumption)</t>
    <phoneticPr fontId="1" type="noConversion"/>
  </si>
  <si>
    <t>60~70</t>
  </si>
  <si>
    <t>OECD methods</t>
  </si>
  <si>
    <t>degradation (DOC removal)</t>
    <phoneticPr fontId="1" type="noConversion"/>
  </si>
  <si>
    <t>90~100</t>
  </si>
  <si>
    <t>OECD Guideline 301 A</t>
  </si>
  <si>
    <t>EU Method C.4-A</t>
  </si>
  <si>
    <t>ISO 7827</t>
  </si>
  <si>
    <t>8 d</t>
  </si>
  <si>
    <t>OECD Guideline 301 F</t>
  </si>
  <si>
    <t>2 d</t>
  </si>
  <si>
    <t>3 d</t>
  </si>
  <si>
    <t>negative(0.05)</t>
    <phoneticPr fontId="1" type="noConversion"/>
  </si>
  <si>
    <t>AI-based QSAR</t>
    <phoneticPr fontId="1" type="noConversion"/>
  </si>
  <si>
    <t>HAZMAP</t>
    <phoneticPr fontId="1" type="noConversion"/>
  </si>
  <si>
    <t>negative(0.0014)</t>
    <phoneticPr fontId="1" type="noConversion"/>
  </si>
  <si>
    <t>negative(0.0001)</t>
    <phoneticPr fontId="1" type="noConversion"/>
  </si>
  <si>
    <t>A-2</t>
    <phoneticPr fontId="1" type="noConversion"/>
  </si>
  <si>
    <t>negative(0.12)</t>
    <phoneticPr fontId="1" type="noConversion"/>
  </si>
  <si>
    <t>negative(0.004)</t>
    <phoneticPr fontId="1" type="noConversion"/>
  </si>
  <si>
    <t>negative(0.0005)</t>
    <phoneticPr fontId="1" type="noConversion"/>
  </si>
  <si>
    <t>negative(0)</t>
    <phoneticPr fontId="1" type="noConversion"/>
  </si>
  <si>
    <t>B-8</t>
    <phoneticPr fontId="1" type="noConversion"/>
  </si>
  <si>
    <t>B-2</t>
    <phoneticPr fontId="1" type="noConversion"/>
  </si>
  <si>
    <t>negative(0.0116)</t>
    <phoneticPr fontId="1" type="noConversion"/>
  </si>
  <si>
    <t>negative(0.2354)</t>
    <phoneticPr fontId="1" type="noConversion"/>
  </si>
  <si>
    <t>negative(0.0414)</t>
    <phoneticPr fontId="1" type="noConversion"/>
  </si>
  <si>
    <t>positive(0.6812)</t>
    <phoneticPr fontId="1" type="noConversion"/>
  </si>
  <si>
    <t>negative(0.0055)</t>
    <phoneticPr fontId="1" type="noConversion"/>
  </si>
  <si>
    <t>negative(0.1069)</t>
    <phoneticPr fontId="1" type="noConversion"/>
  </si>
  <si>
    <t>negative(0.0078)</t>
    <phoneticPr fontId="1" type="noConversion"/>
  </si>
  <si>
    <t>positive(0.6556)</t>
    <phoneticPr fontId="1" type="noConversion"/>
  </si>
  <si>
    <t>negative(0.0093)</t>
    <phoneticPr fontId="1" type="noConversion"/>
  </si>
  <si>
    <t>negative(0.1779)</t>
    <phoneticPr fontId="1" type="noConversion"/>
  </si>
  <si>
    <t>negative(0.0004)</t>
    <phoneticPr fontId="1" type="noConversion"/>
  </si>
  <si>
    <t>negative(0.0062)</t>
    <phoneticPr fontId="1" type="noConversion"/>
  </si>
  <si>
    <t>negative(0.0016)</t>
    <phoneticPr fontId="1" type="noConversion"/>
  </si>
  <si>
    <t>negative(0.001)</t>
    <phoneticPr fontId="1" type="noConversion"/>
  </si>
  <si>
    <t>negative(0.0034)</t>
    <phoneticPr fontId="1" type="noConversion"/>
  </si>
  <si>
    <t>negative(0.0013)</t>
    <phoneticPr fontId="1" type="noConversion"/>
  </si>
  <si>
    <t>negative(0.0011)</t>
    <phoneticPr fontId="1" type="noConversion"/>
  </si>
  <si>
    <t>negative(0.0022)</t>
    <phoneticPr fontId="1" type="noConversion"/>
  </si>
  <si>
    <t>negative(0.0015)</t>
    <phoneticPr fontId="1" type="noConversion"/>
  </si>
  <si>
    <t>피부부식성/자극성</t>
    <phoneticPr fontId="1" type="noConversion"/>
  </si>
  <si>
    <t>24/48/72</t>
  </si>
  <si>
    <t>other: Patch test</t>
  </si>
  <si>
    <t>erythema score</t>
  </si>
  <si>
    <t>Rabbit(New Zealand White)</t>
  </si>
  <si>
    <t>FDA Draize (1959)</t>
  </si>
  <si>
    <t>edema score</t>
  </si>
  <si>
    <t>FHSA Section 191.11</t>
  </si>
  <si>
    <t>other: Draize test</t>
  </si>
  <si>
    <t>OECD Guideline 404</t>
  </si>
  <si>
    <t>1, 4</t>
  </si>
  <si>
    <t>tissue viability</t>
  </si>
  <si>
    <t>Human(EpiSkin™)</t>
  </si>
  <si>
    <t>OECD Guideline 439</t>
  </si>
  <si>
    <t>In vitro</t>
  </si>
  <si>
    <t>Human(SkinEthic™)</t>
  </si>
  <si>
    <t>OECD Guideline 431</t>
  </si>
  <si>
    <t>PDII</t>
  </si>
  <si>
    <t>19 CFR 173.40</t>
  </si>
  <si>
    <t>rabbit(vienna white)</t>
  </si>
  <si>
    <t>Rabbit(Vienna White)</t>
  </si>
  <si>
    <t>human skin model(EpiDerm)</t>
  </si>
  <si>
    <t>EU Method B</t>
  </si>
  <si>
    <t>PDII</t>
    <phoneticPr fontId="1" type="noConversion"/>
  </si>
  <si>
    <t>Fish</t>
  </si>
  <si>
    <t>hr</t>
  </si>
  <si>
    <t>QSAR</t>
  </si>
  <si>
    <t>ECOSAR v1.11</t>
  </si>
  <si>
    <t>Epi suite</t>
  </si>
  <si>
    <t>Fathead minnow</t>
    <phoneticPr fontId="1" type="noConversion"/>
  </si>
  <si>
    <t>Daphnid</t>
  </si>
  <si>
    <t>Daphnia magna</t>
    <phoneticPr fontId="1" type="noConversion"/>
  </si>
  <si>
    <t>P. subcapitata</t>
    <phoneticPr fontId="1" type="noConversion"/>
  </si>
  <si>
    <t>어류만성독성</t>
  </si>
  <si>
    <t>ChV</t>
  </si>
  <si>
    <t>물벼룩만성독성</t>
  </si>
  <si>
    <t>담수조류만성독성</t>
  </si>
  <si>
    <t>어류급성독성(해수)</t>
    <phoneticPr fontId="1" type="noConversion"/>
  </si>
  <si>
    <t>Fish (SW)</t>
  </si>
  <si>
    <t>곤충류급성독성</t>
  </si>
  <si>
    <t>Mysid</t>
  </si>
  <si>
    <t>어류만성독성(해수)</t>
  </si>
  <si>
    <t>곤충류만성독성</t>
  </si>
  <si>
    <t>Mysid (SW)</t>
  </si>
  <si>
    <t>육상생태독성(지렁이)</t>
  </si>
  <si>
    <t>Earthworm</t>
  </si>
  <si>
    <t>day</t>
  </si>
  <si>
    <t>어류급성독성(해수)</t>
  </si>
  <si>
    <t>곤충류급성독성(해수)</t>
  </si>
  <si>
    <t>곤충류만성독성(해수)</t>
  </si>
  <si>
    <t>868-77-9</t>
  </si>
  <si>
    <t>LD50</t>
    <phoneticPr fontId="1" type="noConversion"/>
  </si>
  <si>
    <t>mg/kg bw</t>
    <phoneticPr fontId="1" type="noConversion"/>
  </si>
  <si>
    <t>Rat</t>
    <phoneticPr fontId="1" type="noConversion"/>
  </si>
  <si>
    <t>Crj: CD(SD)</t>
  </si>
  <si>
    <t>h</t>
    <phoneticPr fontId="1" type="noConversion"/>
  </si>
  <si>
    <t>실험값</t>
    <phoneticPr fontId="1" type="noConversion"/>
  </si>
  <si>
    <t>OECD Guideline 401 (Acute Oral Toxicity)</t>
  </si>
  <si>
    <t>ECHA CHEM</t>
    <phoneticPr fontId="1" type="noConversion"/>
  </si>
  <si>
    <t>24 h</t>
    <phoneticPr fontId="1" type="noConversion"/>
  </si>
  <si>
    <t>E. coli</t>
    <phoneticPr fontId="1" type="noConversion"/>
  </si>
  <si>
    <t xml:space="preserve"> WP2 uvr A</t>
  </si>
  <si>
    <t>OECD Guideline 471 (Bacterial Reverse Mutation Assay)</t>
  </si>
  <si>
    <t>S. typhimurium</t>
    <phoneticPr fontId="1" type="noConversion"/>
  </si>
  <si>
    <t xml:space="preserve"> TA 1535, TA 1537, TA 98 and TA 100</t>
  </si>
  <si>
    <t>OECD Guideline 472 (Genetic Toxicology: Escherichia coli, Reverse Mutation Assay)</t>
  </si>
  <si>
    <t>Chinese Hamster</t>
    <phoneticPr fontId="1" type="noConversion"/>
  </si>
  <si>
    <t>CHL/IU Cells</t>
    <phoneticPr fontId="1" type="noConversion"/>
  </si>
  <si>
    <t>OECD Guideline 473 (In Vitro Mammalian Chromosome Aberration Test)</t>
  </si>
  <si>
    <t>JAPAN: Guidelines for Screening Mutagenicity Testing Of Chemicals</t>
  </si>
  <si>
    <t>OECD Guideline 203 (Fish, Acute Toxicity Test)</t>
  </si>
  <si>
    <t>96 h</t>
    <phoneticPr fontId="1" type="noConversion"/>
  </si>
  <si>
    <t>NOEC</t>
    <phoneticPr fontId="1" type="noConversion"/>
  </si>
  <si>
    <t>OECD Guideline 202 (Daphnia sp. Acute Immobilisation Test)</t>
  </si>
  <si>
    <t>48 h</t>
    <phoneticPr fontId="1" type="noConversion"/>
  </si>
  <si>
    <t>EC50</t>
    <phoneticPr fontId="1" type="noConversion"/>
  </si>
  <si>
    <t>OECD Guideline 201 (Alga, Growth Inhibition Test)</t>
  </si>
  <si>
    <t>72 h</t>
    <phoneticPr fontId="1" type="noConversion"/>
  </si>
  <si>
    <t>92~100</t>
    <phoneticPr fontId="1" type="noConversion"/>
  </si>
  <si>
    <t>%</t>
    <phoneticPr fontId="1" type="noConversion"/>
  </si>
  <si>
    <t>d</t>
    <phoneticPr fontId="1" type="noConversion"/>
  </si>
  <si>
    <t>OECD Guideline 301 C (Ready Biodegradability: Modified MITI Test (I))</t>
  </si>
  <si>
    <t>14 d</t>
    <phoneticPr fontId="1" type="noConversion"/>
  </si>
  <si>
    <t>degradation (TOC removal)</t>
    <phoneticPr fontId="1" type="noConversion"/>
  </si>
  <si>
    <t>86~87</t>
    <phoneticPr fontId="1" type="noConversion"/>
  </si>
  <si>
    <t>degradation (TOC removal)</t>
  </si>
  <si>
    <t>피부부식성/자극성</t>
    <phoneticPr fontId="1" type="noConversion"/>
  </si>
  <si>
    <t>Rabbit</t>
    <phoneticPr fontId="1" type="noConversion"/>
  </si>
  <si>
    <t>New Zealand White</t>
  </si>
  <si>
    <t>other: Appraisal of the safety of chemicals in foods, drugs and cosmetics (1959)</t>
  </si>
  <si>
    <t>mg/kg</t>
    <phoneticPr fontId="1" type="noConversion"/>
  </si>
  <si>
    <t>US DashBoard</t>
    <phoneticPr fontId="1" type="noConversion"/>
  </si>
  <si>
    <t>Guinea Pig</t>
  </si>
  <si>
    <t>Chromosome aberration</t>
    <phoneticPr fontId="1" type="noConversion"/>
  </si>
  <si>
    <t>other guideline: Appraisal of the safety of chemicals in foods, drugs and cosmetics (1959) according to</t>
  </si>
  <si>
    <t>Pubchem</t>
    <phoneticPr fontId="1" type="noConversion"/>
  </si>
  <si>
    <t>ml/kg</t>
    <phoneticPr fontId="1" type="noConversion"/>
  </si>
  <si>
    <t>Mice</t>
    <phoneticPr fontId="1" type="noConversion"/>
  </si>
  <si>
    <t>g/kg</t>
    <phoneticPr fontId="1" type="noConversion"/>
  </si>
  <si>
    <t>Mouse</t>
    <phoneticPr fontId="1" type="noConversion"/>
  </si>
  <si>
    <t>g/L</t>
    <phoneticPr fontId="1" type="noConversion"/>
  </si>
  <si>
    <t>theoretical BOD</t>
    <phoneticPr fontId="1" type="noConversion"/>
  </si>
  <si>
    <t>급성경구독성</t>
    <phoneticPr fontId="1" type="noConversion"/>
  </si>
  <si>
    <t>K-reach</t>
    <phoneticPr fontId="1" type="noConversion"/>
  </si>
  <si>
    <t>Chinese hamster</t>
    <phoneticPr fontId="1" type="noConversion"/>
  </si>
  <si>
    <t>담수조류성자저해</t>
    <phoneticPr fontId="1" type="noConversion"/>
  </si>
  <si>
    <t>S. capricornutum</t>
  </si>
  <si>
    <t>환경부유해성심사결과</t>
    <phoneticPr fontId="1" type="noConversion"/>
  </si>
  <si>
    <t>A-1</t>
    <phoneticPr fontId="1" type="noConversion"/>
  </si>
  <si>
    <t>급성경구독성</t>
    <phoneticPr fontId="1" type="noConversion"/>
  </si>
  <si>
    <t>Rat</t>
    <phoneticPr fontId="1" type="noConversion"/>
  </si>
  <si>
    <t>발암성</t>
    <phoneticPr fontId="1" type="noConversion"/>
  </si>
  <si>
    <t>positive(0.63)</t>
    <phoneticPr fontId="1" type="noConversion"/>
  </si>
  <si>
    <t>Gene mutation</t>
    <phoneticPr fontId="1" type="noConversion"/>
  </si>
  <si>
    <t>positive(0.78)</t>
    <phoneticPr fontId="1" type="noConversion"/>
  </si>
  <si>
    <t>A-2</t>
    <phoneticPr fontId="1" type="noConversion"/>
  </si>
  <si>
    <t>negative(0.53)</t>
  </si>
  <si>
    <t>positive(0.9)</t>
    <phoneticPr fontId="1" type="noConversion"/>
  </si>
  <si>
    <t>B-1</t>
    <phoneticPr fontId="1" type="noConversion"/>
  </si>
  <si>
    <t>negative(0.5)</t>
  </si>
  <si>
    <t>negative(0.93)</t>
  </si>
  <si>
    <t>negative(0.59)</t>
  </si>
  <si>
    <t>negative(0.95)</t>
  </si>
  <si>
    <t>negative(0.54)</t>
  </si>
  <si>
    <t>negative(0.98)</t>
  </si>
  <si>
    <t>negative(0.91)</t>
  </si>
  <si>
    <t>positive(0.83)</t>
    <phoneticPr fontId="1" type="noConversion"/>
  </si>
  <si>
    <t>negative(0.86)</t>
  </si>
  <si>
    <t>negative(0.65)</t>
  </si>
  <si>
    <t>negative(0.92)</t>
  </si>
  <si>
    <t>positive(0.67)</t>
    <phoneticPr fontId="1" type="noConversion"/>
  </si>
  <si>
    <t>negative(0.56)</t>
  </si>
  <si>
    <t>positive(0.61)</t>
    <phoneticPr fontId="1" type="noConversion"/>
  </si>
  <si>
    <t>negative(1)</t>
  </si>
  <si>
    <t>negative(0.88)</t>
  </si>
  <si>
    <t>발달독성</t>
    <phoneticPr fontId="1" type="noConversion"/>
  </si>
  <si>
    <t>Developmental toxicity</t>
    <phoneticPr fontId="1" type="noConversion"/>
  </si>
  <si>
    <t>positive(0.52)</t>
    <phoneticPr fontId="1" type="noConversion"/>
  </si>
  <si>
    <t>Consensus</t>
    <phoneticPr fontId="1" type="noConversion"/>
  </si>
  <si>
    <t>positive(0.5)</t>
    <phoneticPr fontId="1" type="noConversion"/>
  </si>
  <si>
    <t>Random Forest</t>
    <phoneticPr fontId="1" type="noConversion"/>
  </si>
  <si>
    <t>positive(0.56)</t>
    <phoneticPr fontId="1" type="noConversion"/>
  </si>
  <si>
    <t>Support Vector Machines</t>
    <phoneticPr fontId="1" type="noConversion"/>
  </si>
  <si>
    <t>XGBoost</t>
    <phoneticPr fontId="1" type="noConversion"/>
  </si>
  <si>
    <t>담수미생물생장저해</t>
    <phoneticPr fontId="1" type="noConversion"/>
  </si>
  <si>
    <t>IGC50</t>
  </si>
  <si>
    <t>mg/L</t>
    <phoneticPr fontId="1" type="noConversion"/>
  </si>
  <si>
    <t>Tetrahymena pyriformis</t>
  </si>
  <si>
    <t>h</t>
    <phoneticPr fontId="1" type="noConversion"/>
  </si>
  <si>
    <t>어류급성독성</t>
    <phoneticPr fontId="1" type="noConversion"/>
  </si>
  <si>
    <t>LC50</t>
    <phoneticPr fontId="1" type="noConversion"/>
  </si>
  <si>
    <t>fathead minnow</t>
  </si>
  <si>
    <t>물벼룩급성독성</t>
    <phoneticPr fontId="1" type="noConversion"/>
  </si>
  <si>
    <t>LD50</t>
    <phoneticPr fontId="1" type="noConversion"/>
  </si>
  <si>
    <t>mg/kg</t>
    <phoneticPr fontId="1" type="noConversion"/>
  </si>
  <si>
    <t>피부과민성</t>
    <phoneticPr fontId="1" type="noConversion"/>
  </si>
  <si>
    <t>Skin sensitization</t>
    <phoneticPr fontId="1" type="noConversion"/>
  </si>
  <si>
    <t>negative(0.35)</t>
  </si>
  <si>
    <t>Mouse</t>
    <phoneticPr fontId="1" type="noConversion"/>
  </si>
  <si>
    <t>local lymph node</t>
  </si>
  <si>
    <t>negative(0.43)</t>
  </si>
  <si>
    <t>negative(0.42)</t>
  </si>
  <si>
    <t>negative(0.2)</t>
  </si>
  <si>
    <t>positive(0.55)</t>
    <phoneticPr fontId="1" type="noConversion"/>
  </si>
  <si>
    <t>negative(0.41)</t>
  </si>
  <si>
    <t>positive(0.58)</t>
    <phoneticPr fontId="1" type="noConversion"/>
  </si>
  <si>
    <t>positive(0.68)</t>
    <phoneticPr fontId="1" type="noConversion"/>
  </si>
  <si>
    <t>positive(0.74)</t>
  </si>
  <si>
    <t>positive(0.62)</t>
  </si>
  <si>
    <t>positive(0.79)</t>
  </si>
  <si>
    <t>positive(0.82)</t>
  </si>
  <si>
    <t>positive(0.67)</t>
  </si>
  <si>
    <t>positive(0.7)</t>
  </si>
  <si>
    <t>negative(0.06)</t>
  </si>
  <si>
    <t>negative(0.07)</t>
  </si>
  <si>
    <t>negative(0.08)</t>
  </si>
  <si>
    <t>negative(0.03)</t>
  </si>
  <si>
    <t>positive(0.55)</t>
  </si>
  <si>
    <t>negative(0.45)</t>
  </si>
  <si>
    <t>positive(0.63)</t>
  </si>
  <si>
    <t>positive(0.57)</t>
  </si>
  <si>
    <t>positive(0.65)</t>
  </si>
  <si>
    <t>positive(0.53)</t>
  </si>
  <si>
    <t>positive(0.51)</t>
  </si>
  <si>
    <t>positive(0.92)</t>
  </si>
  <si>
    <t>positive(0.89)</t>
  </si>
  <si>
    <t>positive(0.86)</t>
  </si>
  <si>
    <t>positive(0.85)</t>
  </si>
  <si>
    <t>positive(0.96)</t>
  </si>
  <si>
    <t>B-2</t>
    <phoneticPr fontId="1" type="noConversion"/>
  </si>
  <si>
    <t>positive(0.71)</t>
  </si>
  <si>
    <t>positive(0.66)</t>
  </si>
  <si>
    <t>negative(0.27)</t>
  </si>
  <si>
    <t>negative(0.37)</t>
  </si>
  <si>
    <t>negative(0.4)</t>
  </si>
  <si>
    <t>negative(0.09)</t>
  </si>
  <si>
    <t>negative(0.15)</t>
  </si>
  <si>
    <t>negative(0.05)</t>
  </si>
  <si>
    <t>B-3</t>
    <phoneticPr fontId="1" type="noConversion"/>
  </si>
  <si>
    <t>positive(0.56)</t>
  </si>
  <si>
    <t>positive(0.54)</t>
  </si>
  <si>
    <t>positive(0.77)</t>
  </si>
  <si>
    <t>negative(0.39)</t>
  </si>
  <si>
    <t>positive(0.64)</t>
  </si>
  <si>
    <t>positive(0.61)</t>
  </si>
  <si>
    <t>negative(0.38)</t>
  </si>
  <si>
    <t>negative(0.04)</t>
  </si>
  <si>
    <t>negative(0.02)</t>
  </si>
  <si>
    <t>negative(0.01)</t>
  </si>
  <si>
    <t>B-4</t>
    <phoneticPr fontId="1" type="noConversion"/>
  </si>
  <si>
    <t>B-5</t>
    <phoneticPr fontId="1" type="noConversion"/>
  </si>
  <si>
    <t>positive(0.75)</t>
  </si>
  <si>
    <t>positive(0.95)</t>
  </si>
  <si>
    <t>positive(0.52)</t>
  </si>
  <si>
    <t>positive(0.5)</t>
  </si>
  <si>
    <t>negative(0.14)</t>
  </si>
  <si>
    <t>negative(0.1)</t>
  </si>
  <si>
    <t>negative(0.11)</t>
  </si>
  <si>
    <t>negative(0.49)</t>
  </si>
  <si>
    <t>negative(0.34)</t>
  </si>
  <si>
    <t>positive(0.72)</t>
  </si>
  <si>
    <t>positive(0.83)</t>
  </si>
  <si>
    <t>positive(0.9)</t>
  </si>
  <si>
    <t>positive(0.59)</t>
  </si>
  <si>
    <t>positive(0.99)</t>
  </si>
  <si>
    <t>positive(0.6)</t>
  </si>
  <si>
    <t>positive(0.68)</t>
  </si>
  <si>
    <t>negative(0.32)</t>
  </si>
  <si>
    <t>negative(0.22)</t>
  </si>
  <si>
    <t>positive(0.69)</t>
  </si>
  <si>
    <t>negative(0.33)</t>
  </si>
  <si>
    <t>positive(0.81)</t>
  </si>
  <si>
    <t>-</t>
    <phoneticPr fontId="1" type="noConversion"/>
  </si>
  <si>
    <t xml:space="preserve">9-(9H-Carbazol-9-yl)-7H-benzo[c]carbazole </t>
    <phoneticPr fontId="1" type="noConversion"/>
  </si>
  <si>
    <t>C28H18N2</t>
  </si>
  <si>
    <t>382.5 g/mol</t>
    <phoneticPr fontId="1" type="noConversion"/>
  </si>
  <si>
    <t>C1=CC=C2C(=C1)C=CC3=C2C4=C(N3)C=C(C=C4)N5C6=CC=CC=C6C7=CC=CC=C75</t>
    <phoneticPr fontId="1" type="noConversion"/>
  </si>
  <si>
    <t>205-25-4</t>
    <phoneticPr fontId="1" type="noConversion"/>
  </si>
  <si>
    <t xml:space="preserve">7H-Benzo[c]carbazole </t>
    <phoneticPr fontId="1" type="noConversion"/>
  </si>
  <si>
    <t>C16H11N</t>
  </si>
  <si>
    <t>217.26 g/mol</t>
    <phoneticPr fontId="1" type="noConversion"/>
  </si>
  <si>
    <t>C1=CC=C2C(=C1)C=CC3=C2C4=CC=CC=C4N3</t>
    <phoneticPr fontId="1" type="noConversion"/>
  </si>
  <si>
    <t>97-63-2</t>
    <phoneticPr fontId="1" type="noConversion"/>
  </si>
  <si>
    <t>ethyl methacrylate</t>
    <phoneticPr fontId="1" type="noConversion"/>
  </si>
  <si>
    <t>C6H10O2</t>
  </si>
  <si>
    <t>114.14 g/mol</t>
    <phoneticPr fontId="1" type="noConversion"/>
  </si>
  <si>
    <t>CCOC(=O)C(=C)C</t>
    <phoneticPr fontId="1" type="noConversion"/>
  </si>
  <si>
    <t>868-77-9</t>
    <phoneticPr fontId="1" type="noConversion"/>
  </si>
  <si>
    <t>2-hydroxyethyl methacrylate</t>
    <phoneticPr fontId="1" type="noConversion"/>
  </si>
  <si>
    <t>C6H10O3</t>
  </si>
  <si>
    <t>130.139 g/mol</t>
    <phoneticPr fontId="1" type="noConversion"/>
  </si>
  <si>
    <t>CC(=C)C(=O)OCCO</t>
    <phoneticPr fontId="1" type="noConversion"/>
  </si>
  <si>
    <t>97-88-1</t>
    <phoneticPr fontId="1" type="noConversion"/>
  </si>
  <si>
    <t>butyl methacrylate</t>
    <phoneticPr fontId="1" type="noConversion"/>
  </si>
  <si>
    <t>C8H14O2</t>
  </si>
  <si>
    <t>142.2 g/mol</t>
    <phoneticPr fontId="1" type="noConversion"/>
  </si>
  <si>
    <t>CCCCOC(=O)C(=C)C</t>
    <phoneticPr fontId="1" type="noConversion"/>
  </si>
  <si>
    <t>997-46-6</t>
    <phoneticPr fontId="1" type="noConversion"/>
  </si>
  <si>
    <t>4-hydroxybutyl methacrylate</t>
    <phoneticPr fontId="1" type="noConversion"/>
  </si>
  <si>
    <t>C8H14O3</t>
  </si>
  <si>
    <t>158.19 g/mol</t>
    <phoneticPr fontId="1" type="noConversion"/>
  </si>
  <si>
    <t>CC(=C)C(=O)OCCCCO</t>
    <phoneticPr fontId="1" type="noConversion"/>
  </si>
  <si>
    <t>140-88-5</t>
    <phoneticPr fontId="1" type="noConversion"/>
  </si>
  <si>
    <t>ethyl acrylate</t>
    <phoneticPr fontId="1" type="noConversion"/>
  </si>
  <si>
    <t>C5H8O2</t>
  </si>
  <si>
    <t>100.12 g/mol</t>
    <phoneticPr fontId="1" type="noConversion"/>
  </si>
  <si>
    <t>CCOC(=O)C=C</t>
    <phoneticPr fontId="1" type="noConversion"/>
  </si>
  <si>
    <t>B-6</t>
    <phoneticPr fontId="1" type="noConversion"/>
  </si>
  <si>
    <t>818-61-1</t>
    <phoneticPr fontId="1" type="noConversion"/>
  </si>
  <si>
    <t>2-hydroxyethyl acrylate</t>
    <phoneticPr fontId="1" type="noConversion"/>
  </si>
  <si>
    <t>C5H8O3</t>
  </si>
  <si>
    <t>116.11 g/mol</t>
    <phoneticPr fontId="1" type="noConversion"/>
  </si>
  <si>
    <t>C=CC(=O)OCCO</t>
    <phoneticPr fontId="1" type="noConversion"/>
  </si>
  <si>
    <t>B-7</t>
    <phoneticPr fontId="1" type="noConversion"/>
  </si>
  <si>
    <t>141-32-2</t>
    <phoneticPr fontId="1" type="noConversion"/>
  </si>
  <si>
    <t>butyl acrylate</t>
    <phoneticPr fontId="1" type="noConversion"/>
  </si>
  <si>
    <t>C7H12O2</t>
  </si>
  <si>
    <t>128.169 g/mol</t>
    <phoneticPr fontId="1" type="noConversion"/>
  </si>
  <si>
    <t>CCCCOC(=O)C=C</t>
    <phoneticPr fontId="1" type="noConversion"/>
  </si>
  <si>
    <t>2478-10-6</t>
    <phoneticPr fontId="1" type="noConversion"/>
  </si>
  <si>
    <t>4-hydroxybutyl acrylate</t>
    <phoneticPr fontId="1" type="noConversion"/>
  </si>
  <si>
    <t>C7H12O3</t>
  </si>
  <si>
    <t>144.17 g/mol</t>
    <phoneticPr fontId="1" type="noConversion"/>
  </si>
  <si>
    <t>C=CC(=O)OCCCCO</t>
    <phoneticPr fontId="1" type="noConversion"/>
  </si>
  <si>
    <t>B-9</t>
    <phoneticPr fontId="1" type="noConversion"/>
  </si>
  <si>
    <t>2499-95-8</t>
    <phoneticPr fontId="1" type="noConversion"/>
  </si>
  <si>
    <t>hexyl acrylate</t>
    <phoneticPr fontId="1" type="noConversion"/>
  </si>
  <si>
    <t>C9H16O2</t>
  </si>
  <si>
    <t>156.22 g/mol</t>
    <phoneticPr fontId="1" type="noConversion"/>
  </si>
  <si>
    <t>CCCCCCOC(=O)C=C</t>
    <phoneticPr fontId="1" type="noConversion"/>
  </si>
  <si>
    <t>B-10</t>
    <phoneticPr fontId="1" type="noConversion"/>
  </si>
  <si>
    <t>10095-14-4</t>
    <phoneticPr fontId="1" type="noConversion"/>
  </si>
  <si>
    <t>6-hydroxybutyl acrylate</t>
    <phoneticPr fontId="1" type="noConversion"/>
  </si>
  <si>
    <t>C9H16O3</t>
  </si>
  <si>
    <t>172.22 g/mol</t>
    <phoneticPr fontId="1" type="noConversion"/>
  </si>
  <si>
    <t>C=CC(=O)OCCCCCCO</t>
    <phoneticPr fontId="1" type="noConversion"/>
  </si>
  <si>
    <t>Protox 3.0</t>
  </si>
  <si>
    <t>BfR skin irritation/corrosion (v1.0)</t>
    <phoneticPr fontId="1" type="noConversion"/>
  </si>
  <si>
    <t>OECD 301D method</t>
    <phoneticPr fontId="1" type="noConversion"/>
  </si>
  <si>
    <t>Cheminfomatics</t>
    <phoneticPr fontId="1" type="noConversion"/>
  </si>
  <si>
    <t>피부부식성/자극성</t>
  </si>
  <si>
    <t>negative(난분해성)</t>
    <phoneticPr fontId="1" type="noConversion"/>
  </si>
  <si>
    <t>positive(이분해성)</t>
    <phoneticPr fontId="1" type="noConversion"/>
  </si>
  <si>
    <t>c1ccc4c(c1)ccc3[nH]c2cc(ccc2c34)n6c7ccccc7(c5ccccc56)</t>
  </si>
  <si>
    <t>OECD Guideline 201</t>
    <phoneticPr fontId="1" type="noConversion"/>
  </si>
  <si>
    <t>환경</t>
  </si>
  <si>
    <t>Algae</t>
  </si>
  <si>
    <t>OECD TG 201</t>
  </si>
  <si>
    <t>ProtoQSAR-Combase (v1.0.1)</t>
  </si>
  <si>
    <t>VEGA</t>
  </si>
  <si>
    <t>AI-based QSAR</t>
  </si>
  <si>
    <t>Algae Acute (EC50) (IRFMN) (v1.0.1)</t>
  </si>
  <si>
    <t>OECD Guideline 473</t>
    <phoneticPr fontId="1" type="noConversion"/>
  </si>
  <si>
    <t>인체</t>
  </si>
  <si>
    <t>CHL Cells, CHO Cells</t>
  </si>
  <si>
    <t>CORAL (v1.0.1)</t>
  </si>
  <si>
    <t>IRFMN-Combase (v1.0.3)</t>
  </si>
  <si>
    <t>LOW reliability(0.365)</t>
  </si>
  <si>
    <t>LOW reliability(0.7)</t>
  </si>
  <si>
    <t>MODERATE reliability(0.85)</t>
  </si>
  <si>
    <t>EXPERIMENTAL value(1.0)</t>
  </si>
  <si>
    <t>GOOD reliability(1.0)</t>
  </si>
  <si>
    <t>LOW reliability(0.0)</t>
  </si>
  <si>
    <t>EXPERIMENTAL value(0.85)</t>
  </si>
  <si>
    <t>EXPERIMENTAL value(0.7)</t>
  </si>
  <si>
    <t>LOW reliability(0.302)</t>
  </si>
  <si>
    <t>MODERATE reliability(0.685)</t>
  </si>
  <si>
    <t>EXPERIMENTAL value(0.0)</t>
  </si>
  <si>
    <t>MODERATE reliability(0.681)</t>
  </si>
  <si>
    <t>MODERATE reliability(0.692)</t>
  </si>
  <si>
    <t>MODERATE reliability(0.671)</t>
  </si>
  <si>
    <t>GOOD reliability(0.967)</t>
  </si>
  <si>
    <t>GOOD reliability(0.938)</t>
  </si>
  <si>
    <t>LOW reliability(0.346)</t>
  </si>
  <si>
    <t>LOW reliability(0.623)</t>
  </si>
  <si>
    <t>LOW reliability(0.649)</t>
  </si>
  <si>
    <t>LOW reliability(0.638)</t>
  </si>
  <si>
    <t>LOW reliability(0.632)</t>
  </si>
  <si>
    <t>LOW reliability(0.636)</t>
  </si>
  <si>
    <t>LOW reliability(0.668)</t>
  </si>
  <si>
    <t>LOW reliability(0.646)</t>
  </si>
  <si>
    <t>LOW reliability(0.637)</t>
  </si>
  <si>
    <t>LOW reliability(0.677)</t>
  </si>
  <si>
    <t>LOW reliability(0.666)</t>
  </si>
  <si>
    <t>LOW reliability(0.35)</t>
  </si>
  <si>
    <t>DEMETRA (v1.0.5)</t>
  </si>
  <si>
    <t>MODERATE reliability(0.8)</t>
  </si>
  <si>
    <t>LOW reliability(0.65)</t>
  </si>
  <si>
    <t>IRFMN v1.0.3</t>
  </si>
  <si>
    <t>LOW reliability(0.276)</t>
  </si>
  <si>
    <t>EPA v1.0.9</t>
  </si>
  <si>
    <t>Fathead Minnow</t>
  </si>
  <si>
    <t>LOW reliability(0)</t>
  </si>
  <si>
    <t>Fathead Minnow LC50 96h (EPA) (v1.0.10)</t>
  </si>
  <si>
    <t>EXPERIMENTAL value(1)</t>
  </si>
  <si>
    <t>GOOD reliability(1)</t>
  </si>
  <si>
    <t>KNN-IRFMN (v1.1.2)</t>
  </si>
  <si>
    <t>[Model ]Unable to perform Applicability Domain check</t>
  </si>
  <si>
    <t>IRFMN-Combase (v1.0.3)</t>
    <phoneticPr fontId="1" type="noConversion"/>
  </si>
  <si>
    <t>IRFMN v1.0.3</t>
    <phoneticPr fontId="1" type="noConversion"/>
  </si>
  <si>
    <t>LOW reliability(0.284)</t>
  </si>
  <si>
    <t>KNN-Read-Across (v1.0.1)</t>
  </si>
  <si>
    <t>LOW reliability(0.281)</t>
  </si>
  <si>
    <t>IRFMN (v1.0.2)</t>
  </si>
  <si>
    <t>MODERATE reliability(0.7)</t>
  </si>
  <si>
    <t>OECD Guideline 420/423/425</t>
  </si>
  <si>
    <t>Acute Toxicity (LD50) model (KNN) (v1.0.0)</t>
  </si>
  <si>
    <t>lymphoma cells(L5178Y)</t>
    <phoneticPr fontId="1" type="noConversion"/>
  </si>
  <si>
    <t>Micronucleus activity</t>
  </si>
  <si>
    <t>Not predicted</t>
  </si>
  <si>
    <t>L5178Y cells</t>
  </si>
  <si>
    <t>IRFMN-VERMEER (v1.0.1)</t>
  </si>
  <si>
    <t>MODERATE reliability(0.805)</t>
  </si>
  <si>
    <t>MODERATE reliability(0.669)</t>
  </si>
  <si>
    <t>GOOD reliability(0.805)</t>
  </si>
  <si>
    <t>GOOD reliability(0.942)</t>
  </si>
  <si>
    <t>Rodents (Mouse/Rat)</t>
  </si>
  <si>
    <t>Erythrocytes</t>
  </si>
  <si>
    <t>OECD Guideline 474</t>
  </si>
  <si>
    <t>MODERATE reliability(0.871)</t>
  </si>
  <si>
    <t>GOOD reliability(0.93)</t>
  </si>
  <si>
    <t>MODERATE reliability(0.839)</t>
  </si>
  <si>
    <t>GOOD reliability(0.945)</t>
  </si>
  <si>
    <t>MODERATE reliability(0.852)</t>
  </si>
  <si>
    <t>GOOD reliability(0.914)</t>
  </si>
  <si>
    <t>MODERATE reliability(0.828)</t>
  </si>
  <si>
    <t>Mutagenicity</t>
  </si>
  <si>
    <t>MODERATE reliability(0.65)</t>
  </si>
  <si>
    <t>Consensus model (v1.0.4)</t>
  </si>
  <si>
    <t>MODERATE reliability(0.725)</t>
  </si>
  <si>
    <t>GOOD reliability(0.9)</t>
  </si>
  <si>
    <t>TA 1535, TA100, TA 98, TA 1537, TA97, TA 97a</t>
    <phoneticPr fontId="1" type="noConversion"/>
  </si>
  <si>
    <t>생분해성</t>
  </si>
  <si>
    <t>Ready Biodegradability</t>
  </si>
  <si>
    <t>OECD Guideline 301</t>
  </si>
  <si>
    <t>LOW reliability(0.334)</t>
  </si>
  <si>
    <t>IRFMN (v1.0.10)</t>
  </si>
  <si>
    <t>MODERATE reliability(0.803)</t>
  </si>
  <si>
    <t>MODERATE reliability(0.814)</t>
  </si>
  <si>
    <t>GOOD reliability(0.948)</t>
  </si>
  <si>
    <t>Molecule 1</t>
  </si>
  <si>
    <t>LOW reliability(0.278)</t>
  </si>
  <si>
    <t>Molecule 2</t>
  </si>
  <si>
    <t>MODERATE reliability(0.659)</t>
  </si>
  <si>
    <t>Molecule 3</t>
  </si>
  <si>
    <t>GOOD reliability(0.964)</t>
  </si>
  <si>
    <t>Molecule 4</t>
  </si>
  <si>
    <t>Molecule 5</t>
  </si>
  <si>
    <t>GOOD reliability(0.953)</t>
  </si>
  <si>
    <t>Molecule 6</t>
  </si>
  <si>
    <t>GOOD reliability(0.935)</t>
  </si>
  <si>
    <t>Molecule 7</t>
  </si>
  <si>
    <t>Molecule 8</t>
  </si>
  <si>
    <t>Molecule 9</t>
  </si>
  <si>
    <t>Molecule 10</t>
  </si>
  <si>
    <t>MODERATE reliability(0.711)</t>
  </si>
  <si>
    <t>Molecule 11</t>
  </si>
  <si>
    <t>MODERATE reliability(0.865)</t>
  </si>
  <si>
    <t>Molecule 12</t>
  </si>
  <si>
    <t>MODERATE reliability(0.846)</t>
  </si>
  <si>
    <t>LOW reliability(0.279)</t>
  </si>
  <si>
    <t>MODERATE reliability(0.615)</t>
  </si>
  <si>
    <t>GOOD reliability(0.813)</t>
  </si>
  <si>
    <t>GOOD reliability(0.804)</t>
  </si>
  <si>
    <t>GOOD reliability(0.944)</t>
  </si>
  <si>
    <t>EXPERIMENTAL value(0)</t>
  </si>
  <si>
    <t>GOOD reliability(0.801)</t>
  </si>
  <si>
    <t>LOW reliability(0.642)</t>
  </si>
  <si>
    <t>Skin Irritation (CONCERT/Kode) (version 1.0.0)</t>
    <phoneticPr fontId="1" type="noConversion"/>
  </si>
  <si>
    <t>Skin Irritation (CONCERT/Coral) (version 1.0.0)</t>
  </si>
  <si>
    <t>Skin Irritation model (CONCERT/SarPy) (version 1.0.0)</t>
  </si>
  <si>
    <t>GOOD reliability(0.961)</t>
    <phoneticPr fontId="1" type="noConversion"/>
  </si>
  <si>
    <t>MODERATE reliability(0.68)</t>
    <phoneticPr fontId="1" type="noConversion"/>
  </si>
  <si>
    <t>LOW reliability(0.65)</t>
    <phoneticPr fontId="1" type="noConversion"/>
  </si>
  <si>
    <t>EXPERIMENTAL value(1.0)</t>
    <phoneticPr fontId="1" type="noConversion"/>
  </si>
  <si>
    <t>72h</t>
  </si>
  <si>
    <t>--</t>
  </si>
  <si>
    <t>48h</t>
  </si>
  <si>
    <t>96h</t>
  </si>
  <si>
    <t>Micronucleus activity</t>
    <phoneticPr fontId="1" type="noConversion"/>
  </si>
  <si>
    <t/>
  </si>
  <si>
    <t>Developmental toxicity</t>
  </si>
  <si>
    <t>Skin sensitization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</si>
</sst>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B0C0C"/>
      <name val="Arial"/>
      <family val="2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0" xfId="0" applyAlignment="1">
      <alignment horizontal="left" vertical="center"/>
    </xf>
    <xf numFmtId="0" fontId="0" fillId="0" borderId="3" xfId="0" applyBorder="1">
      <alignment vertical="center"/>
    </xf>
    <xf numFmtId="49" fontId="0" fillId="0" borderId="0" xfId="0" quotePrefix="1" applyNumberForma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</cellXfs>
  <cellStyles count="2">
    <cellStyle name="표준" xfId="0" builtinId="0"/>
    <cellStyle name="표준 2" xfId="1" xr:uid="{3189D92F-C4F3-4C13-A8A4-E1550205D91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46020;&#54732;\Desktop\&#49888;&#44508;&#54868;&#54617;&#47932;&#51656;%20&#46021;&#49457;%20&#51221;&#48372;%20&#49373;&#49328;%20&#48169;&#50504;%20&#44160;&#53664;\&#50976;&#54644;&#49457;&#51221;&#48372;&#51312;&#49324;.xlsx" TargetMode="External"/><Relationship Id="rId1" Type="http://schemas.openxmlformats.org/officeDocument/2006/relationships/externalLinkPath" Target="/Users/&#44608;&#46020;&#54732;/Desktop/&#49888;&#44508;&#54868;&#54617;&#47932;&#51656;%20&#46021;&#49457;%20&#51221;&#48372;%20&#49373;&#49328;%20&#48169;&#50504;%20&#44160;&#53664;/&#50976;&#54644;&#49457;&#51221;&#48372;&#51312;&#4932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46020;&#54732;\Documents\&#52852;&#52852;&#50724;&#53665;%20&#48155;&#51008;%20&#54028;&#51068;\&#50976;&#54644;&#49457;&#51221;&#48372;&#51312;&#49324;_B-2%20&#49688;&#51665;.xlsx" TargetMode="External"/><Relationship Id="rId1" Type="http://schemas.openxmlformats.org/officeDocument/2006/relationships/externalLinkPath" Target="/Users/&#44608;&#46020;&#54732;/Documents/&#52852;&#52852;&#50724;&#53665;%20&#48155;&#51008;%20&#54028;&#51068;/&#50976;&#54644;&#49457;&#51221;&#48372;&#51312;&#49324;_B-2%20&#49688;&#5166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물질정보"/>
      <sheetName val="유해성정보"/>
      <sheetName val="템플릿(개별물질)"/>
      <sheetName val="우선순위"/>
      <sheetName val="실험값"/>
      <sheetName val="Sheet5"/>
      <sheetName val="Sheet6"/>
      <sheetName val="Sheet8"/>
      <sheetName val="Sheet9"/>
      <sheetName val="Sheet1"/>
    </sheetNames>
    <sheetDataSet>
      <sheetData sheetId="0">
        <row r="1">
          <cell r="B1" t="str">
            <v>내부식별자</v>
          </cell>
          <cell r="C1" t="str">
            <v>CAS</v>
          </cell>
          <cell r="D1" t="str">
            <v>물질명</v>
          </cell>
          <cell r="E1" t="str">
            <v>분자식</v>
          </cell>
          <cell r="F1" t="str">
            <v>분자량</v>
          </cell>
          <cell r="G1" t="str">
            <v>SMILES</v>
          </cell>
        </row>
        <row r="2">
          <cell r="B2" t="str">
            <v>A-1</v>
          </cell>
          <cell r="C2" t="str">
            <v>-</v>
          </cell>
          <cell r="D2" t="str">
            <v xml:space="preserve">9-(9H-Carbazol-9-yl)-7H-benzo[c]carbazole </v>
          </cell>
          <cell r="E2" t="str">
            <v>C28H18N2</v>
          </cell>
          <cell r="F2" t="str">
            <v>382.5 g/mol</v>
          </cell>
          <cell r="G2" t="str">
            <v>C1=CC=C2C(=C1)C=CC3=C2C4=C(N3)C=C(C=C4)N5C6=CC=CC=C6C7=CC=CC=C75</v>
          </cell>
        </row>
        <row r="3">
          <cell r="B3" t="str">
            <v>A-2</v>
          </cell>
          <cell r="C3" t="str">
            <v>205-25-4</v>
          </cell>
          <cell r="D3" t="str">
            <v xml:space="preserve">7H-Benzo[c]carbazole </v>
          </cell>
          <cell r="E3" t="str">
            <v>C16H11N</v>
          </cell>
          <cell r="F3" t="str">
            <v>217.26 g/mol</v>
          </cell>
          <cell r="G3" t="str">
            <v>C1=CC=C2C(=C1)C=CC3=C2C4=CC=CC=C4N3</v>
          </cell>
        </row>
        <row r="4">
          <cell r="B4" t="str">
            <v>B-1</v>
          </cell>
          <cell r="C4" t="str">
            <v>97-63-2</v>
          </cell>
          <cell r="D4" t="str">
            <v>ethyl methacrylate</v>
          </cell>
          <cell r="E4" t="str">
            <v>C6H10O2</v>
          </cell>
          <cell r="F4" t="str">
            <v>114.14 g/mol</v>
          </cell>
          <cell r="G4" t="str">
            <v>CCOC(=O)C(=C)C</v>
          </cell>
        </row>
        <row r="5">
          <cell r="B5" t="str">
            <v>B-2</v>
          </cell>
          <cell r="C5" t="str">
            <v>868-77-9</v>
          </cell>
          <cell r="D5" t="str">
            <v>2-hydroxyethyl methacrylate</v>
          </cell>
          <cell r="E5" t="str">
            <v>C6H10O3</v>
          </cell>
          <cell r="F5" t="str">
            <v>130.139 g/mol</v>
          </cell>
          <cell r="G5" t="str">
            <v>CC(=C)C(=O)OCCO</v>
          </cell>
        </row>
        <row r="6">
          <cell r="B6" t="str">
            <v>B-3</v>
          </cell>
          <cell r="C6" t="str">
            <v>97-88-1</v>
          </cell>
          <cell r="D6" t="str">
            <v>butyl methacrylate</v>
          </cell>
          <cell r="E6" t="str">
            <v>C8H14O2</v>
          </cell>
          <cell r="F6" t="str">
            <v>142.2 g/mol</v>
          </cell>
          <cell r="G6" t="str">
            <v>CCCCOC(=O)C(=C)C</v>
          </cell>
        </row>
        <row r="7">
          <cell r="B7" t="str">
            <v>B-4</v>
          </cell>
          <cell r="C7" t="str">
            <v>997-46-6</v>
          </cell>
          <cell r="D7" t="str">
            <v>4-hydroxybutyl methacrylate</v>
          </cell>
          <cell r="E7" t="str">
            <v>C8H14O3</v>
          </cell>
          <cell r="F7" t="str">
            <v>158.19 g/mol</v>
          </cell>
          <cell r="G7" t="str">
            <v>CC(=C)C(=O)OCCCCO</v>
          </cell>
        </row>
        <row r="8">
          <cell r="B8" t="str">
            <v>B-5</v>
          </cell>
          <cell r="C8" t="str">
            <v>140-88-5</v>
          </cell>
          <cell r="D8" t="str">
            <v>ethyl acrylate</v>
          </cell>
          <cell r="E8" t="str">
            <v>C5H8O2</v>
          </cell>
          <cell r="F8" t="str">
            <v>100.12 g/mol</v>
          </cell>
          <cell r="G8" t="str">
            <v>CCOC(=O)C=C</v>
          </cell>
        </row>
        <row r="9">
          <cell r="B9" t="str">
            <v>B-6</v>
          </cell>
          <cell r="C9" t="str">
            <v>818-61-1</v>
          </cell>
          <cell r="D9" t="str">
            <v>2-hydroxyethyl acrylate</v>
          </cell>
          <cell r="E9" t="str">
            <v>C5H8O3</v>
          </cell>
          <cell r="F9" t="str">
            <v>116.11 g/mol</v>
          </cell>
          <cell r="G9" t="str">
            <v>C=CC(=O)OCCO</v>
          </cell>
        </row>
        <row r="10">
          <cell r="B10" t="str">
            <v>B-7</v>
          </cell>
          <cell r="C10" t="str">
            <v>141-32-2</v>
          </cell>
          <cell r="D10" t="str">
            <v>butyl acrylate</v>
          </cell>
          <cell r="E10" t="str">
            <v>C7H12O2</v>
          </cell>
          <cell r="F10" t="str">
            <v>128.169 g/mol</v>
          </cell>
          <cell r="G10" t="str">
            <v>CCCCOC(=O)C=C</v>
          </cell>
        </row>
        <row r="11">
          <cell r="B11" t="str">
            <v>B-8</v>
          </cell>
          <cell r="C11" t="str">
            <v>2478-10-6</v>
          </cell>
          <cell r="D11" t="str">
            <v>4-hydroxybutyl acrylate</v>
          </cell>
          <cell r="E11" t="str">
            <v>C7H12O3</v>
          </cell>
          <cell r="F11" t="str">
            <v>144.17 g/mol</v>
          </cell>
          <cell r="G11" t="str">
            <v>C=CC(=O)OCCCCO</v>
          </cell>
        </row>
        <row r="12">
          <cell r="B12" t="str">
            <v>B-9</v>
          </cell>
          <cell r="C12" t="str">
            <v>2499-95-8</v>
          </cell>
          <cell r="D12" t="str">
            <v>hexyl acrylate</v>
          </cell>
          <cell r="E12" t="str">
            <v>C9H16O2</v>
          </cell>
          <cell r="F12" t="str">
            <v>156.22 g/mol</v>
          </cell>
          <cell r="G12" t="str">
            <v>CCCCCCOC(=O)C=C</v>
          </cell>
        </row>
        <row r="13">
          <cell r="B13" t="str">
            <v>B-10</v>
          </cell>
          <cell r="C13" t="str">
            <v>10095-14-4</v>
          </cell>
          <cell r="D13" t="str">
            <v>6-hydroxybutyl acrylate</v>
          </cell>
          <cell r="E13" t="str">
            <v>C9H16O3</v>
          </cell>
          <cell r="F13" t="str">
            <v>172.22 g/mol</v>
          </cell>
          <cell r="G13" t="str">
            <v>C=CC(=O)OCCCCCCO</v>
          </cell>
        </row>
        <row r="14">
          <cell r="C14"/>
          <cell r="D14"/>
        </row>
        <row r="15">
          <cell r="C15"/>
          <cell r="D15"/>
        </row>
        <row r="16">
          <cell r="C16"/>
          <cell r="D16"/>
        </row>
        <row r="17">
          <cell r="C17"/>
          <cell r="D17"/>
        </row>
        <row r="18">
          <cell r="C18"/>
          <cell r="D18"/>
        </row>
        <row r="19">
          <cell r="C19"/>
          <cell r="D19"/>
        </row>
        <row r="20">
          <cell r="C20"/>
          <cell r="D20"/>
        </row>
        <row r="21">
          <cell r="C21"/>
          <cell r="D21"/>
        </row>
        <row r="22">
          <cell r="C22"/>
          <cell r="D22"/>
        </row>
        <row r="23">
          <cell r="C23"/>
          <cell r="D23"/>
        </row>
        <row r="24">
          <cell r="C24"/>
          <cell r="D24"/>
        </row>
        <row r="25">
          <cell r="C25"/>
          <cell r="D25"/>
        </row>
        <row r="26">
          <cell r="C26"/>
          <cell r="D26"/>
        </row>
        <row r="27">
          <cell r="C27"/>
          <cell r="D27"/>
        </row>
        <row r="28">
          <cell r="C28"/>
          <cell r="D28"/>
        </row>
        <row r="29">
          <cell r="C29"/>
          <cell r="D29"/>
        </row>
        <row r="30">
          <cell r="C30"/>
          <cell r="D30"/>
        </row>
        <row r="31">
          <cell r="C31"/>
          <cell r="D31"/>
        </row>
        <row r="32">
          <cell r="C32"/>
          <cell r="D32"/>
        </row>
        <row r="33">
          <cell r="C33"/>
          <cell r="D33"/>
        </row>
        <row r="34">
          <cell r="C34"/>
          <cell r="D34"/>
        </row>
        <row r="35">
          <cell r="C35"/>
          <cell r="D35"/>
        </row>
        <row r="36">
          <cell r="C36"/>
          <cell r="D36"/>
        </row>
        <row r="37">
          <cell r="C37"/>
          <cell r="D37"/>
        </row>
        <row r="38">
          <cell r="C38"/>
          <cell r="D38"/>
        </row>
        <row r="39">
          <cell r="C39"/>
          <cell r="D39"/>
        </row>
        <row r="40">
          <cell r="C40"/>
          <cell r="D40"/>
        </row>
        <row r="41">
          <cell r="C41"/>
          <cell r="D41"/>
        </row>
        <row r="42">
          <cell r="C42"/>
          <cell r="D42"/>
        </row>
        <row r="43">
          <cell r="C43"/>
          <cell r="D43"/>
        </row>
        <row r="44">
          <cell r="C44"/>
          <cell r="D44"/>
        </row>
        <row r="45">
          <cell r="C45"/>
          <cell r="D45"/>
        </row>
        <row r="46">
          <cell r="C46"/>
          <cell r="D46"/>
        </row>
        <row r="47">
          <cell r="C47"/>
          <cell r="D47"/>
        </row>
        <row r="48">
          <cell r="C48"/>
          <cell r="D48"/>
        </row>
        <row r="49">
          <cell r="C49"/>
          <cell r="D49"/>
        </row>
        <row r="50">
          <cell r="C50"/>
          <cell r="D50"/>
        </row>
        <row r="51">
          <cell r="C51"/>
          <cell r="D51"/>
        </row>
        <row r="52">
          <cell r="C52"/>
          <cell r="D52"/>
        </row>
        <row r="53">
          <cell r="C53"/>
          <cell r="D53"/>
        </row>
        <row r="54">
          <cell r="C54"/>
          <cell r="D54"/>
        </row>
        <row r="55">
          <cell r="C55"/>
          <cell r="D55"/>
        </row>
        <row r="56">
          <cell r="C56"/>
          <cell r="D56"/>
        </row>
        <row r="57">
          <cell r="C57"/>
          <cell r="D57"/>
        </row>
        <row r="58">
          <cell r="C58"/>
          <cell r="D58"/>
        </row>
        <row r="59">
          <cell r="C59"/>
          <cell r="D59"/>
        </row>
        <row r="60">
          <cell r="C60"/>
          <cell r="D60"/>
        </row>
        <row r="61">
          <cell r="C61"/>
          <cell r="D61"/>
        </row>
        <row r="62">
          <cell r="C62"/>
          <cell r="D62"/>
        </row>
        <row r="63">
          <cell r="C63"/>
          <cell r="D63"/>
        </row>
        <row r="64">
          <cell r="C64"/>
          <cell r="D64"/>
        </row>
        <row r="65">
          <cell r="C65"/>
          <cell r="D65"/>
        </row>
        <row r="66">
          <cell r="C66"/>
          <cell r="D66"/>
        </row>
        <row r="67">
          <cell r="C67"/>
          <cell r="D67"/>
        </row>
        <row r="68">
          <cell r="C68"/>
          <cell r="D68"/>
        </row>
        <row r="69">
          <cell r="C69"/>
          <cell r="D69"/>
        </row>
        <row r="70">
          <cell r="C70"/>
          <cell r="D70"/>
        </row>
        <row r="71">
          <cell r="C71"/>
          <cell r="D71"/>
        </row>
        <row r="72">
          <cell r="C72"/>
          <cell r="D72"/>
        </row>
        <row r="73">
          <cell r="C73"/>
          <cell r="D73"/>
        </row>
        <row r="74">
          <cell r="C74"/>
          <cell r="D74"/>
        </row>
        <row r="75">
          <cell r="C75"/>
          <cell r="D75"/>
        </row>
        <row r="76">
          <cell r="C76"/>
          <cell r="D76"/>
        </row>
        <row r="77">
          <cell r="C77"/>
          <cell r="D77"/>
        </row>
        <row r="78">
          <cell r="C78"/>
          <cell r="D78"/>
        </row>
        <row r="79">
          <cell r="C79"/>
          <cell r="D79"/>
        </row>
        <row r="80">
          <cell r="C80"/>
          <cell r="D80"/>
        </row>
        <row r="81">
          <cell r="C81"/>
          <cell r="D81"/>
        </row>
        <row r="82">
          <cell r="C82"/>
          <cell r="D82"/>
        </row>
        <row r="83">
          <cell r="C83"/>
          <cell r="D83"/>
        </row>
        <row r="84">
          <cell r="C84"/>
          <cell r="D84"/>
        </row>
        <row r="85">
          <cell r="C85"/>
          <cell r="D85"/>
        </row>
        <row r="86">
          <cell r="C86"/>
          <cell r="D86"/>
        </row>
        <row r="87">
          <cell r="C87"/>
          <cell r="D87"/>
        </row>
        <row r="88">
          <cell r="C88"/>
          <cell r="D88"/>
        </row>
        <row r="89">
          <cell r="C89"/>
          <cell r="D89"/>
        </row>
        <row r="90">
          <cell r="C90"/>
          <cell r="D90"/>
        </row>
        <row r="91">
          <cell r="C91"/>
          <cell r="D91"/>
        </row>
        <row r="92">
          <cell r="C92"/>
          <cell r="D92"/>
        </row>
        <row r="93">
          <cell r="C93"/>
          <cell r="D93"/>
        </row>
        <row r="94">
          <cell r="C94"/>
          <cell r="D94"/>
        </row>
        <row r="95">
          <cell r="C95"/>
          <cell r="D95"/>
        </row>
        <row r="96">
          <cell r="C96"/>
          <cell r="D96"/>
        </row>
        <row r="97">
          <cell r="C97"/>
          <cell r="D97"/>
        </row>
        <row r="98">
          <cell r="C98"/>
          <cell r="D98"/>
        </row>
        <row r="99">
          <cell r="C99"/>
          <cell r="D99"/>
        </row>
        <row r="100">
          <cell r="C100"/>
          <cell r="D100"/>
        </row>
        <row r="101">
          <cell r="C101"/>
          <cell r="D101"/>
        </row>
        <row r="102">
          <cell r="C102"/>
          <cell r="D102"/>
        </row>
        <row r="103">
          <cell r="C103"/>
          <cell r="D103"/>
        </row>
        <row r="104">
          <cell r="C104"/>
          <cell r="D104"/>
        </row>
        <row r="105">
          <cell r="C105"/>
          <cell r="D105"/>
        </row>
        <row r="106">
          <cell r="C106"/>
          <cell r="D106"/>
        </row>
        <row r="107">
          <cell r="C107"/>
          <cell r="D107"/>
        </row>
        <row r="108">
          <cell r="C108"/>
          <cell r="D108"/>
        </row>
        <row r="109">
          <cell r="C109"/>
          <cell r="D109"/>
        </row>
        <row r="110">
          <cell r="C110"/>
          <cell r="D110"/>
        </row>
        <row r="111">
          <cell r="C111"/>
          <cell r="D111"/>
        </row>
        <row r="112">
          <cell r="C112"/>
          <cell r="D112"/>
        </row>
        <row r="113">
          <cell r="C113"/>
          <cell r="D113"/>
        </row>
        <row r="114">
          <cell r="C114"/>
          <cell r="D114"/>
        </row>
        <row r="115">
          <cell r="C115"/>
          <cell r="D115"/>
        </row>
        <row r="116">
          <cell r="C116"/>
          <cell r="D116"/>
        </row>
        <row r="117">
          <cell r="C117"/>
          <cell r="D117"/>
        </row>
        <row r="118">
          <cell r="C118"/>
          <cell r="D118"/>
        </row>
        <row r="119">
          <cell r="C119"/>
          <cell r="D119"/>
        </row>
        <row r="120">
          <cell r="C120"/>
          <cell r="D120"/>
        </row>
        <row r="121">
          <cell r="C121"/>
          <cell r="D121"/>
        </row>
        <row r="122">
          <cell r="C122"/>
          <cell r="D122"/>
        </row>
        <row r="123">
          <cell r="C123"/>
          <cell r="D123"/>
        </row>
        <row r="124">
          <cell r="C124"/>
          <cell r="D124"/>
        </row>
        <row r="125">
          <cell r="C125"/>
          <cell r="D125"/>
        </row>
        <row r="126">
          <cell r="C126"/>
          <cell r="D126"/>
        </row>
        <row r="127">
          <cell r="C127"/>
          <cell r="D127"/>
        </row>
        <row r="128">
          <cell r="C128"/>
          <cell r="D128"/>
        </row>
        <row r="129">
          <cell r="C129"/>
          <cell r="D129"/>
        </row>
        <row r="130">
          <cell r="C130"/>
          <cell r="D130"/>
        </row>
        <row r="131">
          <cell r="C131"/>
          <cell r="D131"/>
        </row>
        <row r="132">
          <cell r="C132"/>
          <cell r="D132"/>
        </row>
        <row r="133">
          <cell r="C133"/>
          <cell r="D133"/>
        </row>
        <row r="134">
          <cell r="C134"/>
          <cell r="D134"/>
        </row>
        <row r="135">
          <cell r="C135"/>
          <cell r="D135"/>
        </row>
        <row r="136">
          <cell r="C136"/>
          <cell r="D136"/>
        </row>
        <row r="137">
          <cell r="C137"/>
          <cell r="D137"/>
        </row>
        <row r="138">
          <cell r="C138"/>
          <cell r="D138"/>
        </row>
        <row r="139">
          <cell r="C139"/>
          <cell r="D139"/>
        </row>
        <row r="140">
          <cell r="C140"/>
          <cell r="D140"/>
        </row>
        <row r="141">
          <cell r="C141"/>
          <cell r="D141"/>
        </row>
        <row r="142">
          <cell r="C142"/>
          <cell r="D142"/>
        </row>
        <row r="143">
          <cell r="C143"/>
          <cell r="D143"/>
        </row>
        <row r="144">
          <cell r="C144"/>
          <cell r="D144"/>
        </row>
        <row r="145">
          <cell r="C145"/>
          <cell r="D145"/>
        </row>
        <row r="146">
          <cell r="C146"/>
          <cell r="D146"/>
        </row>
        <row r="147">
          <cell r="C147"/>
          <cell r="D147"/>
        </row>
        <row r="148">
          <cell r="C148"/>
          <cell r="D148"/>
        </row>
        <row r="149">
          <cell r="C149"/>
          <cell r="D149"/>
        </row>
        <row r="150">
          <cell r="C150"/>
          <cell r="D150"/>
        </row>
        <row r="151">
          <cell r="C151"/>
          <cell r="D151"/>
        </row>
        <row r="152">
          <cell r="C152"/>
          <cell r="D152"/>
        </row>
        <row r="153">
          <cell r="C153"/>
          <cell r="D153"/>
        </row>
        <row r="154">
          <cell r="C154"/>
          <cell r="D154"/>
        </row>
        <row r="155">
          <cell r="C155"/>
          <cell r="D155"/>
        </row>
        <row r="156">
          <cell r="C156"/>
          <cell r="D156"/>
        </row>
        <row r="157">
          <cell r="C157"/>
          <cell r="D157"/>
        </row>
        <row r="158">
          <cell r="C158"/>
          <cell r="D158"/>
        </row>
        <row r="159">
          <cell r="C159"/>
          <cell r="D159"/>
        </row>
        <row r="160">
          <cell r="C160"/>
          <cell r="D160"/>
        </row>
        <row r="161">
          <cell r="C161"/>
          <cell r="D161"/>
        </row>
        <row r="162">
          <cell r="C162"/>
          <cell r="D162"/>
        </row>
        <row r="163">
          <cell r="C163"/>
          <cell r="D163"/>
        </row>
        <row r="164">
          <cell r="C164"/>
          <cell r="D164"/>
        </row>
        <row r="165">
          <cell r="C165"/>
          <cell r="D165"/>
        </row>
        <row r="166">
          <cell r="C166"/>
          <cell r="D166"/>
        </row>
        <row r="167">
          <cell r="C167"/>
          <cell r="D167"/>
        </row>
        <row r="168">
          <cell r="C168"/>
          <cell r="D168"/>
        </row>
        <row r="169">
          <cell r="C169"/>
          <cell r="D169"/>
        </row>
        <row r="170">
          <cell r="C170"/>
          <cell r="D170"/>
        </row>
        <row r="171">
          <cell r="C171"/>
          <cell r="D171"/>
        </row>
        <row r="172">
          <cell r="C172"/>
          <cell r="D172"/>
        </row>
        <row r="173">
          <cell r="C173"/>
          <cell r="D173"/>
        </row>
        <row r="174">
          <cell r="C174"/>
          <cell r="D174"/>
        </row>
        <row r="175">
          <cell r="C175"/>
          <cell r="D175"/>
        </row>
        <row r="176">
          <cell r="C176"/>
          <cell r="D176"/>
        </row>
        <row r="177">
          <cell r="C177"/>
          <cell r="D177"/>
        </row>
        <row r="178">
          <cell r="C178"/>
          <cell r="D178"/>
        </row>
        <row r="179">
          <cell r="C179"/>
          <cell r="D179"/>
        </row>
        <row r="180">
          <cell r="C180"/>
          <cell r="D180"/>
        </row>
        <row r="181">
          <cell r="C181"/>
          <cell r="D181"/>
        </row>
        <row r="182">
          <cell r="C182"/>
          <cell r="D182"/>
        </row>
        <row r="183">
          <cell r="C183"/>
          <cell r="D183"/>
        </row>
        <row r="184">
          <cell r="C184"/>
          <cell r="D184"/>
        </row>
        <row r="185">
          <cell r="C185"/>
          <cell r="D185"/>
        </row>
        <row r="186">
          <cell r="C186"/>
          <cell r="D186"/>
        </row>
        <row r="187">
          <cell r="C187"/>
          <cell r="D187"/>
        </row>
        <row r="188">
          <cell r="C188"/>
          <cell r="D188"/>
        </row>
        <row r="189">
          <cell r="C189"/>
          <cell r="D189"/>
        </row>
        <row r="190">
          <cell r="C190"/>
          <cell r="D190"/>
        </row>
        <row r="191">
          <cell r="C191"/>
          <cell r="D191"/>
        </row>
        <row r="192">
          <cell r="C192"/>
          <cell r="D192"/>
        </row>
        <row r="193">
          <cell r="C193"/>
          <cell r="D193"/>
        </row>
        <row r="194">
          <cell r="C194"/>
          <cell r="D194"/>
        </row>
        <row r="195">
          <cell r="C195"/>
          <cell r="D195"/>
        </row>
        <row r="196">
          <cell r="C196"/>
          <cell r="D196"/>
        </row>
        <row r="197">
          <cell r="C197"/>
          <cell r="D197"/>
        </row>
        <row r="198">
          <cell r="C198"/>
          <cell r="D198"/>
        </row>
        <row r="199">
          <cell r="C199"/>
          <cell r="D199"/>
        </row>
        <row r="200">
          <cell r="C200"/>
          <cell r="D200"/>
        </row>
        <row r="201">
          <cell r="C201"/>
          <cell r="D201"/>
        </row>
        <row r="202">
          <cell r="C202"/>
          <cell r="D202"/>
        </row>
        <row r="203">
          <cell r="C203"/>
          <cell r="D203"/>
        </row>
        <row r="204">
          <cell r="C204"/>
          <cell r="D204"/>
        </row>
        <row r="205">
          <cell r="C205"/>
          <cell r="D205"/>
        </row>
        <row r="206">
          <cell r="C206"/>
          <cell r="D206"/>
        </row>
        <row r="207">
          <cell r="C207"/>
          <cell r="D207"/>
        </row>
        <row r="208">
          <cell r="C208"/>
          <cell r="D208"/>
        </row>
        <row r="209">
          <cell r="C209"/>
          <cell r="D209"/>
        </row>
        <row r="210">
          <cell r="C210"/>
          <cell r="D210"/>
        </row>
        <row r="211">
          <cell r="C211"/>
          <cell r="D211"/>
        </row>
        <row r="212">
          <cell r="C212"/>
          <cell r="D212"/>
        </row>
        <row r="213">
          <cell r="C213"/>
          <cell r="D213"/>
        </row>
        <row r="214">
          <cell r="C214"/>
          <cell r="D214"/>
        </row>
        <row r="215">
          <cell r="C215"/>
          <cell r="D215"/>
        </row>
        <row r="216">
          <cell r="C216"/>
          <cell r="D216"/>
        </row>
        <row r="217">
          <cell r="C217"/>
          <cell r="D217"/>
        </row>
        <row r="218">
          <cell r="C218"/>
          <cell r="D218"/>
        </row>
        <row r="219">
          <cell r="C219"/>
          <cell r="D219"/>
        </row>
        <row r="220">
          <cell r="C220"/>
          <cell r="D220"/>
        </row>
        <row r="221">
          <cell r="C221"/>
          <cell r="D221"/>
        </row>
        <row r="222">
          <cell r="C222"/>
          <cell r="D222"/>
        </row>
        <row r="223">
          <cell r="C223"/>
          <cell r="D223"/>
        </row>
        <row r="224">
          <cell r="C224"/>
          <cell r="D224"/>
        </row>
        <row r="225">
          <cell r="C225"/>
          <cell r="D225"/>
        </row>
        <row r="226">
          <cell r="C226"/>
          <cell r="D226"/>
        </row>
        <row r="227">
          <cell r="C227"/>
          <cell r="D227"/>
        </row>
        <row r="228">
          <cell r="C228"/>
          <cell r="D228"/>
        </row>
        <row r="229">
          <cell r="C229"/>
          <cell r="D229"/>
        </row>
        <row r="230">
          <cell r="C230"/>
          <cell r="D230"/>
        </row>
        <row r="231">
          <cell r="C231"/>
          <cell r="D231"/>
        </row>
        <row r="232">
          <cell r="C232"/>
          <cell r="D232"/>
        </row>
        <row r="233">
          <cell r="C233"/>
          <cell r="D233"/>
        </row>
        <row r="234">
          <cell r="C234"/>
          <cell r="D234"/>
        </row>
        <row r="235">
          <cell r="C235"/>
          <cell r="D235"/>
        </row>
        <row r="236">
          <cell r="C236"/>
          <cell r="D236"/>
        </row>
        <row r="237">
          <cell r="C237"/>
          <cell r="D237"/>
        </row>
        <row r="238">
          <cell r="C238"/>
          <cell r="D238"/>
        </row>
        <row r="239">
          <cell r="C239"/>
          <cell r="D239"/>
        </row>
        <row r="240">
          <cell r="C240"/>
          <cell r="D240"/>
        </row>
        <row r="241">
          <cell r="C241"/>
          <cell r="D241"/>
        </row>
        <row r="242">
          <cell r="C242"/>
          <cell r="D242"/>
        </row>
        <row r="243">
          <cell r="C243"/>
          <cell r="D243"/>
        </row>
        <row r="244">
          <cell r="C244"/>
          <cell r="D244"/>
        </row>
        <row r="245">
          <cell r="C245"/>
          <cell r="D245"/>
        </row>
        <row r="246">
          <cell r="C246"/>
          <cell r="D246"/>
        </row>
        <row r="247">
          <cell r="C247"/>
          <cell r="D247"/>
        </row>
        <row r="248">
          <cell r="C248"/>
          <cell r="D248"/>
        </row>
        <row r="249">
          <cell r="C249"/>
          <cell r="D249"/>
        </row>
        <row r="250">
          <cell r="C250"/>
          <cell r="D250"/>
        </row>
        <row r="251">
          <cell r="C251"/>
          <cell r="D251"/>
        </row>
        <row r="252">
          <cell r="C252"/>
          <cell r="D252"/>
        </row>
        <row r="253">
          <cell r="C253"/>
          <cell r="D253"/>
        </row>
        <row r="254">
          <cell r="C254"/>
          <cell r="D254"/>
        </row>
        <row r="255">
          <cell r="C255"/>
          <cell r="D255"/>
        </row>
        <row r="256">
          <cell r="C256"/>
          <cell r="D256"/>
        </row>
        <row r="257">
          <cell r="C257"/>
          <cell r="D257"/>
        </row>
        <row r="258">
          <cell r="C258"/>
          <cell r="D258"/>
        </row>
        <row r="259">
          <cell r="C259"/>
          <cell r="D259"/>
        </row>
        <row r="260">
          <cell r="C260"/>
          <cell r="D260"/>
        </row>
        <row r="261">
          <cell r="C261"/>
          <cell r="D261"/>
        </row>
        <row r="262">
          <cell r="C262"/>
          <cell r="D262"/>
        </row>
        <row r="263">
          <cell r="C263"/>
          <cell r="D263"/>
        </row>
        <row r="264">
          <cell r="C264"/>
          <cell r="D264"/>
        </row>
        <row r="265">
          <cell r="C265"/>
          <cell r="D265"/>
        </row>
        <row r="266">
          <cell r="C266"/>
          <cell r="D266"/>
        </row>
        <row r="267">
          <cell r="C267"/>
          <cell r="D267"/>
        </row>
        <row r="268">
          <cell r="C268"/>
          <cell r="D268"/>
        </row>
        <row r="269">
          <cell r="C269"/>
          <cell r="D269"/>
        </row>
        <row r="270">
          <cell r="C270"/>
          <cell r="D270"/>
        </row>
        <row r="271">
          <cell r="C271"/>
          <cell r="D271"/>
        </row>
        <row r="272">
          <cell r="C272"/>
          <cell r="D272"/>
        </row>
        <row r="273">
          <cell r="C273"/>
          <cell r="D273"/>
        </row>
        <row r="274">
          <cell r="C274"/>
          <cell r="D274"/>
        </row>
        <row r="275">
          <cell r="C275"/>
          <cell r="D275"/>
        </row>
        <row r="276">
          <cell r="C276"/>
          <cell r="D276"/>
        </row>
        <row r="277">
          <cell r="C277"/>
          <cell r="D277"/>
        </row>
        <row r="278">
          <cell r="C278"/>
          <cell r="D278"/>
        </row>
        <row r="279">
          <cell r="C279"/>
          <cell r="D279"/>
        </row>
        <row r="280">
          <cell r="C280"/>
          <cell r="D280"/>
        </row>
        <row r="281">
          <cell r="C281"/>
          <cell r="D281"/>
        </row>
        <row r="282">
          <cell r="C282"/>
          <cell r="D282"/>
        </row>
        <row r="283">
          <cell r="C283"/>
          <cell r="D283"/>
        </row>
        <row r="284">
          <cell r="C284"/>
          <cell r="D284"/>
        </row>
        <row r="285">
          <cell r="C285"/>
          <cell r="D285"/>
        </row>
        <row r="286">
          <cell r="C286"/>
          <cell r="D286"/>
        </row>
        <row r="287">
          <cell r="C287"/>
          <cell r="D287"/>
        </row>
        <row r="288">
          <cell r="C288"/>
          <cell r="D288"/>
        </row>
        <row r="289">
          <cell r="C289"/>
          <cell r="D289"/>
        </row>
        <row r="290">
          <cell r="C290"/>
          <cell r="D290"/>
        </row>
        <row r="291">
          <cell r="C291"/>
          <cell r="D291"/>
        </row>
        <row r="292">
          <cell r="C292"/>
          <cell r="D292"/>
        </row>
        <row r="293">
          <cell r="C293"/>
          <cell r="D293"/>
        </row>
        <row r="294">
          <cell r="C294"/>
          <cell r="D294"/>
        </row>
        <row r="295">
          <cell r="C295"/>
          <cell r="D295"/>
        </row>
        <row r="296">
          <cell r="C296"/>
          <cell r="D296"/>
        </row>
        <row r="297">
          <cell r="C297"/>
          <cell r="D297"/>
        </row>
        <row r="298">
          <cell r="C298"/>
          <cell r="D298"/>
        </row>
        <row r="299">
          <cell r="C299"/>
          <cell r="D299"/>
        </row>
        <row r="300">
          <cell r="C300"/>
          <cell r="D300"/>
        </row>
        <row r="301">
          <cell r="C301"/>
          <cell r="D301"/>
        </row>
        <row r="302">
          <cell r="C302"/>
          <cell r="D302"/>
        </row>
        <row r="303">
          <cell r="C303"/>
          <cell r="D303"/>
        </row>
        <row r="304">
          <cell r="C304"/>
          <cell r="D304"/>
        </row>
        <row r="305">
          <cell r="C305"/>
          <cell r="D305"/>
        </row>
        <row r="306">
          <cell r="C306"/>
          <cell r="D306"/>
        </row>
        <row r="307">
          <cell r="C307"/>
          <cell r="D307"/>
        </row>
        <row r="308">
          <cell r="C308"/>
          <cell r="D308"/>
        </row>
        <row r="309">
          <cell r="C309"/>
          <cell r="D309"/>
        </row>
        <row r="310">
          <cell r="C310"/>
          <cell r="D310"/>
        </row>
        <row r="311">
          <cell r="C311"/>
          <cell r="D311"/>
        </row>
        <row r="312">
          <cell r="C312"/>
          <cell r="D312"/>
        </row>
        <row r="313">
          <cell r="C313"/>
          <cell r="D313"/>
        </row>
        <row r="314">
          <cell r="C314"/>
          <cell r="D314"/>
        </row>
        <row r="315">
          <cell r="C315"/>
          <cell r="D315"/>
        </row>
        <row r="316">
          <cell r="C316"/>
          <cell r="D316"/>
        </row>
        <row r="317">
          <cell r="C317"/>
          <cell r="D317"/>
        </row>
        <row r="318">
          <cell r="C318"/>
          <cell r="D318"/>
        </row>
        <row r="319">
          <cell r="C319"/>
          <cell r="D319"/>
        </row>
        <row r="320">
          <cell r="C320"/>
          <cell r="D320"/>
        </row>
        <row r="321">
          <cell r="C321"/>
          <cell r="D321"/>
        </row>
        <row r="322">
          <cell r="C322"/>
          <cell r="D322"/>
        </row>
        <row r="323">
          <cell r="C323"/>
          <cell r="D323"/>
        </row>
        <row r="324">
          <cell r="C324"/>
          <cell r="D324"/>
        </row>
        <row r="325">
          <cell r="C325"/>
          <cell r="D325"/>
        </row>
        <row r="326">
          <cell r="C326"/>
          <cell r="D326"/>
        </row>
        <row r="327">
          <cell r="C327"/>
          <cell r="D327"/>
        </row>
        <row r="328">
          <cell r="C328"/>
          <cell r="D328"/>
        </row>
        <row r="329">
          <cell r="C329"/>
          <cell r="D329"/>
        </row>
        <row r="330">
          <cell r="C330"/>
          <cell r="D330"/>
        </row>
        <row r="331">
          <cell r="C331"/>
          <cell r="D331"/>
        </row>
        <row r="332">
          <cell r="C332"/>
          <cell r="D332"/>
        </row>
        <row r="333">
          <cell r="C333"/>
          <cell r="D333"/>
        </row>
        <row r="334">
          <cell r="C334"/>
          <cell r="D334"/>
        </row>
        <row r="335">
          <cell r="C335"/>
          <cell r="D335"/>
        </row>
        <row r="336">
          <cell r="C336"/>
          <cell r="D336"/>
        </row>
        <row r="337">
          <cell r="C337"/>
          <cell r="D337"/>
        </row>
        <row r="338">
          <cell r="C338"/>
          <cell r="D338"/>
        </row>
        <row r="339">
          <cell r="C339"/>
          <cell r="D339"/>
        </row>
        <row r="340">
          <cell r="C340"/>
          <cell r="D340"/>
        </row>
        <row r="341">
          <cell r="C341"/>
          <cell r="D341"/>
        </row>
        <row r="342">
          <cell r="C342"/>
          <cell r="D342"/>
        </row>
        <row r="343">
          <cell r="C343"/>
          <cell r="D343"/>
        </row>
        <row r="344">
          <cell r="C344"/>
          <cell r="D344"/>
        </row>
        <row r="345">
          <cell r="C345"/>
          <cell r="D345"/>
        </row>
        <row r="346">
          <cell r="C346"/>
          <cell r="D346"/>
        </row>
        <row r="347">
          <cell r="C347"/>
          <cell r="D347"/>
        </row>
        <row r="348">
          <cell r="C348"/>
          <cell r="D348"/>
        </row>
        <row r="349">
          <cell r="C349"/>
          <cell r="D349"/>
        </row>
        <row r="350">
          <cell r="C350"/>
          <cell r="D350"/>
        </row>
        <row r="351">
          <cell r="C351"/>
          <cell r="D351"/>
        </row>
        <row r="352">
          <cell r="C352"/>
          <cell r="D352"/>
        </row>
        <row r="353">
          <cell r="C353"/>
          <cell r="D353"/>
        </row>
        <row r="354">
          <cell r="C354"/>
          <cell r="D354"/>
        </row>
        <row r="355">
          <cell r="C355"/>
          <cell r="D355"/>
        </row>
        <row r="356">
          <cell r="C356"/>
          <cell r="D356"/>
        </row>
        <row r="357">
          <cell r="C357"/>
          <cell r="D357"/>
        </row>
        <row r="358">
          <cell r="C358"/>
          <cell r="D358"/>
        </row>
        <row r="359">
          <cell r="C359"/>
          <cell r="D359"/>
        </row>
        <row r="360">
          <cell r="C360"/>
          <cell r="D360"/>
        </row>
        <row r="361">
          <cell r="C361"/>
          <cell r="D361"/>
        </row>
        <row r="362">
          <cell r="C362"/>
          <cell r="D362"/>
        </row>
        <row r="363">
          <cell r="C363"/>
          <cell r="D363"/>
        </row>
        <row r="364">
          <cell r="C364"/>
          <cell r="D364"/>
        </row>
        <row r="365">
          <cell r="C365"/>
          <cell r="D365"/>
        </row>
        <row r="366">
          <cell r="C366"/>
          <cell r="D366"/>
        </row>
        <row r="367">
          <cell r="C367"/>
          <cell r="D367"/>
        </row>
        <row r="368">
          <cell r="C368"/>
          <cell r="D368"/>
        </row>
        <row r="369">
          <cell r="C369"/>
          <cell r="D369"/>
        </row>
        <row r="370">
          <cell r="C370"/>
          <cell r="D370"/>
        </row>
        <row r="371">
          <cell r="C371"/>
          <cell r="D371"/>
        </row>
        <row r="372">
          <cell r="C372"/>
          <cell r="D372"/>
        </row>
        <row r="373">
          <cell r="C373"/>
          <cell r="D373"/>
        </row>
        <row r="374">
          <cell r="C374"/>
          <cell r="D374"/>
        </row>
        <row r="375">
          <cell r="C375"/>
          <cell r="D375"/>
        </row>
        <row r="376">
          <cell r="C376"/>
          <cell r="D376"/>
        </row>
        <row r="377">
          <cell r="C377"/>
          <cell r="D377"/>
        </row>
        <row r="378">
          <cell r="C378"/>
          <cell r="D378"/>
        </row>
        <row r="379">
          <cell r="C379"/>
          <cell r="D379"/>
        </row>
        <row r="380">
          <cell r="C380"/>
          <cell r="D380"/>
        </row>
        <row r="381">
          <cell r="C381"/>
          <cell r="D381"/>
        </row>
        <row r="382">
          <cell r="C382"/>
          <cell r="D382"/>
        </row>
        <row r="383">
          <cell r="C383"/>
          <cell r="D383"/>
        </row>
        <row r="384">
          <cell r="C384"/>
          <cell r="D384"/>
        </row>
        <row r="385">
          <cell r="C385"/>
          <cell r="D385"/>
        </row>
        <row r="386">
          <cell r="C386"/>
          <cell r="D386"/>
        </row>
        <row r="387">
          <cell r="C387"/>
          <cell r="D387"/>
        </row>
        <row r="388">
          <cell r="C388"/>
          <cell r="D388"/>
        </row>
        <row r="389">
          <cell r="C389"/>
          <cell r="D389"/>
        </row>
        <row r="390">
          <cell r="C390"/>
          <cell r="D390"/>
        </row>
        <row r="391">
          <cell r="C391"/>
          <cell r="D391"/>
        </row>
        <row r="392">
          <cell r="C392"/>
          <cell r="D392"/>
        </row>
        <row r="393">
          <cell r="C393"/>
          <cell r="D393"/>
        </row>
        <row r="394">
          <cell r="C394"/>
          <cell r="D394"/>
        </row>
        <row r="395">
          <cell r="C395"/>
          <cell r="D395"/>
        </row>
        <row r="396">
          <cell r="C396"/>
          <cell r="D396"/>
        </row>
        <row r="397">
          <cell r="C397"/>
          <cell r="D397"/>
        </row>
        <row r="398">
          <cell r="C398"/>
          <cell r="D398"/>
        </row>
        <row r="399">
          <cell r="C399"/>
          <cell r="D399"/>
        </row>
        <row r="400">
          <cell r="C400"/>
          <cell r="D400"/>
        </row>
        <row r="401">
          <cell r="C401"/>
          <cell r="D401"/>
        </row>
        <row r="402">
          <cell r="C402"/>
          <cell r="D402"/>
        </row>
        <row r="403">
          <cell r="C403"/>
          <cell r="D403"/>
        </row>
        <row r="404">
          <cell r="C404"/>
          <cell r="D404"/>
        </row>
        <row r="405">
          <cell r="C405"/>
          <cell r="D405"/>
        </row>
        <row r="406">
          <cell r="C406"/>
          <cell r="D406"/>
        </row>
        <row r="407">
          <cell r="C407"/>
          <cell r="D407"/>
        </row>
        <row r="408">
          <cell r="C408"/>
          <cell r="D408"/>
        </row>
        <row r="409">
          <cell r="C409"/>
          <cell r="D409"/>
        </row>
        <row r="410">
          <cell r="C410"/>
          <cell r="D410"/>
        </row>
        <row r="411">
          <cell r="C411"/>
          <cell r="D411"/>
        </row>
        <row r="412">
          <cell r="C412"/>
          <cell r="D412"/>
        </row>
        <row r="413">
          <cell r="C413"/>
          <cell r="D413"/>
        </row>
        <row r="414">
          <cell r="C414"/>
          <cell r="D414"/>
        </row>
        <row r="415">
          <cell r="C415"/>
          <cell r="D415"/>
        </row>
        <row r="416">
          <cell r="C416"/>
          <cell r="D416"/>
        </row>
        <row r="417">
          <cell r="C417"/>
          <cell r="D417"/>
        </row>
        <row r="418">
          <cell r="C418"/>
          <cell r="D418"/>
        </row>
        <row r="419">
          <cell r="C419"/>
          <cell r="D419"/>
        </row>
        <row r="420">
          <cell r="C420"/>
          <cell r="D420"/>
        </row>
        <row r="421">
          <cell r="C421"/>
          <cell r="D421"/>
        </row>
        <row r="422">
          <cell r="C422"/>
          <cell r="D422"/>
        </row>
        <row r="423">
          <cell r="C423"/>
          <cell r="D423"/>
        </row>
        <row r="424">
          <cell r="C424"/>
          <cell r="D424"/>
        </row>
        <row r="425">
          <cell r="C425"/>
          <cell r="D425"/>
        </row>
        <row r="426">
          <cell r="C426"/>
          <cell r="D426"/>
        </row>
        <row r="427">
          <cell r="C427"/>
          <cell r="D427"/>
        </row>
        <row r="428">
          <cell r="C428"/>
          <cell r="D428"/>
        </row>
        <row r="429">
          <cell r="C429"/>
          <cell r="D429"/>
        </row>
        <row r="430">
          <cell r="C430"/>
          <cell r="D430"/>
        </row>
        <row r="431">
          <cell r="C431"/>
          <cell r="D431"/>
        </row>
        <row r="432">
          <cell r="C432"/>
          <cell r="D432"/>
        </row>
        <row r="433">
          <cell r="C433"/>
          <cell r="D433"/>
        </row>
        <row r="434">
          <cell r="C434"/>
          <cell r="D434"/>
        </row>
        <row r="435">
          <cell r="C435"/>
          <cell r="D435"/>
        </row>
        <row r="436">
          <cell r="C436"/>
          <cell r="D436"/>
        </row>
        <row r="437">
          <cell r="C437"/>
          <cell r="D437"/>
        </row>
        <row r="438">
          <cell r="C438"/>
          <cell r="D438"/>
        </row>
        <row r="439">
          <cell r="C439"/>
          <cell r="D439"/>
        </row>
        <row r="440">
          <cell r="C440"/>
          <cell r="D440"/>
        </row>
        <row r="441">
          <cell r="C441"/>
          <cell r="D441"/>
        </row>
        <row r="442">
          <cell r="C442"/>
          <cell r="D442"/>
        </row>
        <row r="443">
          <cell r="C443"/>
          <cell r="D443"/>
        </row>
        <row r="444">
          <cell r="C444"/>
          <cell r="D444"/>
        </row>
        <row r="445">
          <cell r="C445"/>
          <cell r="D445"/>
        </row>
        <row r="446">
          <cell r="C446"/>
          <cell r="D446"/>
        </row>
        <row r="447">
          <cell r="C447"/>
          <cell r="D447"/>
        </row>
        <row r="448">
          <cell r="C448"/>
          <cell r="D448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물질정보"/>
      <sheetName val="유해성정보"/>
      <sheetName val="템플릿(개별물질)"/>
      <sheetName val="우선순위"/>
      <sheetName val="실험값"/>
      <sheetName val="Sheet5"/>
      <sheetName val="Sheet6"/>
      <sheetName val="Sheet8"/>
      <sheetName val="Sheet9"/>
    </sheetNames>
    <sheetDataSet>
      <sheetData sheetId="0">
        <row r="1">
          <cell r="B1" t="str">
            <v>내부식별자</v>
          </cell>
          <cell r="C1" t="str">
            <v>CAS</v>
          </cell>
          <cell r="D1" t="str">
            <v>물질명</v>
          </cell>
          <cell r="E1" t="str">
            <v>분자식</v>
          </cell>
          <cell r="F1" t="str">
            <v>분자량</v>
          </cell>
          <cell r="G1" t="str">
            <v>SMILES</v>
          </cell>
        </row>
        <row r="2">
          <cell r="B2" t="str">
            <v>A-1</v>
          </cell>
          <cell r="C2" t="str">
            <v>-</v>
          </cell>
          <cell r="D2" t="str">
            <v xml:space="preserve">9-(9H-Carbazol-9-yl)-7H-benzo[c]carbazole </v>
          </cell>
          <cell r="E2" t="str">
            <v>C28H18N2</v>
          </cell>
          <cell r="F2" t="str">
            <v>382.5 g/mol</v>
          </cell>
          <cell r="G2" t="str">
            <v>C1=CC=C2C(=C1)C=CC3=C2C4=C(N3)C=C(C=C4)N5C6=CC=CC=C6C7=CC=CC=C75</v>
          </cell>
        </row>
        <row r="3">
          <cell r="B3" t="str">
            <v>A-2</v>
          </cell>
          <cell r="C3" t="str">
            <v>205-25-4</v>
          </cell>
          <cell r="D3" t="str">
            <v xml:space="preserve">7H-Benzo[c]carbazole </v>
          </cell>
          <cell r="E3" t="str">
            <v>C16H11N</v>
          </cell>
          <cell r="F3" t="str">
            <v>217.26 g/mol</v>
          </cell>
          <cell r="G3" t="str">
            <v>C1=CC=C2C(=C1)C=CC3=C2C4=CC=CC=C4N3</v>
          </cell>
        </row>
        <row r="4">
          <cell r="B4" t="str">
            <v>B-1</v>
          </cell>
          <cell r="C4" t="str">
            <v>97-63-2</v>
          </cell>
          <cell r="D4" t="str">
            <v>ethyl methacrylate</v>
          </cell>
          <cell r="E4" t="str">
            <v>C6H10O2</v>
          </cell>
          <cell r="F4" t="str">
            <v>114.14 g/mol</v>
          </cell>
          <cell r="G4" t="str">
            <v>CCOC(=O)C(=C)C</v>
          </cell>
        </row>
        <row r="5">
          <cell r="B5" t="str">
            <v>B-2</v>
          </cell>
          <cell r="C5" t="str">
            <v>868-77-9</v>
          </cell>
          <cell r="D5" t="str">
            <v>2-hydroxyethyl methacrylate</v>
          </cell>
          <cell r="E5" t="str">
            <v>C6H10O3</v>
          </cell>
          <cell r="F5" t="str">
            <v>130.139 g/mol</v>
          </cell>
          <cell r="G5" t="str">
            <v>CC(=C)C(=O)OCCO</v>
          </cell>
        </row>
        <row r="6">
          <cell r="B6" t="str">
            <v>B-3</v>
          </cell>
          <cell r="C6" t="str">
            <v>97-88-1</v>
          </cell>
          <cell r="D6" t="str">
            <v>butyl methacrylate</v>
          </cell>
          <cell r="E6" t="str">
            <v>C8H14O2</v>
          </cell>
          <cell r="F6" t="str">
            <v>142.2 g/mol</v>
          </cell>
          <cell r="G6" t="str">
            <v>CCCCOC(=O)C(=C)C</v>
          </cell>
        </row>
        <row r="7">
          <cell r="B7" t="str">
            <v>B-4</v>
          </cell>
          <cell r="C7" t="str">
            <v>997-46-6</v>
          </cell>
          <cell r="D7" t="str">
            <v>4-hydroxybutyl methacrylate</v>
          </cell>
          <cell r="E7" t="str">
            <v>C8H14O3</v>
          </cell>
          <cell r="F7" t="str">
            <v>158.19 g/mol</v>
          </cell>
          <cell r="G7" t="str">
            <v>CC(=C)C(=O)OCCCCO</v>
          </cell>
        </row>
        <row r="8">
          <cell r="B8" t="str">
            <v>B-5</v>
          </cell>
          <cell r="C8" t="str">
            <v>140-88-5</v>
          </cell>
          <cell r="D8" t="str">
            <v>ethyl acrylate</v>
          </cell>
          <cell r="E8" t="str">
            <v>C5H8O2</v>
          </cell>
          <cell r="F8" t="str">
            <v>100.12 g/mol</v>
          </cell>
          <cell r="G8" t="str">
            <v>CCOC(=O)C=C</v>
          </cell>
        </row>
        <row r="9">
          <cell r="B9" t="str">
            <v>B-6</v>
          </cell>
          <cell r="C9" t="str">
            <v>818-61-1</v>
          </cell>
          <cell r="D9" t="str">
            <v>2-hydroxyethyl acrylate</v>
          </cell>
          <cell r="E9" t="str">
            <v>C5H8O3</v>
          </cell>
          <cell r="F9" t="str">
            <v>116.11 g/mol</v>
          </cell>
          <cell r="G9" t="str">
            <v>C=CC(=O)OCCO</v>
          </cell>
        </row>
        <row r="10">
          <cell r="B10" t="str">
            <v>B-7</v>
          </cell>
          <cell r="C10" t="str">
            <v>141-32-2</v>
          </cell>
          <cell r="D10" t="str">
            <v>butyl acrylate</v>
          </cell>
          <cell r="E10" t="str">
            <v>C7H12O2</v>
          </cell>
          <cell r="F10" t="str">
            <v>128.169 g/mol</v>
          </cell>
          <cell r="G10" t="str">
            <v>CCCCOC(=O)C=C</v>
          </cell>
        </row>
        <row r="11">
          <cell r="B11" t="str">
            <v>B-8</v>
          </cell>
          <cell r="C11" t="str">
            <v>2478-10-6</v>
          </cell>
          <cell r="D11" t="str">
            <v>4-hydroxybutyl acrylate</v>
          </cell>
          <cell r="E11" t="str">
            <v>C7H12O3</v>
          </cell>
          <cell r="F11" t="str">
            <v>144.17 g/mol</v>
          </cell>
          <cell r="G11" t="str">
            <v>C=CC(=O)OCCCCO</v>
          </cell>
        </row>
        <row r="12">
          <cell r="B12" t="str">
            <v>B-9</v>
          </cell>
          <cell r="C12" t="str">
            <v>2499-95-8</v>
          </cell>
          <cell r="D12" t="str">
            <v>hexyl acrylate</v>
          </cell>
          <cell r="E12" t="str">
            <v>C9H16O2</v>
          </cell>
          <cell r="F12" t="str">
            <v>156.22 g/mol</v>
          </cell>
          <cell r="G12" t="str">
            <v>CCCCCCOC(=O)C=C</v>
          </cell>
        </row>
        <row r="13">
          <cell r="B13" t="str">
            <v>B-10</v>
          </cell>
          <cell r="C13" t="str">
            <v>10095-14-4</v>
          </cell>
          <cell r="D13" t="str">
            <v>6-hydroxybutyl acrylate</v>
          </cell>
          <cell r="E13" t="str">
            <v>C9H16O3</v>
          </cell>
          <cell r="F13" t="str">
            <v>172.22 g/mol</v>
          </cell>
          <cell r="G13" t="str">
            <v>C=CC(=O)OCCCCCCO</v>
          </cell>
        </row>
        <row r="14">
          <cell r="C14"/>
          <cell r="D14"/>
        </row>
        <row r="15">
          <cell r="C15"/>
          <cell r="D15"/>
        </row>
        <row r="16">
          <cell r="C16"/>
          <cell r="D1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EC46-E1B5-4C81-AEDE-FC1254D33AAB}">
  <dimension ref="A1:G457"/>
  <sheetViews>
    <sheetView topLeftCell="D1" workbookViewId="0">
      <selection activeCell="F12" sqref="F12"/>
    </sheetView>
  </sheetViews>
  <sheetFormatPr defaultRowHeight="16.5" x14ac:dyDescent="0.3"/>
  <cols>
    <col min="1" max="1" width="11" style="11" bestFit="1" customWidth="1"/>
    <col min="2" max="2" width="13.5" style="13" customWidth="1"/>
    <col min="3" max="3" width="42.125" style="13" bestFit="1" customWidth="1"/>
    <col min="4" max="4" width="10.5" style="11" bestFit="1" customWidth="1"/>
    <col min="5" max="5" width="14" style="11" bestFit="1" customWidth="1"/>
    <col min="6" max="6" width="83.5" style="11" bestFit="1" customWidth="1"/>
    <col min="7" max="7" width="52.875" style="11" bestFit="1" customWidth="1"/>
    <col min="8" max="16384" width="9" style="11"/>
  </cols>
  <sheetData>
    <row r="1" spans="1:7" ht="22.5" customHeight="1" x14ac:dyDescent="0.3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</row>
    <row r="2" spans="1:7" x14ac:dyDescent="0.3">
      <c r="A2" s="11" t="s">
        <v>78</v>
      </c>
      <c r="B2" s="11" t="s">
        <v>617</v>
      </c>
      <c r="C2" s="11" t="s">
        <v>618</v>
      </c>
      <c r="D2" s="11" t="s">
        <v>619</v>
      </c>
      <c r="E2" s="11" t="s">
        <v>620</v>
      </c>
      <c r="F2" s="11" t="s">
        <v>621</v>
      </c>
      <c r="G2" s="11" t="s">
        <v>688</v>
      </c>
    </row>
    <row r="3" spans="1:7" x14ac:dyDescent="0.3">
      <c r="A3" s="11" t="s">
        <v>359</v>
      </c>
      <c r="B3" s="12" t="s">
        <v>622</v>
      </c>
      <c r="C3" s="12" t="s">
        <v>623</v>
      </c>
      <c r="D3" s="11" t="s">
        <v>624</v>
      </c>
      <c r="E3" s="11" t="s">
        <v>625</v>
      </c>
      <c r="F3" s="11" t="s">
        <v>626</v>
      </c>
    </row>
    <row r="4" spans="1:7" x14ac:dyDescent="0.3">
      <c r="A4" s="11" t="s">
        <v>503</v>
      </c>
      <c r="B4" s="12" t="s">
        <v>627</v>
      </c>
      <c r="C4" s="12" t="s">
        <v>628</v>
      </c>
      <c r="D4" s="11" t="s">
        <v>629</v>
      </c>
      <c r="E4" s="11" t="s">
        <v>630</v>
      </c>
      <c r="F4" s="11" t="s">
        <v>631</v>
      </c>
    </row>
    <row r="5" spans="1:7" x14ac:dyDescent="0.3">
      <c r="A5" s="11" t="s">
        <v>365</v>
      </c>
      <c r="B5" s="12" t="s">
        <v>632</v>
      </c>
      <c r="C5" s="12" t="s">
        <v>633</v>
      </c>
      <c r="D5" s="11" t="s">
        <v>634</v>
      </c>
      <c r="E5" s="11" t="s">
        <v>635</v>
      </c>
      <c r="F5" s="11" t="s">
        <v>636</v>
      </c>
    </row>
    <row r="6" spans="1:7" x14ac:dyDescent="0.3">
      <c r="A6" s="11" t="s">
        <v>583</v>
      </c>
      <c r="B6" s="12" t="s">
        <v>637</v>
      </c>
      <c r="C6" s="12" t="s">
        <v>638</v>
      </c>
      <c r="D6" s="11" t="s">
        <v>639</v>
      </c>
      <c r="E6" s="11" t="s">
        <v>640</v>
      </c>
      <c r="F6" s="11" t="s">
        <v>641</v>
      </c>
    </row>
    <row r="7" spans="1:7" x14ac:dyDescent="0.3">
      <c r="A7" s="11" t="s">
        <v>594</v>
      </c>
      <c r="B7" s="12" t="s">
        <v>642</v>
      </c>
      <c r="C7" s="12" t="s">
        <v>643</v>
      </c>
      <c r="D7" s="11" t="s">
        <v>644</v>
      </c>
      <c r="E7" s="11" t="s">
        <v>645</v>
      </c>
      <c r="F7" s="11" t="s">
        <v>646</v>
      </c>
    </row>
    <row r="8" spans="1:7" x14ac:dyDescent="0.3">
      <c r="A8" s="11" t="s">
        <v>595</v>
      </c>
      <c r="B8" s="12" t="s">
        <v>647</v>
      </c>
      <c r="C8" s="12" t="s">
        <v>648</v>
      </c>
      <c r="D8" s="11" t="s">
        <v>649</v>
      </c>
      <c r="E8" s="11" t="s">
        <v>650</v>
      </c>
      <c r="F8" s="11" t="s">
        <v>651</v>
      </c>
    </row>
    <row r="9" spans="1:7" x14ac:dyDescent="0.3">
      <c r="A9" s="11" t="s">
        <v>652</v>
      </c>
      <c r="B9" s="12" t="s">
        <v>653</v>
      </c>
      <c r="C9" s="12" t="s">
        <v>654</v>
      </c>
      <c r="D9" s="11" t="s">
        <v>655</v>
      </c>
      <c r="E9" s="11" t="s">
        <v>656</v>
      </c>
      <c r="F9" s="11" t="s">
        <v>657</v>
      </c>
    </row>
    <row r="10" spans="1:7" x14ac:dyDescent="0.3">
      <c r="A10" s="11" t="s">
        <v>658</v>
      </c>
      <c r="B10" s="12" t="s">
        <v>659</v>
      </c>
      <c r="C10" s="12" t="s">
        <v>660</v>
      </c>
      <c r="D10" s="11" t="s">
        <v>661</v>
      </c>
      <c r="E10" s="11" t="s">
        <v>662</v>
      </c>
      <c r="F10" s="11" t="s">
        <v>663</v>
      </c>
    </row>
    <row r="11" spans="1:7" x14ac:dyDescent="0.3">
      <c r="A11" s="11" t="s">
        <v>364</v>
      </c>
      <c r="B11" s="12" t="s">
        <v>664</v>
      </c>
      <c r="C11" s="12" t="s">
        <v>665</v>
      </c>
      <c r="D11" s="11" t="s">
        <v>666</v>
      </c>
      <c r="E11" s="11" t="s">
        <v>667</v>
      </c>
      <c r="F11" s="11" t="s">
        <v>668</v>
      </c>
    </row>
    <row r="12" spans="1:7" x14ac:dyDescent="0.3">
      <c r="A12" s="11" t="s">
        <v>669</v>
      </c>
      <c r="B12" s="12" t="s">
        <v>670</v>
      </c>
      <c r="C12" s="12" t="s">
        <v>671</v>
      </c>
      <c r="D12" s="11" t="s">
        <v>672</v>
      </c>
      <c r="E12" s="11" t="s">
        <v>673</v>
      </c>
      <c r="F12" s="11" t="s">
        <v>674</v>
      </c>
    </row>
    <row r="13" spans="1:7" x14ac:dyDescent="0.3">
      <c r="A13" s="11" t="s">
        <v>675</v>
      </c>
      <c r="B13" s="12" t="s">
        <v>676</v>
      </c>
      <c r="C13" s="11" t="s">
        <v>677</v>
      </c>
      <c r="D13" s="11" t="s">
        <v>678</v>
      </c>
      <c r="E13" s="11" t="s">
        <v>679</v>
      </c>
      <c r="F13" s="11" t="s">
        <v>680</v>
      </c>
    </row>
    <row r="14" spans="1:7" x14ac:dyDescent="0.3">
      <c r="B14" s="11"/>
      <c r="C14" s="11"/>
    </row>
    <row r="15" spans="1:7" x14ac:dyDescent="0.3">
      <c r="B15" s="11"/>
      <c r="C15" s="11"/>
    </row>
    <row r="16" spans="1:7" x14ac:dyDescent="0.3">
      <c r="B16" s="11"/>
      <c r="C16" s="11"/>
    </row>
    <row r="17" s="11" customFormat="1" x14ac:dyDescent="0.3"/>
    <row r="18" s="11" customFormat="1" x14ac:dyDescent="0.3"/>
    <row r="19" s="11" customFormat="1" x14ac:dyDescent="0.3"/>
    <row r="20" s="11" customFormat="1" x14ac:dyDescent="0.3"/>
    <row r="21" s="11" customFormat="1" x14ac:dyDescent="0.3"/>
    <row r="22" s="11" customFormat="1" x14ac:dyDescent="0.3"/>
    <row r="23" s="11" customFormat="1" x14ac:dyDescent="0.3"/>
    <row r="24" s="11" customFormat="1" x14ac:dyDescent="0.3"/>
    <row r="25" s="11" customFormat="1" x14ac:dyDescent="0.3"/>
    <row r="26" s="11" customFormat="1" x14ac:dyDescent="0.3"/>
    <row r="27" s="11" customFormat="1" x14ac:dyDescent="0.3"/>
    <row r="28" s="11" customFormat="1" x14ac:dyDescent="0.3"/>
    <row r="29" s="11" customFormat="1" x14ac:dyDescent="0.3"/>
    <row r="30" s="11" customFormat="1" x14ac:dyDescent="0.3"/>
    <row r="31" s="11" customFormat="1" x14ac:dyDescent="0.3"/>
    <row r="32" s="11" customFormat="1" x14ac:dyDescent="0.3"/>
    <row r="33" s="11" customFormat="1" x14ac:dyDescent="0.3"/>
    <row r="34" s="11" customFormat="1" x14ac:dyDescent="0.3"/>
    <row r="35" s="11" customFormat="1" x14ac:dyDescent="0.3"/>
    <row r="36" s="11" customFormat="1" x14ac:dyDescent="0.3"/>
    <row r="37" s="11" customFormat="1" x14ac:dyDescent="0.3"/>
    <row r="38" s="11" customFormat="1" x14ac:dyDescent="0.3"/>
    <row r="39" s="11" customFormat="1" x14ac:dyDescent="0.3"/>
    <row r="40" s="11" customFormat="1" x14ac:dyDescent="0.3"/>
    <row r="41" s="11" customFormat="1" x14ac:dyDescent="0.3"/>
    <row r="42" s="11" customFormat="1" x14ac:dyDescent="0.3"/>
    <row r="43" s="11" customFormat="1" x14ac:dyDescent="0.3"/>
    <row r="44" s="11" customFormat="1" x14ac:dyDescent="0.3"/>
    <row r="45" s="11" customFormat="1" x14ac:dyDescent="0.3"/>
    <row r="46" s="11" customFormat="1" x14ac:dyDescent="0.3"/>
    <row r="47" s="11" customFormat="1" x14ac:dyDescent="0.3"/>
    <row r="48" s="11" customFormat="1" x14ac:dyDescent="0.3"/>
    <row r="49" s="11" customFormat="1" x14ac:dyDescent="0.3"/>
    <row r="50" s="11" customFormat="1" x14ac:dyDescent="0.3"/>
    <row r="51" s="11" customFormat="1" x14ac:dyDescent="0.3"/>
    <row r="52" s="11" customFormat="1" x14ac:dyDescent="0.3"/>
    <row r="53" s="11" customFormat="1" x14ac:dyDescent="0.3"/>
    <row r="54" s="11" customFormat="1" x14ac:dyDescent="0.3"/>
    <row r="55" s="11" customFormat="1" x14ac:dyDescent="0.3"/>
    <row r="56" s="11" customFormat="1" x14ac:dyDescent="0.3"/>
    <row r="57" s="11" customFormat="1" x14ac:dyDescent="0.3"/>
    <row r="58" s="11" customFormat="1" x14ac:dyDescent="0.3"/>
    <row r="59" s="11" customFormat="1" x14ac:dyDescent="0.3"/>
    <row r="60" s="11" customFormat="1" x14ac:dyDescent="0.3"/>
    <row r="61" s="11" customFormat="1" x14ac:dyDescent="0.3"/>
    <row r="62" s="11" customFormat="1" x14ac:dyDescent="0.3"/>
    <row r="63" s="11" customFormat="1" x14ac:dyDescent="0.3"/>
    <row r="64" s="11" customFormat="1" x14ac:dyDescent="0.3"/>
    <row r="65" s="11" customFormat="1" x14ac:dyDescent="0.3"/>
    <row r="66" s="11" customFormat="1" x14ac:dyDescent="0.3"/>
    <row r="67" s="11" customFormat="1" x14ac:dyDescent="0.3"/>
    <row r="68" s="11" customFormat="1" x14ac:dyDescent="0.3"/>
    <row r="69" s="11" customFormat="1" x14ac:dyDescent="0.3"/>
    <row r="70" s="11" customFormat="1" x14ac:dyDescent="0.3"/>
    <row r="71" s="11" customFormat="1" x14ac:dyDescent="0.3"/>
    <row r="72" s="11" customFormat="1" x14ac:dyDescent="0.3"/>
    <row r="73" s="11" customFormat="1" x14ac:dyDescent="0.3"/>
    <row r="74" s="11" customFormat="1" x14ac:dyDescent="0.3"/>
    <row r="75" s="11" customFormat="1" x14ac:dyDescent="0.3"/>
    <row r="76" s="11" customFormat="1" x14ac:dyDescent="0.3"/>
    <row r="77" s="11" customFormat="1" x14ac:dyDescent="0.3"/>
    <row r="78" s="11" customFormat="1" x14ac:dyDescent="0.3"/>
    <row r="79" s="11" customFormat="1" x14ac:dyDescent="0.3"/>
    <row r="80" s="11" customFormat="1" x14ac:dyDescent="0.3"/>
    <row r="81" s="11" customFormat="1" x14ac:dyDescent="0.3"/>
    <row r="82" s="11" customFormat="1" x14ac:dyDescent="0.3"/>
    <row r="83" s="11" customFormat="1" x14ac:dyDescent="0.3"/>
    <row r="84" s="11" customFormat="1" x14ac:dyDescent="0.3"/>
    <row r="85" s="11" customFormat="1" x14ac:dyDescent="0.3"/>
    <row r="86" s="11" customFormat="1" x14ac:dyDescent="0.3"/>
    <row r="87" s="11" customFormat="1" x14ac:dyDescent="0.3"/>
    <row r="88" s="11" customFormat="1" x14ac:dyDescent="0.3"/>
    <row r="89" s="11" customFormat="1" x14ac:dyDescent="0.3"/>
    <row r="90" s="11" customFormat="1" x14ac:dyDescent="0.3"/>
    <row r="91" s="11" customFormat="1" x14ac:dyDescent="0.3"/>
    <row r="92" s="11" customFormat="1" x14ac:dyDescent="0.3"/>
    <row r="93" s="11" customFormat="1" x14ac:dyDescent="0.3"/>
    <row r="94" s="11" customFormat="1" x14ac:dyDescent="0.3"/>
    <row r="95" s="11" customFormat="1" x14ac:dyDescent="0.3"/>
    <row r="96" s="11" customFormat="1" x14ac:dyDescent="0.3"/>
    <row r="97" s="11" customFormat="1" x14ac:dyDescent="0.3"/>
    <row r="98" s="11" customFormat="1" x14ac:dyDescent="0.3"/>
    <row r="99" s="11" customFormat="1" x14ac:dyDescent="0.3"/>
    <row r="100" s="11" customFormat="1" x14ac:dyDescent="0.3"/>
    <row r="101" s="11" customFormat="1" x14ac:dyDescent="0.3"/>
    <row r="102" s="11" customFormat="1" x14ac:dyDescent="0.3"/>
    <row r="103" s="11" customFormat="1" x14ac:dyDescent="0.3"/>
    <row r="104" s="11" customFormat="1" x14ac:dyDescent="0.3"/>
    <row r="105" s="11" customFormat="1" x14ac:dyDescent="0.3"/>
    <row r="106" s="11" customFormat="1" x14ac:dyDescent="0.3"/>
    <row r="107" s="11" customFormat="1" x14ac:dyDescent="0.3"/>
    <row r="108" s="11" customFormat="1" x14ac:dyDescent="0.3"/>
    <row r="109" s="11" customFormat="1" x14ac:dyDescent="0.3"/>
    <row r="110" s="11" customFormat="1" x14ac:dyDescent="0.3"/>
    <row r="111" s="11" customFormat="1" x14ac:dyDescent="0.3"/>
    <row r="112" s="11" customFormat="1" x14ac:dyDescent="0.3"/>
    <row r="113" s="11" customFormat="1" x14ac:dyDescent="0.3"/>
    <row r="114" s="11" customFormat="1" x14ac:dyDescent="0.3"/>
    <row r="115" s="11" customFormat="1" x14ac:dyDescent="0.3"/>
    <row r="116" s="11" customFormat="1" x14ac:dyDescent="0.3"/>
    <row r="117" s="11" customFormat="1" x14ac:dyDescent="0.3"/>
    <row r="118" s="11" customFormat="1" x14ac:dyDescent="0.3"/>
    <row r="119" s="11" customFormat="1" x14ac:dyDescent="0.3"/>
    <row r="120" s="11" customFormat="1" x14ac:dyDescent="0.3"/>
    <row r="121" s="11" customFormat="1" x14ac:dyDescent="0.3"/>
    <row r="122" s="11" customFormat="1" x14ac:dyDescent="0.3"/>
    <row r="123" s="11" customFormat="1" x14ac:dyDescent="0.3"/>
    <row r="124" s="11" customFormat="1" x14ac:dyDescent="0.3"/>
    <row r="125" s="11" customFormat="1" x14ac:dyDescent="0.3"/>
    <row r="126" s="11" customFormat="1" x14ac:dyDescent="0.3"/>
    <row r="127" s="11" customFormat="1" x14ac:dyDescent="0.3"/>
    <row r="128" s="11" customFormat="1" x14ac:dyDescent="0.3"/>
    <row r="129" s="11" customFormat="1" x14ac:dyDescent="0.3"/>
    <row r="130" s="11" customFormat="1" x14ac:dyDescent="0.3"/>
    <row r="131" s="11" customFormat="1" x14ac:dyDescent="0.3"/>
    <row r="132" s="11" customFormat="1" x14ac:dyDescent="0.3"/>
    <row r="133" s="11" customFormat="1" x14ac:dyDescent="0.3"/>
    <row r="134" s="11" customFormat="1" x14ac:dyDescent="0.3"/>
    <row r="135" s="11" customFormat="1" x14ac:dyDescent="0.3"/>
    <row r="136" s="11" customFormat="1" x14ac:dyDescent="0.3"/>
    <row r="137" s="11" customFormat="1" x14ac:dyDescent="0.3"/>
    <row r="138" s="11" customFormat="1" x14ac:dyDescent="0.3"/>
    <row r="139" s="11" customFormat="1" x14ac:dyDescent="0.3"/>
    <row r="140" s="11" customFormat="1" x14ac:dyDescent="0.3"/>
    <row r="141" s="11" customFormat="1" x14ac:dyDescent="0.3"/>
    <row r="142" s="11" customFormat="1" x14ac:dyDescent="0.3"/>
    <row r="143" s="11" customFormat="1" x14ac:dyDescent="0.3"/>
    <row r="144" s="11" customFormat="1" x14ac:dyDescent="0.3"/>
    <row r="145" s="11" customFormat="1" x14ac:dyDescent="0.3"/>
    <row r="146" s="11" customFormat="1" x14ac:dyDescent="0.3"/>
    <row r="147" s="11" customFormat="1" x14ac:dyDescent="0.3"/>
    <row r="148" s="11" customFormat="1" x14ac:dyDescent="0.3"/>
    <row r="149" s="11" customFormat="1" x14ac:dyDescent="0.3"/>
    <row r="150" s="11" customFormat="1" x14ac:dyDescent="0.3"/>
    <row r="151" s="11" customFormat="1" x14ac:dyDescent="0.3"/>
    <row r="152" s="11" customFormat="1" x14ac:dyDescent="0.3"/>
    <row r="153" s="11" customFormat="1" x14ac:dyDescent="0.3"/>
    <row r="154" s="11" customFormat="1" x14ac:dyDescent="0.3"/>
    <row r="155" s="11" customFormat="1" x14ac:dyDescent="0.3"/>
    <row r="156" s="11" customFormat="1" x14ac:dyDescent="0.3"/>
    <row r="157" s="11" customFormat="1" x14ac:dyDescent="0.3"/>
    <row r="158" s="11" customFormat="1" x14ac:dyDescent="0.3"/>
    <row r="159" s="11" customFormat="1" x14ac:dyDescent="0.3"/>
    <row r="160" s="11" customFormat="1" x14ac:dyDescent="0.3"/>
    <row r="161" s="11" customFormat="1" x14ac:dyDescent="0.3"/>
    <row r="162" s="11" customFormat="1" x14ac:dyDescent="0.3"/>
    <row r="163" s="11" customFormat="1" x14ac:dyDescent="0.3"/>
    <row r="164" s="11" customFormat="1" x14ac:dyDescent="0.3"/>
    <row r="165" s="11" customFormat="1" x14ac:dyDescent="0.3"/>
    <row r="166" s="11" customFormat="1" x14ac:dyDescent="0.3"/>
    <row r="167" s="11" customFormat="1" x14ac:dyDescent="0.3"/>
    <row r="168" s="11" customFormat="1" x14ac:dyDescent="0.3"/>
    <row r="169" s="11" customFormat="1" x14ac:dyDescent="0.3"/>
    <row r="170" s="11" customFormat="1" x14ac:dyDescent="0.3"/>
    <row r="171" s="11" customFormat="1" x14ac:dyDescent="0.3"/>
    <row r="172" s="11" customFormat="1" x14ac:dyDescent="0.3"/>
    <row r="173" s="11" customFormat="1" x14ac:dyDescent="0.3"/>
    <row r="174" s="11" customFormat="1" x14ac:dyDescent="0.3"/>
    <row r="175" s="11" customFormat="1" x14ac:dyDescent="0.3"/>
    <row r="176" s="11" customFormat="1" x14ac:dyDescent="0.3"/>
    <row r="177" s="11" customFormat="1" x14ac:dyDescent="0.3"/>
    <row r="178" s="11" customFormat="1" x14ac:dyDescent="0.3"/>
    <row r="179" s="11" customFormat="1" x14ac:dyDescent="0.3"/>
    <row r="180" s="11" customFormat="1" x14ac:dyDescent="0.3"/>
    <row r="181" s="11" customFormat="1" x14ac:dyDescent="0.3"/>
    <row r="182" s="11" customFormat="1" x14ac:dyDescent="0.3"/>
    <row r="183" s="11" customFormat="1" x14ac:dyDescent="0.3"/>
    <row r="184" s="11" customFormat="1" x14ac:dyDescent="0.3"/>
    <row r="185" s="11" customFormat="1" x14ac:dyDescent="0.3"/>
    <row r="186" s="11" customFormat="1" x14ac:dyDescent="0.3"/>
    <row r="187" s="11" customFormat="1" x14ac:dyDescent="0.3"/>
    <row r="188" s="11" customFormat="1" x14ac:dyDescent="0.3"/>
    <row r="189" s="11" customFormat="1" x14ac:dyDescent="0.3"/>
    <row r="190" s="11" customFormat="1" x14ac:dyDescent="0.3"/>
    <row r="191" s="11" customFormat="1" x14ac:dyDescent="0.3"/>
    <row r="192" s="11" customFormat="1" x14ac:dyDescent="0.3"/>
    <row r="193" s="11" customFormat="1" x14ac:dyDescent="0.3"/>
    <row r="194" s="11" customFormat="1" x14ac:dyDescent="0.3"/>
    <row r="195" s="11" customFormat="1" x14ac:dyDescent="0.3"/>
    <row r="196" s="11" customFormat="1" x14ac:dyDescent="0.3"/>
    <row r="197" s="11" customFormat="1" x14ac:dyDescent="0.3"/>
    <row r="198" s="11" customFormat="1" x14ac:dyDescent="0.3"/>
    <row r="199" s="11" customFormat="1" x14ac:dyDescent="0.3"/>
    <row r="200" s="11" customFormat="1" x14ac:dyDescent="0.3"/>
    <row r="201" s="11" customFormat="1" x14ac:dyDescent="0.3"/>
    <row r="202" s="11" customFormat="1" x14ac:dyDescent="0.3"/>
    <row r="203" s="11" customFormat="1" x14ac:dyDescent="0.3"/>
    <row r="204" s="11" customFormat="1" x14ac:dyDescent="0.3"/>
    <row r="205" s="11" customFormat="1" x14ac:dyDescent="0.3"/>
    <row r="206" s="11" customFormat="1" x14ac:dyDescent="0.3"/>
    <row r="207" s="11" customFormat="1" x14ac:dyDescent="0.3"/>
    <row r="208" s="11" customFormat="1" x14ac:dyDescent="0.3"/>
    <row r="209" s="11" customFormat="1" x14ac:dyDescent="0.3"/>
    <row r="210" s="11" customFormat="1" x14ac:dyDescent="0.3"/>
    <row r="211" s="11" customFormat="1" x14ac:dyDescent="0.3"/>
    <row r="212" s="11" customFormat="1" x14ac:dyDescent="0.3"/>
    <row r="213" s="11" customFormat="1" x14ac:dyDescent="0.3"/>
    <row r="214" s="11" customFormat="1" x14ac:dyDescent="0.3"/>
    <row r="215" s="11" customFormat="1" x14ac:dyDescent="0.3"/>
    <row r="216" s="11" customFormat="1" x14ac:dyDescent="0.3"/>
    <row r="217" s="11" customFormat="1" x14ac:dyDescent="0.3"/>
    <row r="218" s="11" customFormat="1" x14ac:dyDescent="0.3"/>
    <row r="219" s="11" customFormat="1" x14ac:dyDescent="0.3"/>
    <row r="220" s="11" customFormat="1" x14ac:dyDescent="0.3"/>
    <row r="221" s="11" customFormat="1" x14ac:dyDescent="0.3"/>
    <row r="222" s="11" customFormat="1" x14ac:dyDescent="0.3"/>
    <row r="223" s="11" customFormat="1" x14ac:dyDescent="0.3"/>
    <row r="224" s="11" customFormat="1" x14ac:dyDescent="0.3"/>
    <row r="225" s="11" customFormat="1" x14ac:dyDescent="0.3"/>
    <row r="226" s="11" customFormat="1" x14ac:dyDescent="0.3"/>
    <row r="227" s="11" customFormat="1" x14ac:dyDescent="0.3"/>
    <row r="228" s="11" customFormat="1" x14ac:dyDescent="0.3"/>
    <row r="229" s="11" customFormat="1" x14ac:dyDescent="0.3"/>
    <row r="230" s="11" customFormat="1" x14ac:dyDescent="0.3"/>
    <row r="231" s="11" customFormat="1" x14ac:dyDescent="0.3"/>
    <row r="232" s="11" customFormat="1" x14ac:dyDescent="0.3"/>
    <row r="233" s="11" customFormat="1" x14ac:dyDescent="0.3"/>
    <row r="234" s="11" customFormat="1" x14ac:dyDescent="0.3"/>
    <row r="235" s="11" customFormat="1" x14ac:dyDescent="0.3"/>
    <row r="236" s="11" customFormat="1" x14ac:dyDescent="0.3"/>
    <row r="237" s="11" customFormat="1" x14ac:dyDescent="0.3"/>
    <row r="238" s="11" customFormat="1" x14ac:dyDescent="0.3"/>
    <row r="239" s="11" customFormat="1" x14ac:dyDescent="0.3"/>
    <row r="240" s="11" customFormat="1" x14ac:dyDescent="0.3"/>
    <row r="241" s="11" customFormat="1" x14ac:dyDescent="0.3"/>
    <row r="242" s="11" customFormat="1" x14ac:dyDescent="0.3"/>
    <row r="243" s="11" customFormat="1" x14ac:dyDescent="0.3"/>
    <row r="244" s="11" customFormat="1" x14ac:dyDescent="0.3"/>
    <row r="245" s="11" customFormat="1" x14ac:dyDescent="0.3"/>
    <row r="246" s="11" customFormat="1" x14ac:dyDescent="0.3"/>
    <row r="247" s="11" customFormat="1" x14ac:dyDescent="0.3"/>
    <row r="248" s="11" customFormat="1" x14ac:dyDescent="0.3"/>
    <row r="249" s="11" customFormat="1" x14ac:dyDescent="0.3"/>
    <row r="250" s="11" customFormat="1" x14ac:dyDescent="0.3"/>
    <row r="251" s="11" customFormat="1" x14ac:dyDescent="0.3"/>
    <row r="252" s="11" customFormat="1" x14ac:dyDescent="0.3"/>
    <row r="253" s="11" customFormat="1" x14ac:dyDescent="0.3"/>
    <row r="254" s="11" customFormat="1" x14ac:dyDescent="0.3"/>
    <row r="255" s="11" customFormat="1" x14ac:dyDescent="0.3"/>
    <row r="256" s="11" customFormat="1" x14ac:dyDescent="0.3"/>
    <row r="257" s="11" customFormat="1" x14ac:dyDescent="0.3"/>
    <row r="258" s="11" customFormat="1" x14ac:dyDescent="0.3"/>
    <row r="259" s="11" customFormat="1" x14ac:dyDescent="0.3"/>
    <row r="260" s="11" customFormat="1" x14ac:dyDescent="0.3"/>
    <row r="261" s="11" customFormat="1" x14ac:dyDescent="0.3"/>
    <row r="262" s="11" customFormat="1" x14ac:dyDescent="0.3"/>
    <row r="263" s="11" customFormat="1" x14ac:dyDescent="0.3"/>
    <row r="264" s="11" customFormat="1" x14ac:dyDescent="0.3"/>
    <row r="265" s="11" customFormat="1" x14ac:dyDescent="0.3"/>
    <row r="266" s="11" customFormat="1" x14ac:dyDescent="0.3"/>
    <row r="267" s="11" customFormat="1" x14ac:dyDescent="0.3"/>
    <row r="268" s="11" customFormat="1" x14ac:dyDescent="0.3"/>
    <row r="269" s="11" customFormat="1" x14ac:dyDescent="0.3"/>
    <row r="270" s="11" customFormat="1" x14ac:dyDescent="0.3"/>
    <row r="271" s="11" customFormat="1" x14ac:dyDescent="0.3"/>
    <row r="272" s="11" customFormat="1" x14ac:dyDescent="0.3"/>
    <row r="273" s="11" customFormat="1" x14ac:dyDescent="0.3"/>
    <row r="274" s="11" customFormat="1" x14ac:dyDescent="0.3"/>
    <row r="275" s="11" customFormat="1" x14ac:dyDescent="0.3"/>
    <row r="276" s="11" customFormat="1" x14ac:dyDescent="0.3"/>
    <row r="277" s="11" customFormat="1" x14ac:dyDescent="0.3"/>
    <row r="278" s="11" customFormat="1" x14ac:dyDescent="0.3"/>
    <row r="279" s="11" customFormat="1" x14ac:dyDescent="0.3"/>
    <row r="280" s="11" customFormat="1" x14ac:dyDescent="0.3"/>
    <row r="281" s="11" customFormat="1" x14ac:dyDescent="0.3"/>
    <row r="282" s="11" customFormat="1" x14ac:dyDescent="0.3"/>
    <row r="283" s="11" customFormat="1" x14ac:dyDescent="0.3"/>
    <row r="284" s="11" customFormat="1" x14ac:dyDescent="0.3"/>
    <row r="285" s="11" customFormat="1" x14ac:dyDescent="0.3"/>
    <row r="286" s="11" customFormat="1" x14ac:dyDescent="0.3"/>
    <row r="287" s="11" customFormat="1" x14ac:dyDescent="0.3"/>
    <row r="288" s="11" customFormat="1" x14ac:dyDescent="0.3"/>
    <row r="289" s="11" customFormat="1" x14ac:dyDescent="0.3"/>
    <row r="290" s="11" customFormat="1" x14ac:dyDescent="0.3"/>
    <row r="291" s="11" customFormat="1" x14ac:dyDescent="0.3"/>
    <row r="292" s="11" customFormat="1" x14ac:dyDescent="0.3"/>
    <row r="293" s="11" customFormat="1" x14ac:dyDescent="0.3"/>
    <row r="294" s="11" customFormat="1" x14ac:dyDescent="0.3"/>
    <row r="295" s="11" customFormat="1" x14ac:dyDescent="0.3"/>
    <row r="296" s="11" customFormat="1" x14ac:dyDescent="0.3"/>
    <row r="297" s="11" customFormat="1" x14ac:dyDescent="0.3"/>
    <row r="298" s="11" customFormat="1" x14ac:dyDescent="0.3"/>
    <row r="299" s="11" customFormat="1" x14ac:dyDescent="0.3"/>
    <row r="300" s="11" customFormat="1" x14ac:dyDescent="0.3"/>
    <row r="301" s="11" customFormat="1" x14ac:dyDescent="0.3"/>
    <row r="302" s="11" customFormat="1" x14ac:dyDescent="0.3"/>
    <row r="303" s="11" customFormat="1" x14ac:dyDescent="0.3"/>
    <row r="304" s="11" customFormat="1" x14ac:dyDescent="0.3"/>
    <row r="305" s="11" customFormat="1" x14ac:dyDescent="0.3"/>
    <row r="306" s="11" customFormat="1" x14ac:dyDescent="0.3"/>
    <row r="307" s="11" customFormat="1" x14ac:dyDescent="0.3"/>
    <row r="308" s="11" customFormat="1" x14ac:dyDescent="0.3"/>
    <row r="309" s="11" customFormat="1" x14ac:dyDescent="0.3"/>
    <row r="310" s="11" customFormat="1" x14ac:dyDescent="0.3"/>
    <row r="311" s="11" customFormat="1" x14ac:dyDescent="0.3"/>
    <row r="312" s="11" customFormat="1" x14ac:dyDescent="0.3"/>
    <row r="313" s="11" customFormat="1" x14ac:dyDescent="0.3"/>
    <row r="314" s="11" customFormat="1" x14ac:dyDescent="0.3"/>
    <row r="315" s="11" customFormat="1" x14ac:dyDescent="0.3"/>
    <row r="316" s="11" customFormat="1" x14ac:dyDescent="0.3"/>
    <row r="317" s="11" customFormat="1" x14ac:dyDescent="0.3"/>
    <row r="318" s="11" customFormat="1" x14ac:dyDescent="0.3"/>
    <row r="319" s="11" customFormat="1" x14ac:dyDescent="0.3"/>
    <row r="320" s="11" customFormat="1" x14ac:dyDescent="0.3"/>
    <row r="321" s="11" customFormat="1" x14ac:dyDescent="0.3"/>
    <row r="322" s="11" customFormat="1" x14ac:dyDescent="0.3"/>
    <row r="323" s="11" customFormat="1" x14ac:dyDescent="0.3"/>
    <row r="324" s="11" customFormat="1" x14ac:dyDescent="0.3"/>
    <row r="325" s="11" customFormat="1" x14ac:dyDescent="0.3"/>
    <row r="326" s="11" customFormat="1" x14ac:dyDescent="0.3"/>
    <row r="327" s="11" customFormat="1" x14ac:dyDescent="0.3"/>
    <row r="328" s="11" customFormat="1" x14ac:dyDescent="0.3"/>
    <row r="329" s="11" customFormat="1" x14ac:dyDescent="0.3"/>
    <row r="330" s="11" customFormat="1" x14ac:dyDescent="0.3"/>
    <row r="331" s="11" customFormat="1" x14ac:dyDescent="0.3"/>
    <row r="332" s="11" customFormat="1" x14ac:dyDescent="0.3"/>
    <row r="333" s="11" customFormat="1" x14ac:dyDescent="0.3"/>
    <row r="334" s="11" customFormat="1" x14ac:dyDescent="0.3"/>
    <row r="335" s="11" customFormat="1" x14ac:dyDescent="0.3"/>
    <row r="336" s="11" customFormat="1" x14ac:dyDescent="0.3"/>
    <row r="337" s="11" customFormat="1" x14ac:dyDescent="0.3"/>
    <row r="338" s="11" customFormat="1" x14ac:dyDescent="0.3"/>
    <row r="339" s="11" customFormat="1" x14ac:dyDescent="0.3"/>
    <row r="340" s="11" customFormat="1" x14ac:dyDescent="0.3"/>
    <row r="341" s="11" customFormat="1" x14ac:dyDescent="0.3"/>
    <row r="342" s="11" customFormat="1" x14ac:dyDescent="0.3"/>
    <row r="343" s="11" customFormat="1" x14ac:dyDescent="0.3"/>
    <row r="344" s="11" customFormat="1" x14ac:dyDescent="0.3"/>
    <row r="345" s="11" customFormat="1" x14ac:dyDescent="0.3"/>
    <row r="346" s="11" customFormat="1" x14ac:dyDescent="0.3"/>
    <row r="347" s="11" customFormat="1" x14ac:dyDescent="0.3"/>
    <row r="348" s="11" customFormat="1" x14ac:dyDescent="0.3"/>
    <row r="349" s="11" customFormat="1" x14ac:dyDescent="0.3"/>
    <row r="350" s="11" customFormat="1" x14ac:dyDescent="0.3"/>
    <row r="351" s="11" customFormat="1" x14ac:dyDescent="0.3"/>
    <row r="352" s="11" customFormat="1" x14ac:dyDescent="0.3"/>
    <row r="353" s="11" customFormat="1" x14ac:dyDescent="0.3"/>
    <row r="354" s="11" customFormat="1" x14ac:dyDescent="0.3"/>
    <row r="355" s="11" customFormat="1" x14ac:dyDescent="0.3"/>
    <row r="356" s="11" customFormat="1" x14ac:dyDescent="0.3"/>
    <row r="357" s="11" customFormat="1" x14ac:dyDescent="0.3"/>
    <row r="358" s="11" customFormat="1" x14ac:dyDescent="0.3"/>
    <row r="359" s="11" customFormat="1" x14ac:dyDescent="0.3"/>
    <row r="360" s="11" customFormat="1" x14ac:dyDescent="0.3"/>
    <row r="361" s="11" customFormat="1" x14ac:dyDescent="0.3"/>
    <row r="362" s="11" customFormat="1" x14ac:dyDescent="0.3"/>
    <row r="363" s="11" customFormat="1" x14ac:dyDescent="0.3"/>
    <row r="364" s="11" customFormat="1" x14ac:dyDescent="0.3"/>
    <row r="365" s="11" customFormat="1" x14ac:dyDescent="0.3"/>
    <row r="366" s="11" customFormat="1" x14ac:dyDescent="0.3"/>
    <row r="367" s="11" customFormat="1" x14ac:dyDescent="0.3"/>
    <row r="368" s="11" customFormat="1" x14ac:dyDescent="0.3"/>
    <row r="369" s="11" customFormat="1" x14ac:dyDescent="0.3"/>
    <row r="370" s="11" customFormat="1" x14ac:dyDescent="0.3"/>
    <row r="371" s="11" customFormat="1" x14ac:dyDescent="0.3"/>
    <row r="372" s="11" customFormat="1" x14ac:dyDescent="0.3"/>
    <row r="373" s="11" customFormat="1" x14ac:dyDescent="0.3"/>
    <row r="374" s="11" customFormat="1" x14ac:dyDescent="0.3"/>
    <row r="375" s="11" customFormat="1" x14ac:dyDescent="0.3"/>
    <row r="376" s="11" customFormat="1" x14ac:dyDescent="0.3"/>
    <row r="377" s="11" customFormat="1" x14ac:dyDescent="0.3"/>
    <row r="378" s="11" customFormat="1" x14ac:dyDescent="0.3"/>
    <row r="379" s="11" customFormat="1" x14ac:dyDescent="0.3"/>
    <row r="380" s="11" customFormat="1" x14ac:dyDescent="0.3"/>
    <row r="381" s="11" customFormat="1" x14ac:dyDescent="0.3"/>
    <row r="382" s="11" customFormat="1" x14ac:dyDescent="0.3"/>
    <row r="383" s="11" customFormat="1" x14ac:dyDescent="0.3"/>
    <row r="384" s="11" customFormat="1" x14ac:dyDescent="0.3"/>
    <row r="385" s="11" customFormat="1" x14ac:dyDescent="0.3"/>
    <row r="386" s="11" customFormat="1" x14ac:dyDescent="0.3"/>
    <row r="387" s="11" customFormat="1" x14ac:dyDescent="0.3"/>
    <row r="388" s="11" customFormat="1" x14ac:dyDescent="0.3"/>
    <row r="389" s="11" customFormat="1" x14ac:dyDescent="0.3"/>
    <row r="390" s="11" customFormat="1" x14ac:dyDescent="0.3"/>
    <row r="391" s="11" customFormat="1" x14ac:dyDescent="0.3"/>
    <row r="392" s="11" customFormat="1" x14ac:dyDescent="0.3"/>
    <row r="393" s="11" customFormat="1" x14ac:dyDescent="0.3"/>
    <row r="394" s="11" customFormat="1" x14ac:dyDescent="0.3"/>
    <row r="395" s="11" customFormat="1" x14ac:dyDescent="0.3"/>
    <row r="396" s="11" customFormat="1" x14ac:dyDescent="0.3"/>
    <row r="397" s="11" customFormat="1" x14ac:dyDescent="0.3"/>
    <row r="398" s="11" customFormat="1" x14ac:dyDescent="0.3"/>
    <row r="399" s="11" customFormat="1" x14ac:dyDescent="0.3"/>
    <row r="400" s="11" customFormat="1" x14ac:dyDescent="0.3"/>
    <row r="401" s="11" customFormat="1" x14ac:dyDescent="0.3"/>
    <row r="402" s="11" customFormat="1" x14ac:dyDescent="0.3"/>
    <row r="403" s="11" customFormat="1" x14ac:dyDescent="0.3"/>
    <row r="404" s="11" customFormat="1" x14ac:dyDescent="0.3"/>
    <row r="405" s="11" customFormat="1" x14ac:dyDescent="0.3"/>
    <row r="406" s="11" customFormat="1" x14ac:dyDescent="0.3"/>
    <row r="407" s="11" customFormat="1" x14ac:dyDescent="0.3"/>
    <row r="408" s="11" customFormat="1" x14ac:dyDescent="0.3"/>
    <row r="409" s="11" customFormat="1" x14ac:dyDescent="0.3"/>
    <row r="410" s="11" customFormat="1" x14ac:dyDescent="0.3"/>
    <row r="411" s="11" customFormat="1" x14ac:dyDescent="0.3"/>
    <row r="412" s="11" customFormat="1" x14ac:dyDescent="0.3"/>
    <row r="413" s="11" customFormat="1" x14ac:dyDescent="0.3"/>
    <row r="414" s="11" customFormat="1" x14ac:dyDescent="0.3"/>
    <row r="415" s="11" customFormat="1" x14ac:dyDescent="0.3"/>
    <row r="416" s="11" customFormat="1" x14ac:dyDescent="0.3"/>
    <row r="417" s="11" customFormat="1" x14ac:dyDescent="0.3"/>
    <row r="418" s="11" customFormat="1" x14ac:dyDescent="0.3"/>
    <row r="419" s="11" customFormat="1" x14ac:dyDescent="0.3"/>
    <row r="420" s="11" customFormat="1" x14ac:dyDescent="0.3"/>
    <row r="421" s="11" customFormat="1" x14ac:dyDescent="0.3"/>
    <row r="422" s="11" customFormat="1" x14ac:dyDescent="0.3"/>
    <row r="423" s="11" customFormat="1" x14ac:dyDescent="0.3"/>
    <row r="424" s="11" customFormat="1" x14ac:dyDescent="0.3"/>
    <row r="425" s="11" customFormat="1" x14ac:dyDescent="0.3"/>
    <row r="426" s="11" customFormat="1" x14ac:dyDescent="0.3"/>
    <row r="427" s="11" customFormat="1" x14ac:dyDescent="0.3"/>
    <row r="428" s="11" customFormat="1" x14ac:dyDescent="0.3"/>
    <row r="429" s="11" customFormat="1" x14ac:dyDescent="0.3"/>
    <row r="430" s="11" customFormat="1" x14ac:dyDescent="0.3"/>
    <row r="431" s="11" customFormat="1" x14ac:dyDescent="0.3"/>
    <row r="432" s="11" customFormat="1" x14ac:dyDescent="0.3"/>
    <row r="433" s="11" customFormat="1" x14ac:dyDescent="0.3"/>
    <row r="434" s="11" customFormat="1" x14ac:dyDescent="0.3"/>
    <row r="435" s="11" customFormat="1" x14ac:dyDescent="0.3"/>
    <row r="436" s="11" customFormat="1" x14ac:dyDescent="0.3"/>
    <row r="437" s="11" customFormat="1" x14ac:dyDescent="0.3"/>
    <row r="438" s="11" customFormat="1" x14ac:dyDescent="0.3"/>
    <row r="439" s="11" customFormat="1" x14ac:dyDescent="0.3"/>
    <row r="440" s="11" customFormat="1" x14ac:dyDescent="0.3"/>
    <row r="441" s="11" customFormat="1" x14ac:dyDescent="0.3"/>
    <row r="442" s="11" customFormat="1" x14ac:dyDescent="0.3"/>
    <row r="443" s="11" customFormat="1" x14ac:dyDescent="0.3"/>
    <row r="444" s="11" customFormat="1" x14ac:dyDescent="0.3"/>
    <row r="445" s="11" customFormat="1" x14ac:dyDescent="0.3"/>
    <row r="446" s="11" customFormat="1" x14ac:dyDescent="0.3"/>
    <row r="447" s="11" customFormat="1" x14ac:dyDescent="0.3"/>
    <row r="448" s="11" customFormat="1" x14ac:dyDescent="0.3"/>
    <row r="449" s="11" customFormat="1" x14ac:dyDescent="0.3"/>
    <row r="450" s="11" customFormat="1" x14ac:dyDescent="0.3"/>
    <row r="451" s="11" customFormat="1" x14ac:dyDescent="0.3"/>
    <row r="452" s="11" customFormat="1" x14ac:dyDescent="0.3"/>
    <row r="453" s="11" customFormat="1" x14ac:dyDescent="0.3"/>
    <row r="454" s="11" customFormat="1" x14ac:dyDescent="0.3"/>
    <row r="455" s="11" customFormat="1" x14ac:dyDescent="0.3"/>
    <row r="456" s="11" customFormat="1" x14ac:dyDescent="0.3"/>
    <row r="457" s="11" customFormat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F862-0FD4-4618-90DA-4B60F1934EF4}">
  <dimension ref="A1:Y1878"/>
  <sheetViews>
    <sheetView tabSelected="1" topLeftCell="G1" zoomScale="70" zoomScaleNormal="70" workbookViewId="0">
      <pane ySplit="1" topLeftCell="A293" activePane="bottomLeft" state="frozen"/>
      <selection pane="bottomLeft" activeCell="J304" sqref="J304"/>
    </sheetView>
  </sheetViews>
  <sheetFormatPr defaultRowHeight="16.5" x14ac:dyDescent="0.3"/>
  <cols>
    <col min="2" max="2" width="11" style="5" bestFit="1" customWidth="1"/>
    <col min="3" max="3" width="13.5" style="10" customWidth="1"/>
    <col min="9" max="9" width="35.875" bestFit="1" customWidth="1"/>
    <col min="10" max="10" width="35" bestFit="1" customWidth="1"/>
    <col min="11" max="11" width="32.125" bestFit="1" customWidth="1"/>
    <col min="17" max="17" width="13.5" bestFit="1" customWidth="1"/>
    <col min="18" max="18" width="13" bestFit="1" customWidth="1"/>
    <col min="20" max="20" width="14.125" bestFit="1" customWidth="1"/>
    <col min="21" max="21" width="17.25" bestFit="1" customWidth="1"/>
    <col min="22" max="22" width="21.375" style="6" bestFit="1" customWidth="1"/>
    <col min="23" max="23" width="18.875" bestFit="1" customWidth="1"/>
    <col min="24" max="24" width="16.875" bestFit="1" customWidth="1"/>
    <col min="25" max="25" width="35" style="6" bestFit="1" customWidth="1"/>
  </cols>
  <sheetData>
    <row r="1" spans="1:25" ht="17.25" thickBo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4" t="s">
        <v>24</v>
      </c>
    </row>
    <row r="2" spans="1:25" x14ac:dyDescent="0.3">
      <c r="B2" s="5" t="s">
        <v>25</v>
      </c>
      <c r="C2" s="5" t="str">
        <f>VLOOKUP(B2,[1]물질정보!B:C,2,0)</f>
        <v>97-88-1</v>
      </c>
      <c r="D2" t="str">
        <f>VLOOKUP(B2,[1]물질정보!B:D,3,0)</f>
        <v>butyl methacrylate</v>
      </c>
      <c r="E2" t="str">
        <f>VLOOKUP(B2,[1]물질정보!B:E,4,0)</f>
        <v>C8H14O2</v>
      </c>
      <c r="F2" t="str">
        <f>VLOOKUP(B2,[1]물질정보!B:F,5,0)</f>
        <v>142.2 g/mol</v>
      </c>
      <c r="G2" s="5" t="str">
        <f>VLOOKUP(B2,[1]물질정보!B:G,6,0)</f>
        <v>CCCCOC(=O)C(=C)C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29</v>
      </c>
      <c r="O2" t="s">
        <v>29</v>
      </c>
      <c r="P2">
        <v>96</v>
      </c>
      <c r="Q2" t="s">
        <v>31</v>
      </c>
      <c r="R2" t="s">
        <v>32</v>
      </c>
      <c r="S2" t="s">
        <v>29</v>
      </c>
      <c r="T2" t="s">
        <v>33</v>
      </c>
      <c r="U2" t="s">
        <v>34</v>
      </c>
      <c r="V2" s="6" t="s">
        <v>35</v>
      </c>
      <c r="W2" t="s">
        <v>36</v>
      </c>
      <c r="X2" t="s">
        <v>37</v>
      </c>
      <c r="Y2" s="6" t="s">
        <v>28</v>
      </c>
    </row>
    <row r="3" spans="1:25" x14ac:dyDescent="0.3">
      <c r="B3" s="5" t="s">
        <v>25</v>
      </c>
      <c r="C3" s="5" t="str">
        <f>VLOOKUP(B3,[1]물질정보!B:C,2,0)</f>
        <v>97-88-1</v>
      </c>
      <c r="D3" t="str">
        <f>VLOOKUP(B3,[1]물질정보!B:D,3,0)</f>
        <v>butyl methacrylate</v>
      </c>
      <c r="E3" t="str">
        <f>VLOOKUP(B3,[1]물질정보!B:E,4,0)</f>
        <v>C8H14O2</v>
      </c>
      <c r="F3" t="str">
        <f>VLOOKUP(B3,[1]물질정보!B:F,5,0)</f>
        <v>142.2 g/mol</v>
      </c>
      <c r="G3" s="5" t="str">
        <f>VLOOKUP(B3,[1]물질정보!B:G,6,0)</f>
        <v>CCCCOC(=O)C(=C)C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29</v>
      </c>
      <c r="N3" t="s">
        <v>29</v>
      </c>
      <c r="O3" t="s">
        <v>29</v>
      </c>
      <c r="P3">
        <v>96</v>
      </c>
      <c r="Q3" t="s">
        <v>31</v>
      </c>
      <c r="R3" t="s">
        <v>32</v>
      </c>
      <c r="S3" t="s">
        <v>29</v>
      </c>
      <c r="T3" t="s">
        <v>33</v>
      </c>
      <c r="U3" t="s">
        <v>38</v>
      </c>
      <c r="V3" s="6" t="s">
        <v>35</v>
      </c>
      <c r="W3" t="s">
        <v>36</v>
      </c>
      <c r="X3" t="s">
        <v>37</v>
      </c>
      <c r="Y3" s="6" t="s">
        <v>28</v>
      </c>
    </row>
    <row r="4" spans="1:25" x14ac:dyDescent="0.3">
      <c r="B4" s="5" t="s">
        <v>25</v>
      </c>
      <c r="C4" s="5" t="str">
        <f>VLOOKUP(B4,[1]물질정보!B:C,2,0)</f>
        <v>97-88-1</v>
      </c>
      <c r="D4" t="str">
        <f>VLOOKUP(B4,[1]물질정보!B:D,3,0)</f>
        <v>butyl methacrylate</v>
      </c>
      <c r="E4" t="str">
        <f>VLOOKUP(B4,[1]물질정보!B:E,4,0)</f>
        <v>C8H14O2</v>
      </c>
      <c r="F4" t="str">
        <f>VLOOKUP(B4,[1]물질정보!B:F,5,0)</f>
        <v>142.2 g/mol</v>
      </c>
      <c r="G4" s="5" t="str">
        <f>VLOOKUP(B4,[1]물질정보!B:G,6,0)</f>
        <v>CCCCOC(=O)C(=C)C</v>
      </c>
      <c r="H4" t="s">
        <v>26</v>
      </c>
      <c r="I4" t="s">
        <v>27</v>
      </c>
      <c r="J4" t="s">
        <v>28</v>
      </c>
      <c r="K4">
        <v>23.593679999999999</v>
      </c>
      <c r="L4" t="s">
        <v>39</v>
      </c>
      <c r="M4" t="s">
        <v>29</v>
      </c>
      <c r="N4" t="s">
        <v>29</v>
      </c>
      <c r="O4" t="s">
        <v>29</v>
      </c>
      <c r="P4">
        <v>72</v>
      </c>
      <c r="Q4" t="s">
        <v>31</v>
      </c>
      <c r="R4" t="s">
        <v>32</v>
      </c>
      <c r="S4" t="s">
        <v>29</v>
      </c>
      <c r="T4" t="s">
        <v>40</v>
      </c>
      <c r="U4" t="s">
        <v>41</v>
      </c>
      <c r="V4" s="6" t="s">
        <v>42</v>
      </c>
      <c r="W4" t="s">
        <v>43</v>
      </c>
      <c r="X4" t="s">
        <v>44</v>
      </c>
      <c r="Y4" s="6" t="s">
        <v>28</v>
      </c>
    </row>
    <row r="5" spans="1:25" x14ac:dyDescent="0.3">
      <c r="B5" s="5" t="s">
        <v>25</v>
      </c>
      <c r="C5" s="5" t="str">
        <f>VLOOKUP(B5,[1]물질정보!B:C,2,0)</f>
        <v>97-88-1</v>
      </c>
      <c r="D5" t="str">
        <f>VLOOKUP(B5,[1]물질정보!B:D,3,0)</f>
        <v>butyl methacrylate</v>
      </c>
      <c r="E5" t="str">
        <f>VLOOKUP(B5,[1]물질정보!B:E,4,0)</f>
        <v>C8H14O2</v>
      </c>
      <c r="F5" t="str">
        <f>VLOOKUP(B5,[1]물질정보!B:F,5,0)</f>
        <v>142.2 g/mol</v>
      </c>
      <c r="G5" s="5" t="str">
        <f>VLOOKUP(B5,[1]물질정보!B:G,6,0)</f>
        <v>CCCCOC(=O)C(=C)C</v>
      </c>
      <c r="H5" t="s">
        <v>26</v>
      </c>
      <c r="I5" t="s">
        <v>27</v>
      </c>
      <c r="J5" t="s">
        <v>28</v>
      </c>
      <c r="K5">
        <v>23.593679999999999</v>
      </c>
      <c r="L5" t="s">
        <v>39</v>
      </c>
      <c r="M5" t="s">
        <v>29</v>
      </c>
      <c r="N5" t="s">
        <v>29</v>
      </c>
      <c r="O5" t="s">
        <v>29</v>
      </c>
      <c r="P5">
        <v>72</v>
      </c>
      <c r="Q5" t="s">
        <v>31</v>
      </c>
      <c r="R5" t="s">
        <v>32</v>
      </c>
      <c r="S5" t="s">
        <v>29</v>
      </c>
      <c r="T5" t="s">
        <v>40</v>
      </c>
      <c r="U5" t="s">
        <v>41</v>
      </c>
      <c r="V5" s="6" t="s">
        <v>35</v>
      </c>
      <c r="W5" t="s">
        <v>43</v>
      </c>
      <c r="X5" t="s">
        <v>44</v>
      </c>
      <c r="Y5" s="6" t="s">
        <v>28</v>
      </c>
    </row>
    <row r="6" spans="1:25" x14ac:dyDescent="0.3">
      <c r="B6" s="5" t="s">
        <v>25</v>
      </c>
      <c r="C6" s="5" t="str">
        <f>VLOOKUP(B6,[1]물질정보!B:C,2,0)</f>
        <v>97-88-1</v>
      </c>
      <c r="D6" t="str">
        <f>VLOOKUP(B6,[1]물질정보!B:D,3,0)</f>
        <v>butyl methacrylate</v>
      </c>
      <c r="E6" t="str">
        <f>VLOOKUP(B6,[1]물질정보!B:E,4,0)</f>
        <v>C8H14O2</v>
      </c>
      <c r="F6" t="str">
        <f>VLOOKUP(B6,[1]물질정보!B:F,5,0)</f>
        <v>142.2 g/mol</v>
      </c>
      <c r="G6" s="5" t="str">
        <f>VLOOKUP(B6,[1]물질정보!B:G,6,0)</f>
        <v>CCCCOC(=O)C(=C)C</v>
      </c>
      <c r="H6" t="s">
        <v>26</v>
      </c>
      <c r="I6" t="s">
        <v>27</v>
      </c>
      <c r="J6" t="s">
        <v>28</v>
      </c>
      <c r="K6">
        <v>23.593679999999999</v>
      </c>
      <c r="L6" t="s">
        <v>39</v>
      </c>
      <c r="M6" t="s">
        <v>29</v>
      </c>
      <c r="N6" t="s">
        <v>29</v>
      </c>
      <c r="O6" t="s">
        <v>29</v>
      </c>
      <c r="P6">
        <v>72</v>
      </c>
      <c r="Q6" t="s">
        <v>31</v>
      </c>
      <c r="R6" t="s">
        <v>32</v>
      </c>
      <c r="S6" t="s">
        <v>29</v>
      </c>
      <c r="T6" t="s">
        <v>40</v>
      </c>
      <c r="U6" t="s">
        <v>41</v>
      </c>
      <c r="V6" s="6" t="s">
        <v>35</v>
      </c>
      <c r="W6" t="s">
        <v>43</v>
      </c>
      <c r="X6" t="s">
        <v>44</v>
      </c>
      <c r="Y6" s="6" t="s">
        <v>28</v>
      </c>
    </row>
    <row r="7" spans="1:25" x14ac:dyDescent="0.3">
      <c r="B7" s="5" t="s">
        <v>25</v>
      </c>
      <c r="C7" s="5" t="str">
        <f>VLOOKUP(B7,[1]물질정보!B:C,2,0)</f>
        <v>97-88-1</v>
      </c>
      <c r="D7" t="str">
        <f>VLOOKUP(B7,[1]물질정보!B:D,3,0)</f>
        <v>butyl methacrylate</v>
      </c>
      <c r="E7" t="str">
        <f>VLOOKUP(B7,[1]물질정보!B:E,4,0)</f>
        <v>C8H14O2</v>
      </c>
      <c r="F7" t="str">
        <f>VLOOKUP(B7,[1]물질정보!B:F,5,0)</f>
        <v>142.2 g/mol</v>
      </c>
      <c r="G7" s="5" t="str">
        <f>VLOOKUP(B7,[1]물질정보!B:G,6,0)</f>
        <v>CCCCOC(=O)C(=C)C</v>
      </c>
      <c r="H7" t="s">
        <v>26</v>
      </c>
      <c r="I7" t="s">
        <v>45</v>
      </c>
      <c r="J7" t="s">
        <v>28</v>
      </c>
      <c r="K7">
        <v>34.424059999999997</v>
      </c>
      <c r="L7" t="s">
        <v>39</v>
      </c>
      <c r="M7" t="s">
        <v>29</v>
      </c>
      <c r="N7" t="s">
        <v>29</v>
      </c>
      <c r="O7" t="s">
        <v>29</v>
      </c>
      <c r="P7">
        <v>48</v>
      </c>
      <c r="Q7" t="s">
        <v>31</v>
      </c>
      <c r="R7" t="s">
        <v>32</v>
      </c>
      <c r="S7" t="s">
        <v>29</v>
      </c>
      <c r="T7" t="s">
        <v>40</v>
      </c>
      <c r="U7" t="s">
        <v>46</v>
      </c>
      <c r="V7" s="6" t="s">
        <v>35</v>
      </c>
      <c r="W7" t="s">
        <v>47</v>
      </c>
      <c r="X7" t="s">
        <v>48</v>
      </c>
      <c r="Y7" s="6" t="s">
        <v>28</v>
      </c>
    </row>
    <row r="8" spans="1:25" x14ac:dyDescent="0.3">
      <c r="B8" s="5" t="s">
        <v>25</v>
      </c>
      <c r="C8" s="5" t="str">
        <f>VLOOKUP(B8,[1]물질정보!B:C,2,0)</f>
        <v>97-88-1</v>
      </c>
      <c r="D8" t="str">
        <f>VLOOKUP(B8,[1]물질정보!B:D,3,0)</f>
        <v>butyl methacrylate</v>
      </c>
      <c r="E8" t="str">
        <f>VLOOKUP(B8,[1]물질정보!B:E,4,0)</f>
        <v>C8H14O2</v>
      </c>
      <c r="F8" t="str">
        <f>VLOOKUP(B8,[1]물질정보!B:F,5,0)</f>
        <v>142.2 g/mol</v>
      </c>
      <c r="G8" s="5" t="str">
        <f>VLOOKUP(B8,[1]물질정보!B:G,6,0)</f>
        <v>CCCCOC(=O)C(=C)C</v>
      </c>
      <c r="H8" t="s">
        <v>26</v>
      </c>
      <c r="I8" t="s">
        <v>45</v>
      </c>
      <c r="J8" t="s">
        <v>28</v>
      </c>
      <c r="K8">
        <v>34.424059999999997</v>
      </c>
      <c r="L8" t="s">
        <v>39</v>
      </c>
      <c r="M8" t="s">
        <v>29</v>
      </c>
      <c r="N8" t="s">
        <v>29</v>
      </c>
      <c r="O8" t="s">
        <v>29</v>
      </c>
      <c r="P8">
        <v>48</v>
      </c>
      <c r="Q8" t="s">
        <v>31</v>
      </c>
      <c r="R8" t="s">
        <v>32</v>
      </c>
      <c r="S8" t="s">
        <v>29</v>
      </c>
      <c r="T8" t="s">
        <v>40</v>
      </c>
      <c r="U8" t="s">
        <v>46</v>
      </c>
      <c r="V8" s="6" t="s">
        <v>35</v>
      </c>
      <c r="W8" t="s">
        <v>47</v>
      </c>
      <c r="X8" t="s">
        <v>48</v>
      </c>
      <c r="Y8" s="6" t="s">
        <v>28</v>
      </c>
    </row>
    <row r="9" spans="1:25" x14ac:dyDescent="0.3">
      <c r="B9" s="5" t="s">
        <v>25</v>
      </c>
      <c r="C9" s="5" t="str">
        <f>VLOOKUP(B9,[1]물질정보!B:C,2,0)</f>
        <v>97-88-1</v>
      </c>
      <c r="D9" t="str">
        <f>VLOOKUP(B9,[1]물질정보!B:D,3,0)</f>
        <v>butyl methacrylate</v>
      </c>
      <c r="E9" t="str">
        <f>VLOOKUP(B9,[1]물질정보!B:E,4,0)</f>
        <v>C8H14O2</v>
      </c>
      <c r="F9" t="str">
        <f>VLOOKUP(B9,[1]물질정보!B:F,5,0)</f>
        <v>142.2 g/mol</v>
      </c>
      <c r="G9" s="5" t="str">
        <f>VLOOKUP(B9,[1]물질정보!B:G,6,0)</f>
        <v>CCCCOC(=O)C(=C)C</v>
      </c>
      <c r="H9" t="s">
        <v>26</v>
      </c>
      <c r="I9" t="s">
        <v>45</v>
      </c>
      <c r="J9" t="s">
        <v>28</v>
      </c>
      <c r="K9">
        <v>34.424059999999997</v>
      </c>
      <c r="L9" t="s">
        <v>39</v>
      </c>
      <c r="M9" t="s">
        <v>29</v>
      </c>
      <c r="N9" t="s">
        <v>29</v>
      </c>
      <c r="O9" t="s">
        <v>29</v>
      </c>
      <c r="P9">
        <v>48</v>
      </c>
      <c r="Q9" t="s">
        <v>31</v>
      </c>
      <c r="R9" t="s">
        <v>32</v>
      </c>
      <c r="S9" t="s">
        <v>29</v>
      </c>
      <c r="T9" t="s">
        <v>40</v>
      </c>
      <c r="U9" t="s">
        <v>46</v>
      </c>
      <c r="V9" s="6" t="s">
        <v>35</v>
      </c>
      <c r="W9" t="s">
        <v>47</v>
      </c>
      <c r="X9" t="s">
        <v>48</v>
      </c>
      <c r="Y9" s="6" t="s">
        <v>28</v>
      </c>
    </row>
    <row r="10" spans="1:25" x14ac:dyDescent="0.3">
      <c r="B10" s="5" t="s">
        <v>25</v>
      </c>
      <c r="C10" s="5" t="str">
        <f>VLOOKUP(B10,[1]물질정보!B:C,2,0)</f>
        <v>97-88-1</v>
      </c>
      <c r="D10" t="str">
        <f>VLOOKUP(B10,[1]물질정보!B:D,3,0)</f>
        <v>butyl methacrylate</v>
      </c>
      <c r="E10" t="str">
        <f>VLOOKUP(B10,[1]물질정보!B:E,4,0)</f>
        <v>C8H14O2</v>
      </c>
      <c r="F10" t="str">
        <f>VLOOKUP(B10,[1]물질정보!B:F,5,0)</f>
        <v>142.2 g/mol</v>
      </c>
      <c r="G10" s="5" t="str">
        <f>VLOOKUP(B10,[1]물질정보!B:G,6,0)</f>
        <v>CCCCOC(=O)C(=C)C</v>
      </c>
      <c r="H10" t="s">
        <v>26</v>
      </c>
      <c r="I10" t="s">
        <v>45</v>
      </c>
      <c r="J10" t="s">
        <v>49</v>
      </c>
      <c r="K10">
        <v>6.1943901720000003</v>
      </c>
      <c r="L10" t="s">
        <v>39</v>
      </c>
      <c r="M10" t="s">
        <v>29</v>
      </c>
      <c r="N10" t="s">
        <v>29</v>
      </c>
      <c r="O10" t="s">
        <v>29</v>
      </c>
      <c r="P10">
        <v>48</v>
      </c>
      <c r="Q10" t="s">
        <v>31</v>
      </c>
      <c r="R10" t="s">
        <v>32</v>
      </c>
      <c r="S10" t="s">
        <v>29</v>
      </c>
      <c r="T10" t="s">
        <v>40</v>
      </c>
      <c r="U10" t="s">
        <v>50</v>
      </c>
      <c r="V10" s="6" t="s">
        <v>35</v>
      </c>
      <c r="W10" t="s">
        <v>47</v>
      </c>
      <c r="X10" t="s">
        <v>48</v>
      </c>
      <c r="Y10" s="6" t="s">
        <v>49</v>
      </c>
    </row>
    <row r="11" spans="1:25" x14ac:dyDescent="0.3">
      <c r="B11" s="5" t="s">
        <v>25</v>
      </c>
      <c r="C11" s="5" t="str">
        <f>VLOOKUP(B11,[1]물질정보!B:C,2,0)</f>
        <v>97-88-1</v>
      </c>
      <c r="D11" t="str">
        <f>VLOOKUP(B11,[1]물질정보!B:D,3,0)</f>
        <v>butyl methacrylate</v>
      </c>
      <c r="E11" t="str">
        <f>VLOOKUP(B11,[1]물질정보!B:E,4,0)</f>
        <v>C8H14O2</v>
      </c>
      <c r="F11" t="str">
        <f>VLOOKUP(B11,[1]물질정보!B:F,5,0)</f>
        <v>142.2 g/mol</v>
      </c>
      <c r="G11" s="5" t="str">
        <f>VLOOKUP(B11,[1]물질정보!B:G,6,0)</f>
        <v>CCCCOC(=O)C(=C)C</v>
      </c>
      <c r="H11" t="s">
        <v>26</v>
      </c>
      <c r="I11" t="s">
        <v>45</v>
      </c>
      <c r="J11" t="s">
        <v>49</v>
      </c>
      <c r="K11">
        <v>6.1943901720000003</v>
      </c>
      <c r="L11" t="s">
        <v>39</v>
      </c>
      <c r="M11" t="s">
        <v>29</v>
      </c>
      <c r="N11" t="s">
        <v>29</v>
      </c>
      <c r="O11" t="s">
        <v>29</v>
      </c>
      <c r="P11">
        <v>48</v>
      </c>
      <c r="Q11" t="s">
        <v>31</v>
      </c>
      <c r="R11" t="s">
        <v>32</v>
      </c>
      <c r="S11" t="s">
        <v>29</v>
      </c>
      <c r="T11" t="s">
        <v>40</v>
      </c>
      <c r="U11" t="s">
        <v>50</v>
      </c>
      <c r="V11" s="6" t="s">
        <v>35</v>
      </c>
      <c r="W11" t="s">
        <v>47</v>
      </c>
      <c r="X11" t="s">
        <v>48</v>
      </c>
      <c r="Y11" s="6" t="s">
        <v>49</v>
      </c>
    </row>
    <row r="12" spans="1:25" x14ac:dyDescent="0.3">
      <c r="B12" s="5" t="s">
        <v>25</v>
      </c>
      <c r="C12" s="5" t="str">
        <f>VLOOKUP(B12,[1]물질정보!B:C,2,0)</f>
        <v>97-88-1</v>
      </c>
      <c r="D12" t="str">
        <f>VLOOKUP(B12,[1]물질정보!B:D,3,0)</f>
        <v>butyl methacrylate</v>
      </c>
      <c r="E12" t="str">
        <f>VLOOKUP(B12,[1]물질정보!B:E,4,0)</f>
        <v>C8H14O2</v>
      </c>
      <c r="F12" t="str">
        <f>VLOOKUP(B12,[1]물질정보!B:F,5,0)</f>
        <v>142.2 g/mol</v>
      </c>
      <c r="G12" s="5" t="str">
        <f>VLOOKUP(B12,[1]물질정보!B:G,6,0)</f>
        <v>CCCCOC(=O)C(=C)C</v>
      </c>
      <c r="H12" t="s">
        <v>26</v>
      </c>
      <c r="I12" t="s">
        <v>45</v>
      </c>
      <c r="J12" t="s">
        <v>49</v>
      </c>
      <c r="K12">
        <v>6.1943901720000003</v>
      </c>
      <c r="L12" t="s">
        <v>39</v>
      </c>
      <c r="M12" t="s">
        <v>29</v>
      </c>
      <c r="N12" t="s">
        <v>29</v>
      </c>
      <c r="O12" t="s">
        <v>29</v>
      </c>
      <c r="P12">
        <v>48</v>
      </c>
      <c r="Q12" t="s">
        <v>31</v>
      </c>
      <c r="R12" t="s">
        <v>32</v>
      </c>
      <c r="S12" t="s">
        <v>29</v>
      </c>
      <c r="T12" t="s">
        <v>40</v>
      </c>
      <c r="U12" t="s">
        <v>50</v>
      </c>
      <c r="V12" s="6" t="s">
        <v>35</v>
      </c>
      <c r="W12" t="s">
        <v>47</v>
      </c>
      <c r="X12" t="s">
        <v>48</v>
      </c>
      <c r="Y12" s="6" t="s">
        <v>49</v>
      </c>
    </row>
    <row r="13" spans="1:25" x14ac:dyDescent="0.3">
      <c r="B13" s="5" t="s">
        <v>25</v>
      </c>
      <c r="C13" s="5" t="str">
        <f>VLOOKUP(B13,[1]물질정보!B:C,2,0)</f>
        <v>97-88-1</v>
      </c>
      <c r="D13" t="str">
        <f>VLOOKUP(B13,[1]물질정보!B:D,3,0)</f>
        <v>butyl methacrylate</v>
      </c>
      <c r="E13" t="str">
        <f>VLOOKUP(B13,[1]물질정보!B:E,4,0)</f>
        <v>C8H14O2</v>
      </c>
      <c r="F13" t="str">
        <f>VLOOKUP(B13,[1]물질정보!B:F,5,0)</f>
        <v>142.2 g/mol</v>
      </c>
      <c r="G13" s="5" t="str">
        <f>VLOOKUP(B13,[1]물질정보!B:G,6,0)</f>
        <v>CCCCOC(=O)C(=C)C</v>
      </c>
      <c r="H13" t="s">
        <v>26</v>
      </c>
      <c r="I13" t="s">
        <v>51</v>
      </c>
      <c r="J13" t="s">
        <v>49</v>
      </c>
      <c r="K13">
        <v>3.402307</v>
      </c>
      <c r="L13" t="s">
        <v>39</v>
      </c>
      <c r="M13" t="s">
        <v>29</v>
      </c>
      <c r="N13" t="s">
        <v>29</v>
      </c>
      <c r="O13" t="s">
        <v>29</v>
      </c>
      <c r="P13">
        <v>96</v>
      </c>
      <c r="Q13" t="s">
        <v>31</v>
      </c>
      <c r="R13" t="s">
        <v>32</v>
      </c>
      <c r="S13" t="s">
        <v>29</v>
      </c>
      <c r="T13" t="s">
        <v>40</v>
      </c>
      <c r="U13" t="s">
        <v>52</v>
      </c>
      <c r="V13" s="6" t="s">
        <v>35</v>
      </c>
      <c r="W13" t="s">
        <v>53</v>
      </c>
      <c r="X13" t="s">
        <v>37</v>
      </c>
      <c r="Y13" s="6" t="s">
        <v>49</v>
      </c>
    </row>
    <row r="14" spans="1:25" x14ac:dyDescent="0.3">
      <c r="B14" s="5" t="s">
        <v>25</v>
      </c>
      <c r="C14" s="5" t="str">
        <f>VLOOKUP(B14,[1]물질정보!B:C,2,0)</f>
        <v>97-88-1</v>
      </c>
      <c r="D14" t="str">
        <f>VLOOKUP(B14,[1]물질정보!B:D,3,0)</f>
        <v>butyl methacrylate</v>
      </c>
      <c r="E14" t="str">
        <f>VLOOKUP(B14,[1]물질정보!B:E,4,0)</f>
        <v>C8H14O2</v>
      </c>
      <c r="F14" t="str">
        <f>VLOOKUP(B14,[1]물질정보!B:F,5,0)</f>
        <v>142.2 g/mol</v>
      </c>
      <c r="G14" s="5" t="str">
        <f>VLOOKUP(B14,[1]물질정보!B:G,6,0)</f>
        <v>CCCCOC(=O)C(=C)C</v>
      </c>
      <c r="H14" t="s">
        <v>26</v>
      </c>
      <c r="I14" t="s">
        <v>51</v>
      </c>
      <c r="J14" t="s">
        <v>49</v>
      </c>
      <c r="K14">
        <v>3.402307</v>
      </c>
      <c r="L14" t="s">
        <v>39</v>
      </c>
      <c r="M14" t="s">
        <v>29</v>
      </c>
      <c r="N14" t="s">
        <v>29</v>
      </c>
      <c r="O14" t="s">
        <v>29</v>
      </c>
      <c r="P14">
        <v>96</v>
      </c>
      <c r="Q14" t="s">
        <v>31</v>
      </c>
      <c r="R14" t="s">
        <v>32</v>
      </c>
      <c r="S14" t="s">
        <v>29</v>
      </c>
      <c r="T14" t="s">
        <v>40</v>
      </c>
      <c r="U14" t="s">
        <v>52</v>
      </c>
      <c r="V14" s="6" t="s">
        <v>35</v>
      </c>
      <c r="W14" t="s">
        <v>53</v>
      </c>
      <c r="X14" t="s">
        <v>37</v>
      </c>
      <c r="Y14" s="6" t="s">
        <v>49</v>
      </c>
    </row>
    <row r="15" spans="1:25" x14ac:dyDescent="0.3">
      <c r="B15" s="5" t="s">
        <v>25</v>
      </c>
      <c r="C15" s="5" t="str">
        <f>VLOOKUP(B15,[1]물질정보!B:C,2,0)</f>
        <v>97-88-1</v>
      </c>
      <c r="D15" t="str">
        <f>VLOOKUP(B15,[1]물질정보!B:D,3,0)</f>
        <v>butyl methacrylate</v>
      </c>
      <c r="E15" t="str">
        <f>VLOOKUP(B15,[1]물질정보!B:E,4,0)</f>
        <v>C8H14O2</v>
      </c>
      <c r="F15" t="str">
        <f>VLOOKUP(B15,[1]물질정보!B:F,5,0)</f>
        <v>142.2 g/mol</v>
      </c>
      <c r="G15" s="5" t="str">
        <f>VLOOKUP(B15,[1]물질정보!B:G,6,0)</f>
        <v>CCCCOC(=O)C(=C)C</v>
      </c>
      <c r="H15" t="s">
        <v>26</v>
      </c>
      <c r="I15" t="s">
        <v>51</v>
      </c>
      <c r="J15" t="s">
        <v>49</v>
      </c>
      <c r="K15">
        <v>3.402307</v>
      </c>
      <c r="L15" t="s">
        <v>39</v>
      </c>
      <c r="M15" t="s">
        <v>29</v>
      </c>
      <c r="N15" t="s">
        <v>29</v>
      </c>
      <c r="O15" t="s">
        <v>29</v>
      </c>
      <c r="P15">
        <v>96</v>
      </c>
      <c r="Q15" t="s">
        <v>31</v>
      </c>
      <c r="R15" t="s">
        <v>32</v>
      </c>
      <c r="S15" t="s">
        <v>29</v>
      </c>
      <c r="T15" t="s">
        <v>40</v>
      </c>
      <c r="U15" t="s">
        <v>52</v>
      </c>
      <c r="V15" s="6" t="s">
        <v>35</v>
      </c>
      <c r="W15" t="s">
        <v>53</v>
      </c>
      <c r="X15" t="s">
        <v>37</v>
      </c>
      <c r="Y15" s="6" t="s">
        <v>49</v>
      </c>
    </row>
    <row r="16" spans="1:25" x14ac:dyDescent="0.3">
      <c r="B16" s="5" t="s">
        <v>25</v>
      </c>
      <c r="C16" s="5" t="str">
        <f>VLOOKUP(B16,[1]물질정보!B:C,2,0)</f>
        <v>97-88-1</v>
      </c>
      <c r="D16" t="str">
        <f>VLOOKUP(B16,[1]물질정보!B:D,3,0)</f>
        <v>butyl methacrylate</v>
      </c>
      <c r="E16" t="str">
        <f>VLOOKUP(B16,[1]물질정보!B:E,4,0)</f>
        <v>C8H14O2</v>
      </c>
      <c r="F16" t="str">
        <f>VLOOKUP(B16,[1]물질정보!B:F,5,0)</f>
        <v>142.2 g/mol</v>
      </c>
      <c r="G16" s="5" t="str">
        <f>VLOOKUP(B16,[1]물질정보!B:G,6,0)</f>
        <v>CCCCOC(=O)C(=C)C</v>
      </c>
      <c r="H16" t="s">
        <v>26</v>
      </c>
      <c r="I16" t="s">
        <v>51</v>
      </c>
      <c r="J16" t="s">
        <v>49</v>
      </c>
      <c r="K16" t="s">
        <v>29</v>
      </c>
      <c r="L16" t="s">
        <v>30</v>
      </c>
      <c r="M16" t="s">
        <v>29</v>
      </c>
      <c r="N16" t="s">
        <v>29</v>
      </c>
      <c r="O16" t="s">
        <v>29</v>
      </c>
      <c r="P16">
        <v>96</v>
      </c>
      <c r="Q16" t="s">
        <v>31</v>
      </c>
      <c r="R16" t="s">
        <v>32</v>
      </c>
      <c r="S16" t="s">
        <v>29</v>
      </c>
      <c r="T16" t="s">
        <v>33</v>
      </c>
      <c r="U16" t="s">
        <v>54</v>
      </c>
      <c r="V16" s="6" t="s">
        <v>35</v>
      </c>
      <c r="W16" t="s">
        <v>55</v>
      </c>
      <c r="X16" t="s">
        <v>37</v>
      </c>
      <c r="Y16" s="6" t="s">
        <v>49</v>
      </c>
    </row>
    <row r="17" spans="2:25" x14ac:dyDescent="0.3">
      <c r="B17" s="5" t="s">
        <v>25</v>
      </c>
      <c r="C17" s="5" t="str">
        <f>VLOOKUP(B17,[1]물질정보!B:C,2,0)</f>
        <v>97-88-1</v>
      </c>
      <c r="D17" t="str">
        <f>VLOOKUP(B17,[1]물질정보!B:D,3,0)</f>
        <v>butyl methacrylate</v>
      </c>
      <c r="E17" t="str">
        <f>VLOOKUP(B17,[1]물질정보!B:E,4,0)</f>
        <v>C8H14O2</v>
      </c>
      <c r="F17" t="str">
        <f>VLOOKUP(B17,[1]물질정보!B:F,5,0)</f>
        <v>142.2 g/mol</v>
      </c>
      <c r="G17" s="5" t="str">
        <f>VLOOKUP(B17,[1]물질정보!B:G,6,0)</f>
        <v>CCCCOC(=O)C(=C)C</v>
      </c>
      <c r="H17" t="s">
        <v>26</v>
      </c>
      <c r="I17" t="s">
        <v>51</v>
      </c>
      <c r="J17" t="s">
        <v>49</v>
      </c>
      <c r="K17">
        <v>7.5841458660000001</v>
      </c>
      <c r="L17" t="s">
        <v>39</v>
      </c>
      <c r="M17" t="s">
        <v>29</v>
      </c>
      <c r="N17" t="s">
        <v>29</v>
      </c>
      <c r="O17" t="s">
        <v>29</v>
      </c>
      <c r="P17">
        <v>96</v>
      </c>
      <c r="Q17" t="s">
        <v>31</v>
      </c>
      <c r="R17" t="s">
        <v>32</v>
      </c>
      <c r="S17" t="s">
        <v>29</v>
      </c>
      <c r="T17" t="s">
        <v>40</v>
      </c>
      <c r="U17" t="s">
        <v>56</v>
      </c>
      <c r="V17" s="6" t="s">
        <v>35</v>
      </c>
      <c r="W17" t="s">
        <v>57</v>
      </c>
      <c r="X17" t="s">
        <v>37</v>
      </c>
      <c r="Y17" s="6" t="s">
        <v>49</v>
      </c>
    </row>
    <row r="18" spans="2:25" x14ac:dyDescent="0.3">
      <c r="B18" s="5" t="s">
        <v>25</v>
      </c>
      <c r="C18" s="5" t="str">
        <f>VLOOKUP(B18,[1]물질정보!B:C,2,0)</f>
        <v>97-88-1</v>
      </c>
      <c r="D18" t="str">
        <f>VLOOKUP(B18,[1]물질정보!B:D,3,0)</f>
        <v>butyl methacrylate</v>
      </c>
      <c r="E18" t="str">
        <f>VLOOKUP(B18,[1]물질정보!B:E,4,0)</f>
        <v>C8H14O2</v>
      </c>
      <c r="F18" t="str">
        <f>VLOOKUP(B18,[1]물질정보!B:F,5,0)</f>
        <v>142.2 g/mol</v>
      </c>
      <c r="G18" s="5" t="str">
        <f>VLOOKUP(B18,[1]물질정보!B:G,6,0)</f>
        <v>CCCCOC(=O)C(=C)C</v>
      </c>
      <c r="H18" t="s">
        <v>26</v>
      </c>
      <c r="I18" t="s">
        <v>51</v>
      </c>
      <c r="J18" t="s">
        <v>49</v>
      </c>
      <c r="K18">
        <v>7.5841458660000001</v>
      </c>
      <c r="L18" t="s">
        <v>39</v>
      </c>
      <c r="M18" t="s">
        <v>29</v>
      </c>
      <c r="N18" t="s">
        <v>29</v>
      </c>
      <c r="O18" t="s">
        <v>29</v>
      </c>
      <c r="P18">
        <v>96</v>
      </c>
      <c r="Q18" t="s">
        <v>31</v>
      </c>
      <c r="R18" t="s">
        <v>32</v>
      </c>
      <c r="S18" t="s">
        <v>29</v>
      </c>
      <c r="T18" t="s">
        <v>40</v>
      </c>
      <c r="U18" t="s">
        <v>56</v>
      </c>
      <c r="V18" s="6" t="s">
        <v>35</v>
      </c>
      <c r="W18" t="s">
        <v>57</v>
      </c>
      <c r="X18" t="s">
        <v>37</v>
      </c>
      <c r="Y18" s="6" t="s">
        <v>49</v>
      </c>
    </row>
    <row r="19" spans="2:25" x14ac:dyDescent="0.3">
      <c r="B19" s="5" t="s">
        <v>25</v>
      </c>
      <c r="C19" s="5" t="str">
        <f>VLOOKUP(B19,[1]물질정보!B:C,2,0)</f>
        <v>97-88-1</v>
      </c>
      <c r="D19" t="str">
        <f>VLOOKUP(B19,[1]물질정보!B:D,3,0)</f>
        <v>butyl methacrylate</v>
      </c>
      <c r="E19" t="str">
        <f>VLOOKUP(B19,[1]물질정보!B:E,4,0)</f>
        <v>C8H14O2</v>
      </c>
      <c r="F19" t="str">
        <f>VLOOKUP(B19,[1]물질정보!B:F,5,0)</f>
        <v>142.2 g/mol</v>
      </c>
      <c r="G19" s="5" t="str">
        <f>VLOOKUP(B19,[1]물질정보!B:G,6,0)</f>
        <v>CCCCOC(=O)C(=C)C</v>
      </c>
      <c r="H19" t="s">
        <v>26</v>
      </c>
      <c r="I19" t="s">
        <v>51</v>
      </c>
      <c r="J19" t="s">
        <v>49</v>
      </c>
      <c r="K19">
        <v>7.5841458660000001</v>
      </c>
      <c r="L19" t="s">
        <v>39</v>
      </c>
      <c r="M19" t="s">
        <v>29</v>
      </c>
      <c r="N19" t="s">
        <v>29</v>
      </c>
      <c r="O19" t="s">
        <v>29</v>
      </c>
      <c r="P19">
        <v>96</v>
      </c>
      <c r="Q19" t="s">
        <v>31</v>
      </c>
      <c r="R19" t="s">
        <v>32</v>
      </c>
      <c r="S19" t="s">
        <v>29</v>
      </c>
      <c r="T19" t="s">
        <v>40</v>
      </c>
      <c r="U19" t="s">
        <v>56</v>
      </c>
      <c r="V19" s="6" t="s">
        <v>35</v>
      </c>
      <c r="W19" t="s">
        <v>57</v>
      </c>
      <c r="X19" t="s">
        <v>37</v>
      </c>
      <c r="Y19" s="6" t="s">
        <v>49</v>
      </c>
    </row>
    <row r="20" spans="2:25" x14ac:dyDescent="0.3">
      <c r="B20" s="5" t="s">
        <v>25</v>
      </c>
      <c r="C20" s="5" t="str">
        <f>VLOOKUP(B20,[1]물질정보!B:C,2,0)</f>
        <v>97-88-1</v>
      </c>
      <c r="D20" t="str">
        <f>VLOOKUP(B20,[1]물질정보!B:D,3,0)</f>
        <v>butyl methacrylate</v>
      </c>
      <c r="E20" t="str">
        <f>VLOOKUP(B20,[1]물질정보!B:E,4,0)</f>
        <v>C8H14O2</v>
      </c>
      <c r="F20" t="str">
        <f>VLOOKUP(B20,[1]물질정보!B:F,5,0)</f>
        <v>142.2 g/mol</v>
      </c>
      <c r="G20" s="5" t="str">
        <f>VLOOKUP(B20,[1]물질정보!B:G,6,0)</f>
        <v>CCCCOC(=O)C(=C)C</v>
      </c>
      <c r="H20" t="s">
        <v>26</v>
      </c>
      <c r="I20" t="s">
        <v>27</v>
      </c>
      <c r="J20" t="s">
        <v>28</v>
      </c>
      <c r="K20">
        <v>0.14728356100000001</v>
      </c>
      <c r="L20" t="s">
        <v>39</v>
      </c>
      <c r="M20" t="s">
        <v>29</v>
      </c>
      <c r="N20" t="s">
        <v>29</v>
      </c>
      <c r="O20" t="s">
        <v>29</v>
      </c>
      <c r="P20">
        <v>96</v>
      </c>
      <c r="Q20" t="s">
        <v>31</v>
      </c>
      <c r="R20" t="s">
        <v>32</v>
      </c>
      <c r="S20" t="s">
        <v>29</v>
      </c>
      <c r="T20" t="s">
        <v>40</v>
      </c>
      <c r="U20" t="s">
        <v>58</v>
      </c>
      <c r="V20" s="6" t="s">
        <v>35</v>
      </c>
      <c r="W20" t="s">
        <v>36</v>
      </c>
      <c r="X20" t="s">
        <v>37</v>
      </c>
      <c r="Y20" s="6" t="s">
        <v>28</v>
      </c>
    </row>
    <row r="21" spans="2:25" x14ac:dyDescent="0.3">
      <c r="B21" s="5" t="s">
        <v>25</v>
      </c>
      <c r="C21" s="5" t="str">
        <f>VLOOKUP(B21,[1]물질정보!B:C,2,0)</f>
        <v>97-88-1</v>
      </c>
      <c r="D21" t="str">
        <f>VLOOKUP(B21,[1]물질정보!B:D,3,0)</f>
        <v>butyl methacrylate</v>
      </c>
      <c r="E21" t="str">
        <f>VLOOKUP(B21,[1]물질정보!B:E,4,0)</f>
        <v>C8H14O2</v>
      </c>
      <c r="F21" t="str">
        <f>VLOOKUP(B21,[1]물질정보!B:F,5,0)</f>
        <v>142.2 g/mol</v>
      </c>
      <c r="G21" s="5" t="str">
        <f>VLOOKUP(B21,[1]물질정보!B:G,6,0)</f>
        <v>CCCCOC(=O)C(=C)C</v>
      </c>
      <c r="H21" t="s">
        <v>26</v>
      </c>
      <c r="I21" t="s">
        <v>27</v>
      </c>
      <c r="J21" t="s">
        <v>28</v>
      </c>
      <c r="K21">
        <v>0.14728356100000001</v>
      </c>
      <c r="L21" t="s">
        <v>39</v>
      </c>
      <c r="M21" t="s">
        <v>29</v>
      </c>
      <c r="N21" t="s">
        <v>29</v>
      </c>
      <c r="O21" t="s">
        <v>29</v>
      </c>
      <c r="P21">
        <v>96</v>
      </c>
      <c r="Q21" t="s">
        <v>31</v>
      </c>
      <c r="R21" t="s">
        <v>32</v>
      </c>
      <c r="S21" t="s">
        <v>29</v>
      </c>
      <c r="T21" t="s">
        <v>40</v>
      </c>
      <c r="U21" t="s">
        <v>58</v>
      </c>
      <c r="V21" s="6" t="s">
        <v>35</v>
      </c>
      <c r="W21" t="s">
        <v>36</v>
      </c>
      <c r="X21" t="s">
        <v>37</v>
      </c>
      <c r="Y21" s="6" t="s">
        <v>28</v>
      </c>
    </row>
    <row r="22" spans="2:25" x14ac:dyDescent="0.3">
      <c r="B22" s="5" t="s">
        <v>25</v>
      </c>
      <c r="C22" s="5" t="str">
        <f>VLOOKUP(B22,[1]물질정보!B:C,2,0)</f>
        <v>97-88-1</v>
      </c>
      <c r="D22" t="str">
        <f>VLOOKUP(B22,[1]물질정보!B:D,3,0)</f>
        <v>butyl methacrylate</v>
      </c>
      <c r="E22" t="str">
        <f>VLOOKUP(B22,[1]물질정보!B:E,4,0)</f>
        <v>C8H14O2</v>
      </c>
      <c r="F22" t="str">
        <f>VLOOKUP(B22,[1]물질정보!B:F,5,0)</f>
        <v>142.2 g/mol</v>
      </c>
      <c r="G22" s="5" t="str">
        <f>VLOOKUP(B22,[1]물질정보!B:G,6,0)</f>
        <v>CCCCOC(=O)C(=C)C</v>
      </c>
      <c r="H22" t="s">
        <v>26</v>
      </c>
      <c r="I22" t="s">
        <v>27</v>
      </c>
      <c r="J22" t="s">
        <v>28</v>
      </c>
      <c r="K22">
        <v>0.14728356100000001</v>
      </c>
      <c r="L22" t="s">
        <v>39</v>
      </c>
      <c r="M22" t="s">
        <v>29</v>
      </c>
      <c r="N22" t="s">
        <v>29</v>
      </c>
      <c r="O22" t="s">
        <v>29</v>
      </c>
      <c r="P22">
        <v>96</v>
      </c>
      <c r="Q22" t="s">
        <v>31</v>
      </c>
      <c r="R22" t="s">
        <v>32</v>
      </c>
      <c r="S22" t="s">
        <v>29</v>
      </c>
      <c r="T22" t="s">
        <v>40</v>
      </c>
      <c r="U22" t="s">
        <v>58</v>
      </c>
      <c r="V22" s="6" t="s">
        <v>35</v>
      </c>
      <c r="W22" t="s">
        <v>36</v>
      </c>
      <c r="X22" t="s">
        <v>37</v>
      </c>
      <c r="Y22" s="6" t="s">
        <v>28</v>
      </c>
    </row>
    <row r="23" spans="2:25" x14ac:dyDescent="0.3">
      <c r="B23" s="5" t="s">
        <v>59</v>
      </c>
      <c r="C23" s="5" t="str">
        <f>VLOOKUP(B23,[1]물질정보!B:C,2,0)</f>
        <v>2499-95-8</v>
      </c>
      <c r="D23" t="str">
        <f>VLOOKUP(B23,[1]물질정보!B:D,3,0)</f>
        <v>hexyl acrylate</v>
      </c>
      <c r="E23" t="str">
        <f>VLOOKUP(B23,[1]물질정보!B:E,4,0)</f>
        <v>C9H16O2</v>
      </c>
      <c r="F23" t="str">
        <f>VLOOKUP(B23,[1]물질정보!B:F,5,0)</f>
        <v>156.22 g/mol</v>
      </c>
      <c r="G23" s="5" t="str">
        <f>VLOOKUP(B23,[1]물질정보!B:G,6,0)</f>
        <v>CCCCCCOC(=O)C=C</v>
      </c>
      <c r="H23" t="s">
        <v>26</v>
      </c>
      <c r="I23" t="s">
        <v>27</v>
      </c>
      <c r="J23" t="s">
        <v>28</v>
      </c>
      <c r="K23">
        <v>13.817449999999999</v>
      </c>
      <c r="L23" t="s">
        <v>39</v>
      </c>
      <c r="M23" t="s">
        <v>29</v>
      </c>
      <c r="N23" t="s">
        <v>29</v>
      </c>
      <c r="O23" t="s">
        <v>29</v>
      </c>
      <c r="P23">
        <v>72</v>
      </c>
      <c r="Q23" t="s">
        <v>31</v>
      </c>
      <c r="R23" t="s">
        <v>32</v>
      </c>
      <c r="S23" t="s">
        <v>29</v>
      </c>
      <c r="T23" t="s">
        <v>40</v>
      </c>
      <c r="U23" t="s">
        <v>41</v>
      </c>
      <c r="V23" s="6" t="s">
        <v>35</v>
      </c>
      <c r="W23" t="s">
        <v>43</v>
      </c>
      <c r="X23" t="s">
        <v>44</v>
      </c>
      <c r="Y23" s="6" t="s">
        <v>28</v>
      </c>
    </row>
    <row r="24" spans="2:25" x14ac:dyDescent="0.3">
      <c r="B24" s="5" t="s">
        <v>59</v>
      </c>
      <c r="C24" s="5" t="str">
        <f>VLOOKUP(B24,[1]물질정보!B:C,2,0)</f>
        <v>2499-95-8</v>
      </c>
      <c r="D24" t="str">
        <f>VLOOKUP(B24,[1]물질정보!B:D,3,0)</f>
        <v>hexyl acrylate</v>
      </c>
      <c r="E24" t="str">
        <f>VLOOKUP(B24,[1]물질정보!B:E,4,0)</f>
        <v>C9H16O2</v>
      </c>
      <c r="F24" t="str">
        <f>VLOOKUP(B24,[1]물질정보!B:F,5,0)</f>
        <v>156.22 g/mol</v>
      </c>
      <c r="G24" s="5" t="str">
        <f>VLOOKUP(B24,[1]물질정보!B:G,6,0)</f>
        <v>CCCCCCOC(=O)C=C</v>
      </c>
      <c r="H24" t="s">
        <v>26</v>
      </c>
      <c r="I24" t="s">
        <v>27</v>
      </c>
      <c r="J24" t="s">
        <v>28</v>
      </c>
      <c r="K24">
        <v>13.817449999999999</v>
      </c>
      <c r="L24" t="s">
        <v>39</v>
      </c>
      <c r="M24" t="s">
        <v>29</v>
      </c>
      <c r="N24" t="s">
        <v>29</v>
      </c>
      <c r="O24" t="s">
        <v>29</v>
      </c>
      <c r="P24">
        <v>72</v>
      </c>
      <c r="Q24" t="s">
        <v>31</v>
      </c>
      <c r="R24" t="s">
        <v>32</v>
      </c>
      <c r="S24" t="s">
        <v>29</v>
      </c>
      <c r="T24" t="s">
        <v>40</v>
      </c>
      <c r="U24" t="s">
        <v>41</v>
      </c>
      <c r="V24" s="6" t="s">
        <v>35</v>
      </c>
      <c r="W24" t="s">
        <v>43</v>
      </c>
      <c r="X24" t="s">
        <v>44</v>
      </c>
      <c r="Y24" s="6" t="s">
        <v>28</v>
      </c>
    </row>
    <row r="25" spans="2:25" x14ac:dyDescent="0.3">
      <c r="B25" s="5" t="s">
        <v>59</v>
      </c>
      <c r="C25" s="5" t="str">
        <f>VLOOKUP(B25,[1]물질정보!B:C,2,0)</f>
        <v>2499-95-8</v>
      </c>
      <c r="D25" t="str">
        <f>VLOOKUP(B25,[1]물질정보!B:D,3,0)</f>
        <v>hexyl acrylate</v>
      </c>
      <c r="E25" t="str">
        <f>VLOOKUP(B25,[1]물질정보!B:E,4,0)</f>
        <v>C9H16O2</v>
      </c>
      <c r="F25" t="str">
        <f>VLOOKUP(B25,[1]물질정보!B:F,5,0)</f>
        <v>156.22 g/mol</v>
      </c>
      <c r="G25" s="5" t="str">
        <f>VLOOKUP(B25,[1]물질정보!B:G,6,0)</f>
        <v>CCCCCCOC(=O)C=C</v>
      </c>
      <c r="H25" t="s">
        <v>26</v>
      </c>
      <c r="I25" t="s">
        <v>45</v>
      </c>
      <c r="J25" t="s">
        <v>28</v>
      </c>
      <c r="K25">
        <v>21.854199999999999</v>
      </c>
      <c r="L25" t="s">
        <v>39</v>
      </c>
      <c r="M25" t="s">
        <v>29</v>
      </c>
      <c r="N25" t="s">
        <v>29</v>
      </c>
      <c r="O25" t="s">
        <v>29</v>
      </c>
      <c r="P25">
        <v>48</v>
      </c>
      <c r="Q25" t="s">
        <v>31</v>
      </c>
      <c r="R25" t="s">
        <v>32</v>
      </c>
      <c r="S25" t="s">
        <v>29</v>
      </c>
      <c r="T25" t="s">
        <v>40</v>
      </c>
      <c r="U25" t="s">
        <v>46</v>
      </c>
      <c r="V25" s="6" t="s">
        <v>35</v>
      </c>
      <c r="W25" t="s">
        <v>47</v>
      </c>
      <c r="X25" t="s">
        <v>48</v>
      </c>
      <c r="Y25" s="6" t="s">
        <v>28</v>
      </c>
    </row>
    <row r="26" spans="2:25" x14ac:dyDescent="0.3">
      <c r="B26" s="5" t="s">
        <v>59</v>
      </c>
      <c r="C26" s="5" t="str">
        <f>VLOOKUP(B26,[1]물질정보!B:C,2,0)</f>
        <v>2499-95-8</v>
      </c>
      <c r="D26" t="str">
        <f>VLOOKUP(B26,[1]물질정보!B:D,3,0)</f>
        <v>hexyl acrylate</v>
      </c>
      <c r="E26" t="str">
        <f>VLOOKUP(B26,[1]물질정보!B:E,4,0)</f>
        <v>C9H16O2</v>
      </c>
      <c r="F26" t="str">
        <f>VLOOKUP(B26,[1]물질정보!B:F,5,0)</f>
        <v>156.22 g/mol</v>
      </c>
      <c r="G26" s="5" t="str">
        <f>VLOOKUP(B26,[1]물질정보!B:G,6,0)</f>
        <v>CCCCCCOC(=O)C=C</v>
      </c>
      <c r="H26" t="s">
        <v>26</v>
      </c>
      <c r="I26" t="s">
        <v>45</v>
      </c>
      <c r="J26" t="s">
        <v>28</v>
      </c>
      <c r="K26">
        <v>21.854199999999999</v>
      </c>
      <c r="L26" t="s">
        <v>39</v>
      </c>
      <c r="M26" t="s">
        <v>29</v>
      </c>
      <c r="N26" t="s">
        <v>29</v>
      </c>
      <c r="O26" t="s">
        <v>29</v>
      </c>
      <c r="P26">
        <v>48</v>
      </c>
      <c r="Q26" t="s">
        <v>31</v>
      </c>
      <c r="R26" t="s">
        <v>32</v>
      </c>
      <c r="S26" t="s">
        <v>29</v>
      </c>
      <c r="T26" t="s">
        <v>40</v>
      </c>
      <c r="U26" t="s">
        <v>46</v>
      </c>
      <c r="V26" s="6" t="s">
        <v>35</v>
      </c>
      <c r="W26" t="s">
        <v>47</v>
      </c>
      <c r="X26" t="s">
        <v>48</v>
      </c>
      <c r="Y26" s="6" t="s">
        <v>28</v>
      </c>
    </row>
    <row r="27" spans="2:25" x14ac:dyDescent="0.3">
      <c r="B27" s="5" t="s">
        <v>59</v>
      </c>
      <c r="C27" s="5" t="str">
        <f>VLOOKUP(B27,[1]물질정보!B:C,2,0)</f>
        <v>2499-95-8</v>
      </c>
      <c r="D27" t="str">
        <f>VLOOKUP(B27,[1]물질정보!B:D,3,0)</f>
        <v>hexyl acrylate</v>
      </c>
      <c r="E27" t="str">
        <f>VLOOKUP(B27,[1]물질정보!B:E,4,0)</f>
        <v>C9H16O2</v>
      </c>
      <c r="F27" t="str">
        <f>VLOOKUP(B27,[1]물질정보!B:F,5,0)</f>
        <v>156.22 g/mol</v>
      </c>
      <c r="G27" s="5" t="str">
        <f>VLOOKUP(B27,[1]물질정보!B:G,6,0)</f>
        <v>CCCCCCOC(=O)C=C</v>
      </c>
      <c r="H27" t="s">
        <v>26</v>
      </c>
      <c r="I27" t="s">
        <v>45</v>
      </c>
      <c r="J27" t="s">
        <v>49</v>
      </c>
      <c r="K27">
        <v>1.554227985</v>
      </c>
      <c r="L27" t="s">
        <v>39</v>
      </c>
      <c r="M27" t="s">
        <v>29</v>
      </c>
      <c r="N27" t="s">
        <v>29</v>
      </c>
      <c r="O27" t="s">
        <v>29</v>
      </c>
      <c r="P27">
        <v>48</v>
      </c>
      <c r="Q27" t="s">
        <v>31</v>
      </c>
      <c r="R27" t="s">
        <v>32</v>
      </c>
      <c r="S27" t="s">
        <v>29</v>
      </c>
      <c r="T27" t="s">
        <v>40</v>
      </c>
      <c r="U27" t="s">
        <v>60</v>
      </c>
      <c r="V27" s="6" t="s">
        <v>35</v>
      </c>
      <c r="W27" t="s">
        <v>47</v>
      </c>
      <c r="X27" t="s">
        <v>48</v>
      </c>
      <c r="Y27" s="6" t="s">
        <v>49</v>
      </c>
    </row>
    <row r="28" spans="2:25" x14ac:dyDescent="0.3">
      <c r="B28" s="5" t="s">
        <v>59</v>
      </c>
      <c r="C28" s="5" t="str">
        <f>VLOOKUP(B28,[1]물질정보!B:C,2,0)</f>
        <v>2499-95-8</v>
      </c>
      <c r="D28" t="str">
        <f>VLOOKUP(B28,[1]물질정보!B:D,3,0)</f>
        <v>hexyl acrylate</v>
      </c>
      <c r="E28" t="str">
        <f>VLOOKUP(B28,[1]물질정보!B:E,4,0)</f>
        <v>C9H16O2</v>
      </c>
      <c r="F28" t="str">
        <f>VLOOKUP(B28,[1]물질정보!B:F,5,0)</f>
        <v>156.22 g/mol</v>
      </c>
      <c r="G28" s="5" t="str">
        <f>VLOOKUP(B28,[1]물질정보!B:G,6,0)</f>
        <v>CCCCCCOC(=O)C=C</v>
      </c>
      <c r="H28" t="s">
        <v>26</v>
      </c>
      <c r="I28" t="s">
        <v>45</v>
      </c>
      <c r="J28" t="s">
        <v>49</v>
      </c>
      <c r="K28">
        <v>1.554227985</v>
      </c>
      <c r="L28" t="s">
        <v>39</v>
      </c>
      <c r="M28" t="s">
        <v>29</v>
      </c>
      <c r="N28" t="s">
        <v>29</v>
      </c>
      <c r="O28" t="s">
        <v>29</v>
      </c>
      <c r="P28">
        <v>48</v>
      </c>
      <c r="Q28" t="s">
        <v>31</v>
      </c>
      <c r="R28" t="s">
        <v>32</v>
      </c>
      <c r="S28" t="s">
        <v>29</v>
      </c>
      <c r="T28" t="s">
        <v>40</v>
      </c>
      <c r="U28" t="s">
        <v>60</v>
      </c>
      <c r="V28" s="6" t="s">
        <v>35</v>
      </c>
      <c r="W28" t="s">
        <v>47</v>
      </c>
      <c r="X28" t="s">
        <v>48</v>
      </c>
      <c r="Y28" s="6" t="s">
        <v>49</v>
      </c>
    </row>
    <row r="29" spans="2:25" x14ac:dyDescent="0.3">
      <c r="B29" s="5" t="s">
        <v>59</v>
      </c>
      <c r="C29" s="5" t="str">
        <f>VLOOKUP(B29,[1]물질정보!B:C,2,0)</f>
        <v>2499-95-8</v>
      </c>
      <c r="D29" t="str">
        <f>VLOOKUP(B29,[1]물질정보!B:D,3,0)</f>
        <v>hexyl acrylate</v>
      </c>
      <c r="E29" t="str">
        <f>VLOOKUP(B29,[1]물질정보!B:E,4,0)</f>
        <v>C9H16O2</v>
      </c>
      <c r="F29" t="str">
        <f>VLOOKUP(B29,[1]물질정보!B:F,5,0)</f>
        <v>156.22 g/mol</v>
      </c>
      <c r="G29" s="5" t="str">
        <f>VLOOKUP(B29,[1]물질정보!B:G,6,0)</f>
        <v>CCCCCCOC(=O)C=C</v>
      </c>
      <c r="H29" t="s">
        <v>26</v>
      </c>
      <c r="I29" t="s">
        <v>51</v>
      </c>
      <c r="J29" t="s">
        <v>49</v>
      </c>
      <c r="K29">
        <v>1.437935</v>
      </c>
      <c r="L29" t="s">
        <v>39</v>
      </c>
      <c r="M29" t="s">
        <v>29</v>
      </c>
      <c r="N29" t="s">
        <v>29</v>
      </c>
      <c r="O29" t="s">
        <v>29</v>
      </c>
      <c r="P29">
        <v>96</v>
      </c>
      <c r="Q29" t="s">
        <v>31</v>
      </c>
      <c r="R29" t="s">
        <v>32</v>
      </c>
      <c r="S29" t="s">
        <v>29</v>
      </c>
      <c r="T29" t="s">
        <v>40</v>
      </c>
      <c r="U29" t="s">
        <v>52</v>
      </c>
      <c r="V29" s="6" t="s">
        <v>35</v>
      </c>
      <c r="W29" t="s">
        <v>53</v>
      </c>
      <c r="X29" t="s">
        <v>37</v>
      </c>
      <c r="Y29" s="6" t="s">
        <v>49</v>
      </c>
    </row>
    <row r="30" spans="2:25" x14ac:dyDescent="0.3">
      <c r="B30" s="5" t="s">
        <v>59</v>
      </c>
      <c r="C30" s="5" t="str">
        <f>VLOOKUP(B30,[1]물질정보!B:C,2,0)</f>
        <v>2499-95-8</v>
      </c>
      <c r="D30" t="str">
        <f>VLOOKUP(B30,[1]물질정보!B:D,3,0)</f>
        <v>hexyl acrylate</v>
      </c>
      <c r="E30" t="str">
        <f>VLOOKUP(B30,[1]물질정보!B:E,4,0)</f>
        <v>C9H16O2</v>
      </c>
      <c r="F30" t="str">
        <f>VLOOKUP(B30,[1]물질정보!B:F,5,0)</f>
        <v>156.22 g/mol</v>
      </c>
      <c r="G30" s="5" t="str">
        <f>VLOOKUP(B30,[1]물질정보!B:G,6,0)</f>
        <v>CCCCCCOC(=O)C=C</v>
      </c>
      <c r="H30" t="s">
        <v>26</v>
      </c>
      <c r="I30" t="s">
        <v>51</v>
      </c>
      <c r="J30" t="s">
        <v>49</v>
      </c>
      <c r="K30">
        <v>1.437935</v>
      </c>
      <c r="L30" t="s">
        <v>39</v>
      </c>
      <c r="M30" t="s">
        <v>29</v>
      </c>
      <c r="N30" t="s">
        <v>29</v>
      </c>
      <c r="O30" t="s">
        <v>29</v>
      </c>
      <c r="P30">
        <v>96</v>
      </c>
      <c r="Q30" t="s">
        <v>31</v>
      </c>
      <c r="R30" t="s">
        <v>32</v>
      </c>
      <c r="S30" t="s">
        <v>29</v>
      </c>
      <c r="T30" t="s">
        <v>40</v>
      </c>
      <c r="U30" t="s">
        <v>52</v>
      </c>
      <c r="V30" s="6" t="s">
        <v>35</v>
      </c>
      <c r="W30" t="s">
        <v>53</v>
      </c>
      <c r="X30" t="s">
        <v>37</v>
      </c>
      <c r="Y30" s="6" t="s">
        <v>49</v>
      </c>
    </row>
    <row r="31" spans="2:25" x14ac:dyDescent="0.3">
      <c r="B31" s="5" t="s">
        <v>59</v>
      </c>
      <c r="C31" s="5" t="str">
        <f>VLOOKUP(B31,[1]물질정보!B:C,2,0)</f>
        <v>2499-95-8</v>
      </c>
      <c r="D31" t="str">
        <f>VLOOKUP(B31,[1]물질정보!B:D,3,0)</f>
        <v>hexyl acrylate</v>
      </c>
      <c r="E31" t="str">
        <f>VLOOKUP(B31,[1]물질정보!B:E,4,0)</f>
        <v>C9H16O2</v>
      </c>
      <c r="F31" t="str">
        <f>VLOOKUP(B31,[1]물질정보!B:F,5,0)</f>
        <v>156.22 g/mol</v>
      </c>
      <c r="G31" s="5" t="str">
        <f>VLOOKUP(B31,[1]물질정보!B:G,6,0)</f>
        <v>CCCCCCOC(=O)C=C</v>
      </c>
      <c r="H31" t="s">
        <v>26</v>
      </c>
      <c r="I31" t="s">
        <v>51</v>
      </c>
      <c r="J31" t="s">
        <v>49</v>
      </c>
      <c r="K31">
        <v>0.71513187300000003</v>
      </c>
      <c r="L31" t="s">
        <v>39</v>
      </c>
      <c r="M31" t="s">
        <v>29</v>
      </c>
      <c r="N31" t="s">
        <v>29</v>
      </c>
      <c r="O31" t="s">
        <v>29</v>
      </c>
      <c r="P31">
        <v>96</v>
      </c>
      <c r="Q31" t="s">
        <v>31</v>
      </c>
      <c r="R31" t="s">
        <v>32</v>
      </c>
      <c r="S31" t="s">
        <v>29</v>
      </c>
      <c r="T31" t="s">
        <v>40</v>
      </c>
      <c r="U31" t="s">
        <v>61</v>
      </c>
      <c r="V31" s="6" t="s">
        <v>35</v>
      </c>
      <c r="W31" t="s">
        <v>55</v>
      </c>
      <c r="X31" t="s">
        <v>37</v>
      </c>
      <c r="Y31" s="6" t="s">
        <v>49</v>
      </c>
    </row>
    <row r="32" spans="2:25" x14ac:dyDescent="0.3">
      <c r="B32" s="5" t="s">
        <v>59</v>
      </c>
      <c r="C32" s="5" t="str">
        <f>VLOOKUP(B32,[1]물질정보!B:C,2,0)</f>
        <v>2499-95-8</v>
      </c>
      <c r="D32" t="str">
        <f>VLOOKUP(B32,[1]물질정보!B:D,3,0)</f>
        <v>hexyl acrylate</v>
      </c>
      <c r="E32" t="str">
        <f>VLOOKUP(B32,[1]물질정보!B:E,4,0)</f>
        <v>C9H16O2</v>
      </c>
      <c r="F32" t="str">
        <f>VLOOKUP(B32,[1]물질정보!B:F,5,0)</f>
        <v>156.22 g/mol</v>
      </c>
      <c r="G32" s="5" t="str">
        <f>VLOOKUP(B32,[1]물질정보!B:G,6,0)</f>
        <v>CCCCCCOC(=O)C=C</v>
      </c>
      <c r="H32" t="s">
        <v>26</v>
      </c>
      <c r="I32" t="s">
        <v>51</v>
      </c>
      <c r="J32" t="s">
        <v>49</v>
      </c>
      <c r="K32">
        <v>1.1023980449999999</v>
      </c>
      <c r="L32" t="s">
        <v>39</v>
      </c>
      <c r="M32" t="s">
        <v>29</v>
      </c>
      <c r="N32" t="s">
        <v>29</v>
      </c>
      <c r="O32" t="s">
        <v>29</v>
      </c>
      <c r="P32">
        <v>96</v>
      </c>
      <c r="Q32" t="s">
        <v>31</v>
      </c>
      <c r="R32" t="s">
        <v>32</v>
      </c>
      <c r="S32" t="s">
        <v>29</v>
      </c>
      <c r="T32" t="s">
        <v>40</v>
      </c>
      <c r="U32" t="s">
        <v>62</v>
      </c>
      <c r="V32" s="6" t="s">
        <v>35</v>
      </c>
      <c r="W32" t="s">
        <v>57</v>
      </c>
      <c r="X32" t="s">
        <v>37</v>
      </c>
      <c r="Y32" s="6" t="s">
        <v>49</v>
      </c>
    </row>
    <row r="33" spans="2:25" x14ac:dyDescent="0.3">
      <c r="B33" s="5" t="s">
        <v>59</v>
      </c>
      <c r="C33" s="5" t="str">
        <f>VLOOKUP(B33,[1]물질정보!B:C,2,0)</f>
        <v>2499-95-8</v>
      </c>
      <c r="D33" t="str">
        <f>VLOOKUP(B33,[1]물질정보!B:D,3,0)</f>
        <v>hexyl acrylate</v>
      </c>
      <c r="E33" t="str">
        <f>VLOOKUP(B33,[1]물질정보!B:E,4,0)</f>
        <v>C9H16O2</v>
      </c>
      <c r="F33" t="str">
        <f>VLOOKUP(B33,[1]물질정보!B:F,5,0)</f>
        <v>156.22 g/mol</v>
      </c>
      <c r="G33" s="5" t="str">
        <f>VLOOKUP(B33,[1]물질정보!B:G,6,0)</f>
        <v>CCCCCCOC(=O)C=C</v>
      </c>
      <c r="H33" t="s">
        <v>26</v>
      </c>
      <c r="I33" t="s">
        <v>51</v>
      </c>
      <c r="J33" t="s">
        <v>49</v>
      </c>
      <c r="K33">
        <v>0.71513187300000003</v>
      </c>
      <c r="L33" t="s">
        <v>39</v>
      </c>
      <c r="M33" t="s">
        <v>29</v>
      </c>
      <c r="N33" t="s">
        <v>29</v>
      </c>
      <c r="O33" t="s">
        <v>29</v>
      </c>
      <c r="P33">
        <v>96</v>
      </c>
      <c r="Q33" t="s">
        <v>31</v>
      </c>
      <c r="R33" t="s">
        <v>32</v>
      </c>
      <c r="S33" t="s">
        <v>29</v>
      </c>
      <c r="T33" t="s">
        <v>40</v>
      </c>
      <c r="U33" t="s">
        <v>61</v>
      </c>
      <c r="V33" s="6" t="s">
        <v>35</v>
      </c>
      <c r="W33" t="s">
        <v>55</v>
      </c>
      <c r="X33" t="s">
        <v>37</v>
      </c>
      <c r="Y33" s="6" t="s">
        <v>49</v>
      </c>
    </row>
    <row r="34" spans="2:25" x14ac:dyDescent="0.3">
      <c r="B34" s="5" t="s">
        <v>59</v>
      </c>
      <c r="C34" s="5" t="str">
        <f>VLOOKUP(B34,[1]물질정보!B:C,2,0)</f>
        <v>2499-95-8</v>
      </c>
      <c r="D34" t="str">
        <f>VLOOKUP(B34,[1]물질정보!B:D,3,0)</f>
        <v>hexyl acrylate</v>
      </c>
      <c r="E34" t="str">
        <f>VLOOKUP(B34,[1]물질정보!B:E,4,0)</f>
        <v>C9H16O2</v>
      </c>
      <c r="F34" t="str">
        <f>VLOOKUP(B34,[1]물질정보!B:F,5,0)</f>
        <v>156.22 g/mol</v>
      </c>
      <c r="G34" s="5" t="str">
        <f>VLOOKUP(B34,[1]물질정보!B:G,6,0)</f>
        <v>CCCCCCOC(=O)C=C</v>
      </c>
      <c r="H34" t="s">
        <v>26</v>
      </c>
      <c r="I34" t="s">
        <v>51</v>
      </c>
      <c r="J34" t="s">
        <v>49</v>
      </c>
      <c r="K34">
        <v>1.1023980449999999</v>
      </c>
      <c r="L34" t="s">
        <v>39</v>
      </c>
      <c r="M34" t="s">
        <v>29</v>
      </c>
      <c r="N34" t="s">
        <v>29</v>
      </c>
      <c r="O34" t="s">
        <v>29</v>
      </c>
      <c r="P34">
        <v>96</v>
      </c>
      <c r="Q34" t="s">
        <v>31</v>
      </c>
      <c r="R34" t="s">
        <v>32</v>
      </c>
      <c r="S34" t="s">
        <v>29</v>
      </c>
      <c r="T34" t="s">
        <v>40</v>
      </c>
      <c r="U34" t="s">
        <v>62</v>
      </c>
      <c r="V34" s="6" t="s">
        <v>35</v>
      </c>
      <c r="W34" t="s">
        <v>57</v>
      </c>
      <c r="X34" t="s">
        <v>37</v>
      </c>
      <c r="Y34" s="6" t="s">
        <v>49</v>
      </c>
    </row>
    <row r="35" spans="2:25" x14ac:dyDescent="0.3">
      <c r="B35" s="5" t="s">
        <v>59</v>
      </c>
      <c r="C35" s="5" t="str">
        <f>VLOOKUP(B35,[1]물질정보!B:C,2,0)</f>
        <v>2499-95-8</v>
      </c>
      <c r="D35" t="str">
        <f>VLOOKUP(B35,[1]물질정보!B:D,3,0)</f>
        <v>hexyl acrylate</v>
      </c>
      <c r="E35" t="str">
        <f>VLOOKUP(B35,[1]물질정보!B:E,4,0)</f>
        <v>C9H16O2</v>
      </c>
      <c r="F35" t="str">
        <f>VLOOKUP(B35,[1]물질정보!B:F,5,0)</f>
        <v>156.22 g/mol</v>
      </c>
      <c r="G35" s="5" t="str">
        <f>VLOOKUP(B35,[1]물질정보!B:G,6,0)</f>
        <v>CCCCCCOC(=O)C=C</v>
      </c>
      <c r="H35" t="s">
        <v>26</v>
      </c>
      <c r="I35" t="s">
        <v>27</v>
      </c>
      <c r="J35" t="s">
        <v>28</v>
      </c>
      <c r="K35">
        <v>0.249123436</v>
      </c>
      <c r="L35" t="s">
        <v>39</v>
      </c>
      <c r="M35" t="s">
        <v>29</v>
      </c>
      <c r="N35" t="s">
        <v>29</v>
      </c>
      <c r="O35" t="s">
        <v>29</v>
      </c>
      <c r="P35">
        <v>96</v>
      </c>
      <c r="Q35" t="s">
        <v>31</v>
      </c>
      <c r="R35" t="s">
        <v>32</v>
      </c>
      <c r="S35" t="s">
        <v>29</v>
      </c>
      <c r="T35" t="s">
        <v>40</v>
      </c>
      <c r="U35" t="s">
        <v>63</v>
      </c>
      <c r="V35" s="6" t="s">
        <v>35</v>
      </c>
      <c r="W35" t="s">
        <v>36</v>
      </c>
      <c r="X35" t="s">
        <v>37</v>
      </c>
      <c r="Y35" s="6" t="s">
        <v>28</v>
      </c>
    </row>
    <row r="36" spans="2:25" x14ac:dyDescent="0.3">
      <c r="B36" s="5" t="s">
        <v>59</v>
      </c>
      <c r="C36" s="5" t="str">
        <f>VLOOKUP(B36,[1]물질정보!B:C,2,0)</f>
        <v>2499-95-8</v>
      </c>
      <c r="D36" t="str">
        <f>VLOOKUP(B36,[1]물질정보!B:D,3,0)</f>
        <v>hexyl acrylate</v>
      </c>
      <c r="E36" t="str">
        <f>VLOOKUP(B36,[1]물질정보!B:E,4,0)</f>
        <v>C9H16O2</v>
      </c>
      <c r="F36" t="str">
        <f>VLOOKUP(B36,[1]물질정보!B:F,5,0)</f>
        <v>156.22 g/mol</v>
      </c>
      <c r="G36" s="5" t="str">
        <f>VLOOKUP(B36,[1]물질정보!B:G,6,0)</f>
        <v>CCCCCCOC(=O)C=C</v>
      </c>
      <c r="H36" t="s">
        <v>26</v>
      </c>
      <c r="I36" t="s">
        <v>27</v>
      </c>
      <c r="J36" t="s">
        <v>28</v>
      </c>
      <c r="K36">
        <v>0.249123436</v>
      </c>
      <c r="L36" t="s">
        <v>39</v>
      </c>
      <c r="M36" t="s">
        <v>29</v>
      </c>
      <c r="N36" t="s">
        <v>29</v>
      </c>
      <c r="O36" t="s">
        <v>29</v>
      </c>
      <c r="P36">
        <v>96</v>
      </c>
      <c r="Q36" t="s">
        <v>31</v>
      </c>
      <c r="R36" t="s">
        <v>32</v>
      </c>
      <c r="S36" t="s">
        <v>29</v>
      </c>
      <c r="T36" t="s">
        <v>40</v>
      </c>
      <c r="U36" t="s">
        <v>63</v>
      </c>
      <c r="V36" s="6" t="s">
        <v>35</v>
      </c>
      <c r="W36" t="s">
        <v>36</v>
      </c>
      <c r="X36" t="s">
        <v>37</v>
      </c>
      <c r="Y36" s="6" t="s">
        <v>28</v>
      </c>
    </row>
    <row r="37" spans="2:25" x14ac:dyDescent="0.3">
      <c r="B37" s="5" t="s">
        <v>64</v>
      </c>
      <c r="C37" s="5" t="str">
        <f>VLOOKUP(B37,[1]물질정보!B:C,2,0)</f>
        <v>2478-10-6</v>
      </c>
      <c r="D37" t="str">
        <f>VLOOKUP(B37,[1]물질정보!B:D,3,0)</f>
        <v>4-hydroxybutyl acrylate</v>
      </c>
      <c r="E37" t="str">
        <f>VLOOKUP(B37,[1]물질정보!B:E,4,0)</f>
        <v>C7H12O3</v>
      </c>
      <c r="F37" t="str">
        <f>VLOOKUP(B37,[1]물질정보!B:F,5,0)</f>
        <v>144.17 g/mol</v>
      </c>
      <c r="G37" s="5" t="str">
        <f>VLOOKUP(B37,[1]물질정보!B:G,6,0)</f>
        <v>C=CC(=O)OCCCCO</v>
      </c>
      <c r="H37" t="s">
        <v>26</v>
      </c>
      <c r="I37" t="s">
        <v>27</v>
      </c>
      <c r="J37" t="s">
        <v>28</v>
      </c>
      <c r="K37">
        <v>49.390900000000002</v>
      </c>
      <c r="L37" t="s">
        <v>39</v>
      </c>
      <c r="M37" t="s">
        <v>29</v>
      </c>
      <c r="N37" t="s">
        <v>29</v>
      </c>
      <c r="O37" t="s">
        <v>29</v>
      </c>
      <c r="P37">
        <v>72</v>
      </c>
      <c r="Q37" t="s">
        <v>31</v>
      </c>
      <c r="R37" t="s">
        <v>32</v>
      </c>
      <c r="S37" t="s">
        <v>29</v>
      </c>
      <c r="T37" t="s">
        <v>40</v>
      </c>
      <c r="U37" t="s">
        <v>41</v>
      </c>
      <c r="V37" s="6" t="s">
        <v>35</v>
      </c>
      <c r="W37" t="s">
        <v>43</v>
      </c>
      <c r="X37" t="s">
        <v>44</v>
      </c>
      <c r="Y37" s="6" t="s">
        <v>28</v>
      </c>
    </row>
    <row r="38" spans="2:25" x14ac:dyDescent="0.3">
      <c r="B38" s="5" t="s">
        <v>64</v>
      </c>
      <c r="C38" s="5" t="str">
        <f>VLOOKUP(B38,[1]물질정보!B:C,2,0)</f>
        <v>2478-10-6</v>
      </c>
      <c r="D38" t="str">
        <f>VLOOKUP(B38,[1]물질정보!B:D,3,0)</f>
        <v>4-hydroxybutyl acrylate</v>
      </c>
      <c r="E38" t="str">
        <f>VLOOKUP(B38,[1]물질정보!B:E,4,0)</f>
        <v>C7H12O3</v>
      </c>
      <c r="F38" t="str">
        <f>VLOOKUP(B38,[1]물질정보!B:F,5,0)</f>
        <v>144.17 g/mol</v>
      </c>
      <c r="G38" s="5" t="str">
        <f>VLOOKUP(B38,[1]물질정보!B:G,6,0)</f>
        <v>C=CC(=O)OCCCCO</v>
      </c>
      <c r="H38" t="s">
        <v>26</v>
      </c>
      <c r="I38" t="s">
        <v>27</v>
      </c>
      <c r="J38" t="s">
        <v>28</v>
      </c>
      <c r="K38">
        <v>49.390900000000002</v>
      </c>
      <c r="L38" t="s">
        <v>39</v>
      </c>
      <c r="M38" t="s">
        <v>29</v>
      </c>
      <c r="N38" t="s">
        <v>29</v>
      </c>
      <c r="O38" t="s">
        <v>29</v>
      </c>
      <c r="P38">
        <v>72</v>
      </c>
      <c r="Q38" t="s">
        <v>31</v>
      </c>
      <c r="R38" t="s">
        <v>32</v>
      </c>
      <c r="S38" t="s">
        <v>29</v>
      </c>
      <c r="T38" t="s">
        <v>40</v>
      </c>
      <c r="U38" t="s">
        <v>41</v>
      </c>
      <c r="V38" s="6" t="s">
        <v>35</v>
      </c>
      <c r="W38" t="s">
        <v>43</v>
      </c>
      <c r="X38" t="s">
        <v>44</v>
      </c>
      <c r="Y38" s="6" t="s">
        <v>28</v>
      </c>
    </row>
    <row r="39" spans="2:25" x14ac:dyDescent="0.3">
      <c r="B39" s="5" t="s">
        <v>64</v>
      </c>
      <c r="C39" s="5" t="str">
        <f>VLOOKUP(B39,[1]물질정보!B:C,2,0)</f>
        <v>2478-10-6</v>
      </c>
      <c r="D39" t="str">
        <f>VLOOKUP(B39,[1]물질정보!B:D,3,0)</f>
        <v>4-hydroxybutyl acrylate</v>
      </c>
      <c r="E39" t="str">
        <f>VLOOKUP(B39,[1]물질정보!B:E,4,0)</f>
        <v>C7H12O3</v>
      </c>
      <c r="F39" t="str">
        <f>VLOOKUP(B39,[1]물질정보!B:F,5,0)</f>
        <v>144.17 g/mol</v>
      </c>
      <c r="G39" s="5" t="str">
        <f>VLOOKUP(B39,[1]물질정보!B:G,6,0)</f>
        <v>C=CC(=O)OCCCCO</v>
      </c>
      <c r="H39" t="s">
        <v>26</v>
      </c>
      <c r="I39" t="s">
        <v>45</v>
      </c>
      <c r="J39" t="s">
        <v>28</v>
      </c>
      <c r="K39">
        <v>547.14869999999996</v>
      </c>
      <c r="L39" t="s">
        <v>39</v>
      </c>
      <c r="M39" t="s">
        <v>29</v>
      </c>
      <c r="N39" t="s">
        <v>29</v>
      </c>
      <c r="O39" t="s">
        <v>29</v>
      </c>
      <c r="P39">
        <v>48</v>
      </c>
      <c r="Q39" t="s">
        <v>31</v>
      </c>
      <c r="R39" t="s">
        <v>32</v>
      </c>
      <c r="S39" t="s">
        <v>29</v>
      </c>
      <c r="T39" t="s">
        <v>40</v>
      </c>
      <c r="U39" t="s">
        <v>46</v>
      </c>
      <c r="V39" s="6" t="s">
        <v>35</v>
      </c>
      <c r="W39" t="s">
        <v>47</v>
      </c>
      <c r="X39" t="s">
        <v>48</v>
      </c>
      <c r="Y39" s="6" t="s">
        <v>28</v>
      </c>
    </row>
    <row r="40" spans="2:25" x14ac:dyDescent="0.3">
      <c r="B40" s="5" t="s">
        <v>64</v>
      </c>
      <c r="C40" s="5" t="str">
        <f>VLOOKUP(B40,[1]물질정보!B:C,2,0)</f>
        <v>2478-10-6</v>
      </c>
      <c r="D40" t="str">
        <f>VLOOKUP(B40,[1]물질정보!B:D,3,0)</f>
        <v>4-hydroxybutyl acrylate</v>
      </c>
      <c r="E40" t="str">
        <f>VLOOKUP(B40,[1]물질정보!B:E,4,0)</f>
        <v>C7H12O3</v>
      </c>
      <c r="F40" t="str">
        <f>VLOOKUP(B40,[1]물질정보!B:F,5,0)</f>
        <v>144.17 g/mol</v>
      </c>
      <c r="G40" s="5" t="str">
        <f>VLOOKUP(B40,[1]물질정보!B:G,6,0)</f>
        <v>C=CC(=O)OCCCCO</v>
      </c>
      <c r="H40" t="s">
        <v>26</v>
      </c>
      <c r="I40" t="s">
        <v>45</v>
      </c>
      <c r="J40" t="s">
        <v>28</v>
      </c>
      <c r="K40">
        <v>547.14869999999996</v>
      </c>
      <c r="L40" t="s">
        <v>39</v>
      </c>
      <c r="M40" t="s">
        <v>29</v>
      </c>
      <c r="N40" t="s">
        <v>29</v>
      </c>
      <c r="O40" t="s">
        <v>29</v>
      </c>
      <c r="P40">
        <v>48</v>
      </c>
      <c r="Q40" t="s">
        <v>31</v>
      </c>
      <c r="R40" t="s">
        <v>32</v>
      </c>
      <c r="S40" t="s">
        <v>29</v>
      </c>
      <c r="T40" t="s">
        <v>40</v>
      </c>
      <c r="U40" t="s">
        <v>46</v>
      </c>
      <c r="V40" s="6" t="s">
        <v>35</v>
      </c>
      <c r="W40" t="s">
        <v>47</v>
      </c>
      <c r="X40" t="s">
        <v>48</v>
      </c>
      <c r="Y40" s="6" t="s">
        <v>28</v>
      </c>
    </row>
    <row r="41" spans="2:25" x14ac:dyDescent="0.3">
      <c r="B41" s="5" t="s">
        <v>64</v>
      </c>
      <c r="C41" s="5" t="str">
        <f>VLOOKUP(B41,[1]물질정보!B:C,2,0)</f>
        <v>2478-10-6</v>
      </c>
      <c r="D41" t="str">
        <f>VLOOKUP(B41,[1]물질정보!B:D,3,0)</f>
        <v>4-hydroxybutyl acrylate</v>
      </c>
      <c r="E41" t="str">
        <f>VLOOKUP(B41,[1]물질정보!B:E,4,0)</f>
        <v>C7H12O3</v>
      </c>
      <c r="F41" t="str">
        <f>VLOOKUP(B41,[1]물질정보!B:F,5,0)</f>
        <v>144.17 g/mol</v>
      </c>
      <c r="G41" s="5" t="str">
        <f>VLOOKUP(B41,[1]물질정보!B:G,6,0)</f>
        <v>C=CC(=O)OCCCCO</v>
      </c>
      <c r="H41" t="s">
        <v>26</v>
      </c>
      <c r="I41" t="s">
        <v>45</v>
      </c>
      <c r="J41" t="s">
        <v>49</v>
      </c>
      <c r="K41">
        <v>12.88244212</v>
      </c>
      <c r="L41" t="s">
        <v>39</v>
      </c>
      <c r="M41" t="s">
        <v>29</v>
      </c>
      <c r="N41" t="s">
        <v>29</v>
      </c>
      <c r="O41" t="s">
        <v>29</v>
      </c>
      <c r="P41">
        <v>48</v>
      </c>
      <c r="Q41" t="s">
        <v>31</v>
      </c>
      <c r="R41" t="s">
        <v>32</v>
      </c>
      <c r="S41" t="s">
        <v>29</v>
      </c>
      <c r="T41" t="s">
        <v>40</v>
      </c>
      <c r="U41" t="s">
        <v>60</v>
      </c>
      <c r="V41" s="6" t="s">
        <v>35</v>
      </c>
      <c r="W41" t="s">
        <v>47</v>
      </c>
      <c r="X41" t="s">
        <v>48</v>
      </c>
      <c r="Y41" s="6" t="s">
        <v>49</v>
      </c>
    </row>
    <row r="42" spans="2:25" x14ac:dyDescent="0.3">
      <c r="B42" s="5" t="s">
        <v>64</v>
      </c>
      <c r="C42" s="5" t="str">
        <f>VLOOKUP(B42,[1]물질정보!B:C,2,0)</f>
        <v>2478-10-6</v>
      </c>
      <c r="D42" t="str">
        <f>VLOOKUP(B42,[1]물질정보!B:D,3,0)</f>
        <v>4-hydroxybutyl acrylate</v>
      </c>
      <c r="E42" t="str">
        <f>VLOOKUP(B42,[1]물질정보!B:E,4,0)</f>
        <v>C7H12O3</v>
      </c>
      <c r="F42" t="str">
        <f>VLOOKUP(B42,[1]물질정보!B:F,5,0)</f>
        <v>144.17 g/mol</v>
      </c>
      <c r="G42" s="5" t="str">
        <f>VLOOKUP(B42,[1]물질정보!B:G,6,0)</f>
        <v>C=CC(=O)OCCCCO</v>
      </c>
      <c r="H42" t="s">
        <v>26</v>
      </c>
      <c r="I42" t="s">
        <v>45</v>
      </c>
      <c r="J42" t="s">
        <v>49</v>
      </c>
      <c r="K42">
        <v>12.88244212</v>
      </c>
      <c r="L42" t="s">
        <v>39</v>
      </c>
      <c r="M42" t="s">
        <v>29</v>
      </c>
      <c r="N42" t="s">
        <v>29</v>
      </c>
      <c r="O42" t="s">
        <v>29</v>
      </c>
      <c r="P42">
        <v>48</v>
      </c>
      <c r="Q42" t="s">
        <v>31</v>
      </c>
      <c r="R42" t="s">
        <v>32</v>
      </c>
      <c r="S42" t="s">
        <v>29</v>
      </c>
      <c r="T42" t="s">
        <v>40</v>
      </c>
      <c r="U42" t="s">
        <v>60</v>
      </c>
      <c r="V42" s="6" t="s">
        <v>35</v>
      </c>
      <c r="W42" t="s">
        <v>47</v>
      </c>
      <c r="X42" t="s">
        <v>48</v>
      </c>
      <c r="Y42" s="6" t="s">
        <v>49</v>
      </c>
    </row>
    <row r="43" spans="2:25" x14ac:dyDescent="0.3">
      <c r="B43" s="5" t="s">
        <v>64</v>
      </c>
      <c r="C43" s="5" t="str">
        <f>VLOOKUP(B43,[1]물질정보!B:C,2,0)</f>
        <v>2478-10-6</v>
      </c>
      <c r="D43" t="str">
        <f>VLOOKUP(B43,[1]물질정보!B:D,3,0)</f>
        <v>4-hydroxybutyl acrylate</v>
      </c>
      <c r="E43" t="str">
        <f>VLOOKUP(B43,[1]물질정보!B:E,4,0)</f>
        <v>C7H12O3</v>
      </c>
      <c r="F43" t="str">
        <f>VLOOKUP(B43,[1]물질정보!B:F,5,0)</f>
        <v>144.17 g/mol</v>
      </c>
      <c r="G43" s="5" t="str">
        <f>VLOOKUP(B43,[1]물질정보!B:G,6,0)</f>
        <v>C=CC(=O)OCCCCO</v>
      </c>
      <c r="H43" t="s">
        <v>26</v>
      </c>
      <c r="I43" t="s">
        <v>51</v>
      </c>
      <c r="J43" t="s">
        <v>49</v>
      </c>
      <c r="K43">
        <v>35.033859999999997</v>
      </c>
      <c r="L43" t="s">
        <v>39</v>
      </c>
      <c r="M43" t="s">
        <v>29</v>
      </c>
      <c r="N43" t="s">
        <v>29</v>
      </c>
      <c r="O43" t="s">
        <v>29</v>
      </c>
      <c r="P43">
        <v>96</v>
      </c>
      <c r="Q43" t="s">
        <v>31</v>
      </c>
      <c r="R43" t="s">
        <v>32</v>
      </c>
      <c r="S43" t="s">
        <v>29</v>
      </c>
      <c r="T43" t="s">
        <v>40</v>
      </c>
      <c r="U43" t="s">
        <v>52</v>
      </c>
      <c r="V43" s="6" t="s">
        <v>35</v>
      </c>
      <c r="W43" t="s">
        <v>53</v>
      </c>
      <c r="X43" t="s">
        <v>37</v>
      </c>
      <c r="Y43" s="6" t="s">
        <v>49</v>
      </c>
    </row>
    <row r="44" spans="2:25" x14ac:dyDescent="0.3">
      <c r="B44" s="5" t="s">
        <v>64</v>
      </c>
      <c r="C44" s="5" t="str">
        <f>VLOOKUP(B44,[1]물질정보!B:C,2,0)</f>
        <v>2478-10-6</v>
      </c>
      <c r="D44" t="str">
        <f>VLOOKUP(B44,[1]물질정보!B:D,3,0)</f>
        <v>4-hydroxybutyl acrylate</v>
      </c>
      <c r="E44" t="str">
        <f>VLOOKUP(B44,[1]물질정보!B:E,4,0)</f>
        <v>C7H12O3</v>
      </c>
      <c r="F44" t="str">
        <f>VLOOKUP(B44,[1]물질정보!B:F,5,0)</f>
        <v>144.17 g/mol</v>
      </c>
      <c r="G44" s="5" t="str">
        <f>VLOOKUP(B44,[1]물질정보!B:G,6,0)</f>
        <v>C=CC(=O)OCCCCO</v>
      </c>
      <c r="H44" t="s">
        <v>26</v>
      </c>
      <c r="I44" t="s">
        <v>51</v>
      </c>
      <c r="J44" t="s">
        <v>49</v>
      </c>
      <c r="K44">
        <v>35.033859999999997</v>
      </c>
      <c r="L44" t="s">
        <v>39</v>
      </c>
      <c r="M44" t="s">
        <v>29</v>
      </c>
      <c r="N44" t="s">
        <v>29</v>
      </c>
      <c r="O44" t="s">
        <v>29</v>
      </c>
      <c r="P44">
        <v>96</v>
      </c>
      <c r="Q44" t="s">
        <v>31</v>
      </c>
      <c r="R44" t="s">
        <v>32</v>
      </c>
      <c r="S44" t="s">
        <v>29</v>
      </c>
      <c r="T44" t="s">
        <v>40</v>
      </c>
      <c r="U44" t="s">
        <v>52</v>
      </c>
      <c r="V44" s="6" t="s">
        <v>35</v>
      </c>
      <c r="W44" t="s">
        <v>53</v>
      </c>
      <c r="X44" t="s">
        <v>37</v>
      </c>
      <c r="Y44" s="6" t="s">
        <v>49</v>
      </c>
    </row>
    <row r="45" spans="2:25" x14ac:dyDescent="0.3">
      <c r="B45" s="5" t="s">
        <v>64</v>
      </c>
      <c r="C45" s="5" t="str">
        <f>VLOOKUP(B45,[1]물질정보!B:C,2,0)</f>
        <v>2478-10-6</v>
      </c>
      <c r="D45" t="str">
        <f>VLOOKUP(B45,[1]물질정보!B:D,3,0)</f>
        <v>4-hydroxybutyl acrylate</v>
      </c>
      <c r="E45" t="str">
        <f>VLOOKUP(B45,[1]물질정보!B:E,4,0)</f>
        <v>C7H12O3</v>
      </c>
      <c r="F45" t="str">
        <f>VLOOKUP(B45,[1]물질정보!B:F,5,0)</f>
        <v>144.17 g/mol</v>
      </c>
      <c r="G45" s="5" t="str">
        <f>VLOOKUP(B45,[1]물질정보!B:G,6,0)</f>
        <v>C=CC(=O)OCCCCO</v>
      </c>
      <c r="H45" t="s">
        <v>26</v>
      </c>
      <c r="I45" t="s">
        <v>51</v>
      </c>
      <c r="J45" t="s">
        <v>49</v>
      </c>
      <c r="K45">
        <v>1.8391947129999999</v>
      </c>
      <c r="L45" t="s">
        <v>39</v>
      </c>
      <c r="M45" t="s">
        <v>29</v>
      </c>
      <c r="N45" t="s">
        <v>29</v>
      </c>
      <c r="O45" t="s">
        <v>29</v>
      </c>
      <c r="P45">
        <v>96</v>
      </c>
      <c r="Q45" t="s">
        <v>31</v>
      </c>
      <c r="R45" t="s">
        <v>32</v>
      </c>
      <c r="S45" t="s">
        <v>29</v>
      </c>
      <c r="T45" t="s">
        <v>40</v>
      </c>
      <c r="U45" t="s">
        <v>61</v>
      </c>
      <c r="V45" s="6" t="s">
        <v>35</v>
      </c>
      <c r="W45" t="s">
        <v>55</v>
      </c>
      <c r="X45" t="s">
        <v>37</v>
      </c>
      <c r="Y45" s="6" t="s">
        <v>49</v>
      </c>
    </row>
    <row r="46" spans="2:25" x14ac:dyDescent="0.3">
      <c r="B46" s="5" t="s">
        <v>64</v>
      </c>
      <c r="C46" s="5" t="str">
        <f>VLOOKUP(B46,[1]물질정보!B:C,2,0)</f>
        <v>2478-10-6</v>
      </c>
      <c r="D46" t="str">
        <f>VLOOKUP(B46,[1]물질정보!B:D,3,0)</f>
        <v>4-hydroxybutyl acrylate</v>
      </c>
      <c r="E46" t="str">
        <f>VLOOKUP(B46,[1]물질정보!B:E,4,0)</f>
        <v>C7H12O3</v>
      </c>
      <c r="F46" t="str">
        <f>VLOOKUP(B46,[1]물질정보!B:F,5,0)</f>
        <v>144.17 g/mol</v>
      </c>
      <c r="G46" s="5" t="str">
        <f>VLOOKUP(B46,[1]물질정보!B:G,6,0)</f>
        <v>C=CC(=O)OCCCCO</v>
      </c>
      <c r="H46" t="s">
        <v>26</v>
      </c>
      <c r="I46" t="s">
        <v>51</v>
      </c>
      <c r="J46" t="s">
        <v>49</v>
      </c>
      <c r="K46">
        <v>4.1823753840000002</v>
      </c>
      <c r="L46" t="s">
        <v>39</v>
      </c>
      <c r="M46" t="s">
        <v>29</v>
      </c>
      <c r="N46" t="s">
        <v>29</v>
      </c>
      <c r="O46" t="s">
        <v>29</v>
      </c>
      <c r="P46">
        <v>96</v>
      </c>
      <c r="Q46" t="s">
        <v>31</v>
      </c>
      <c r="R46" t="s">
        <v>32</v>
      </c>
      <c r="S46" t="s">
        <v>29</v>
      </c>
      <c r="T46" t="s">
        <v>40</v>
      </c>
      <c r="U46" t="s">
        <v>62</v>
      </c>
      <c r="V46" s="6" t="s">
        <v>35</v>
      </c>
      <c r="W46" t="s">
        <v>57</v>
      </c>
      <c r="X46" t="s">
        <v>37</v>
      </c>
      <c r="Y46" s="6" t="s">
        <v>49</v>
      </c>
    </row>
    <row r="47" spans="2:25" x14ac:dyDescent="0.3">
      <c r="B47" s="5" t="s">
        <v>64</v>
      </c>
      <c r="C47" s="5" t="str">
        <f>VLOOKUP(B47,[1]물질정보!B:C,2,0)</f>
        <v>2478-10-6</v>
      </c>
      <c r="D47" t="str">
        <f>VLOOKUP(B47,[1]물질정보!B:D,3,0)</f>
        <v>4-hydroxybutyl acrylate</v>
      </c>
      <c r="E47" t="str">
        <f>VLOOKUP(B47,[1]물질정보!B:E,4,0)</f>
        <v>C7H12O3</v>
      </c>
      <c r="F47" t="str">
        <f>VLOOKUP(B47,[1]물질정보!B:F,5,0)</f>
        <v>144.17 g/mol</v>
      </c>
      <c r="G47" s="5" t="str">
        <f>VLOOKUP(B47,[1]물질정보!B:G,6,0)</f>
        <v>C=CC(=O)OCCCCO</v>
      </c>
      <c r="H47" t="s">
        <v>26</v>
      </c>
      <c r="I47" t="s">
        <v>51</v>
      </c>
      <c r="J47" t="s">
        <v>49</v>
      </c>
      <c r="K47">
        <v>1.8391947129999999</v>
      </c>
      <c r="L47" t="s">
        <v>39</v>
      </c>
      <c r="M47" t="s">
        <v>29</v>
      </c>
      <c r="N47" t="s">
        <v>29</v>
      </c>
      <c r="O47" t="s">
        <v>29</v>
      </c>
      <c r="P47">
        <v>96</v>
      </c>
      <c r="Q47" t="s">
        <v>31</v>
      </c>
      <c r="R47" t="s">
        <v>32</v>
      </c>
      <c r="S47" t="s">
        <v>29</v>
      </c>
      <c r="T47" t="s">
        <v>40</v>
      </c>
      <c r="U47" t="s">
        <v>61</v>
      </c>
      <c r="V47" s="6" t="s">
        <v>35</v>
      </c>
      <c r="W47" t="s">
        <v>55</v>
      </c>
      <c r="X47" t="s">
        <v>37</v>
      </c>
      <c r="Y47" s="6" t="s">
        <v>49</v>
      </c>
    </row>
    <row r="48" spans="2:25" x14ac:dyDescent="0.3">
      <c r="B48" s="5" t="s">
        <v>64</v>
      </c>
      <c r="C48" s="5" t="str">
        <f>VLOOKUP(B48,[1]물질정보!B:C,2,0)</f>
        <v>2478-10-6</v>
      </c>
      <c r="D48" t="str">
        <f>VLOOKUP(B48,[1]물질정보!B:D,3,0)</f>
        <v>4-hydroxybutyl acrylate</v>
      </c>
      <c r="E48" t="str">
        <f>VLOOKUP(B48,[1]물질정보!B:E,4,0)</f>
        <v>C7H12O3</v>
      </c>
      <c r="F48" t="str">
        <f>VLOOKUP(B48,[1]물질정보!B:F,5,0)</f>
        <v>144.17 g/mol</v>
      </c>
      <c r="G48" s="5" t="str">
        <f>VLOOKUP(B48,[1]물질정보!B:G,6,0)</f>
        <v>C=CC(=O)OCCCCO</v>
      </c>
      <c r="H48" t="s">
        <v>26</v>
      </c>
      <c r="I48" t="s">
        <v>51</v>
      </c>
      <c r="J48" t="s">
        <v>49</v>
      </c>
      <c r="K48">
        <v>4.1823753840000002</v>
      </c>
      <c r="L48" t="s">
        <v>39</v>
      </c>
      <c r="M48" t="s">
        <v>29</v>
      </c>
      <c r="N48" t="s">
        <v>29</v>
      </c>
      <c r="O48" t="s">
        <v>29</v>
      </c>
      <c r="P48">
        <v>96</v>
      </c>
      <c r="Q48" t="s">
        <v>31</v>
      </c>
      <c r="R48" t="s">
        <v>32</v>
      </c>
      <c r="S48" t="s">
        <v>29</v>
      </c>
      <c r="T48" t="s">
        <v>40</v>
      </c>
      <c r="U48" t="s">
        <v>62</v>
      </c>
      <c r="V48" s="6" t="s">
        <v>35</v>
      </c>
      <c r="W48" t="s">
        <v>57</v>
      </c>
      <c r="X48" t="s">
        <v>37</v>
      </c>
      <c r="Y48" s="6" t="s">
        <v>49</v>
      </c>
    </row>
    <row r="49" spans="2:25" x14ac:dyDescent="0.3">
      <c r="B49" s="5" t="s">
        <v>64</v>
      </c>
      <c r="C49" s="5" t="str">
        <f>VLOOKUP(B49,[1]물질정보!B:C,2,0)</f>
        <v>2478-10-6</v>
      </c>
      <c r="D49" t="str">
        <f>VLOOKUP(B49,[1]물질정보!B:D,3,0)</f>
        <v>4-hydroxybutyl acrylate</v>
      </c>
      <c r="E49" t="str">
        <f>VLOOKUP(B49,[1]물질정보!B:E,4,0)</f>
        <v>C7H12O3</v>
      </c>
      <c r="F49" t="str">
        <f>VLOOKUP(B49,[1]물질정보!B:F,5,0)</f>
        <v>144.17 g/mol</v>
      </c>
      <c r="G49" s="5" t="str">
        <f>VLOOKUP(B49,[1]물질정보!B:G,6,0)</f>
        <v>C=CC(=O)OCCCCO</v>
      </c>
      <c r="H49" t="s">
        <v>26</v>
      </c>
      <c r="I49" t="s">
        <v>27</v>
      </c>
      <c r="J49" t="s">
        <v>28</v>
      </c>
      <c r="K49">
        <v>1.1479438870000001</v>
      </c>
      <c r="L49" t="s">
        <v>39</v>
      </c>
      <c r="M49" t="s">
        <v>29</v>
      </c>
      <c r="N49" t="s">
        <v>29</v>
      </c>
      <c r="O49" t="s">
        <v>29</v>
      </c>
      <c r="P49">
        <v>96</v>
      </c>
      <c r="Q49" t="s">
        <v>31</v>
      </c>
      <c r="R49" t="s">
        <v>32</v>
      </c>
      <c r="S49" t="s">
        <v>29</v>
      </c>
      <c r="T49" t="s">
        <v>40</v>
      </c>
      <c r="U49" t="s">
        <v>63</v>
      </c>
      <c r="V49" s="6" t="s">
        <v>35</v>
      </c>
      <c r="W49" t="s">
        <v>36</v>
      </c>
      <c r="X49" t="s">
        <v>37</v>
      </c>
      <c r="Y49" s="6" t="s">
        <v>28</v>
      </c>
    </row>
    <row r="50" spans="2:25" x14ac:dyDescent="0.3">
      <c r="B50" s="5" t="s">
        <v>64</v>
      </c>
      <c r="C50" s="5" t="str">
        <f>VLOOKUP(B50,[1]물질정보!B:C,2,0)</f>
        <v>2478-10-6</v>
      </c>
      <c r="D50" t="str">
        <f>VLOOKUP(B50,[1]물질정보!B:D,3,0)</f>
        <v>4-hydroxybutyl acrylate</v>
      </c>
      <c r="E50" t="str">
        <f>VLOOKUP(B50,[1]물질정보!B:E,4,0)</f>
        <v>C7H12O3</v>
      </c>
      <c r="F50" t="str">
        <f>VLOOKUP(B50,[1]물질정보!B:F,5,0)</f>
        <v>144.17 g/mol</v>
      </c>
      <c r="G50" s="5" t="str">
        <f>VLOOKUP(B50,[1]물질정보!B:G,6,0)</f>
        <v>C=CC(=O)OCCCCO</v>
      </c>
      <c r="H50" t="s">
        <v>26</v>
      </c>
      <c r="I50" t="s">
        <v>27</v>
      </c>
      <c r="J50" t="s">
        <v>28</v>
      </c>
      <c r="K50">
        <v>1.1479438870000001</v>
      </c>
      <c r="L50" t="s">
        <v>39</v>
      </c>
      <c r="M50" t="s">
        <v>29</v>
      </c>
      <c r="N50" t="s">
        <v>29</v>
      </c>
      <c r="O50" t="s">
        <v>29</v>
      </c>
      <c r="P50">
        <v>96</v>
      </c>
      <c r="Q50" t="s">
        <v>31</v>
      </c>
      <c r="R50" t="s">
        <v>32</v>
      </c>
      <c r="S50" t="s">
        <v>29</v>
      </c>
      <c r="T50" t="s">
        <v>40</v>
      </c>
      <c r="U50" t="s">
        <v>63</v>
      </c>
      <c r="V50" s="6" t="s">
        <v>35</v>
      </c>
      <c r="W50" t="s">
        <v>36</v>
      </c>
      <c r="X50" t="s">
        <v>37</v>
      </c>
      <c r="Y50" s="6" t="s">
        <v>28</v>
      </c>
    </row>
    <row r="51" spans="2:25" x14ac:dyDescent="0.3">
      <c r="B51" s="5" t="s">
        <v>65</v>
      </c>
      <c r="C51" s="5" t="str">
        <f>VLOOKUP(B51,[1]물질정보!B:C,2,0)</f>
        <v>141-32-2</v>
      </c>
      <c r="D51" t="str">
        <f>VLOOKUP(B51,[1]물질정보!B:D,3,0)</f>
        <v>butyl acrylate</v>
      </c>
      <c r="E51" t="str">
        <f>VLOOKUP(B51,[1]물질정보!B:E,4,0)</f>
        <v>C7H12O2</v>
      </c>
      <c r="F51" t="str">
        <f>VLOOKUP(B51,[1]물질정보!B:F,5,0)</f>
        <v>128.169 g/mol</v>
      </c>
      <c r="G51" s="5" t="str">
        <f>VLOOKUP(B51,[1]물질정보!B:G,6,0)</f>
        <v>CCCCOC(=O)C=C</v>
      </c>
      <c r="H51" t="s">
        <v>26</v>
      </c>
      <c r="I51" t="s">
        <v>27</v>
      </c>
      <c r="J51" t="s">
        <v>28</v>
      </c>
      <c r="K51" t="s">
        <v>29</v>
      </c>
      <c r="L51" t="s">
        <v>39</v>
      </c>
      <c r="M51" t="s">
        <v>29</v>
      </c>
      <c r="N51" t="s">
        <v>29</v>
      </c>
      <c r="O51" t="s">
        <v>29</v>
      </c>
      <c r="P51">
        <v>72</v>
      </c>
      <c r="Q51" t="s">
        <v>31</v>
      </c>
      <c r="R51" t="s">
        <v>32</v>
      </c>
      <c r="S51" t="s">
        <v>29</v>
      </c>
      <c r="T51" t="s">
        <v>66</v>
      </c>
      <c r="U51" t="s">
        <v>41</v>
      </c>
      <c r="V51" s="6" t="s">
        <v>35</v>
      </c>
      <c r="W51" t="s">
        <v>43</v>
      </c>
      <c r="X51" t="s">
        <v>44</v>
      </c>
      <c r="Y51" s="6" t="s">
        <v>28</v>
      </c>
    </row>
    <row r="52" spans="2:25" x14ac:dyDescent="0.3">
      <c r="B52" s="5" t="s">
        <v>65</v>
      </c>
      <c r="C52" s="5" t="str">
        <f>VLOOKUP(B52,[1]물질정보!B:C,2,0)</f>
        <v>141-32-2</v>
      </c>
      <c r="D52" t="str">
        <f>VLOOKUP(B52,[1]물질정보!B:D,3,0)</f>
        <v>butyl acrylate</v>
      </c>
      <c r="E52" t="str">
        <f>VLOOKUP(B52,[1]물질정보!B:E,4,0)</f>
        <v>C7H12O2</v>
      </c>
      <c r="F52" t="str">
        <f>VLOOKUP(B52,[1]물질정보!B:F,5,0)</f>
        <v>128.169 g/mol</v>
      </c>
      <c r="G52" s="5" t="str">
        <f>VLOOKUP(B52,[1]물질정보!B:G,6,0)</f>
        <v>CCCCOC(=O)C=C</v>
      </c>
      <c r="H52" t="s">
        <v>26</v>
      </c>
      <c r="I52" t="s">
        <v>27</v>
      </c>
      <c r="J52" t="s">
        <v>28</v>
      </c>
      <c r="K52" t="s">
        <v>29</v>
      </c>
      <c r="L52" t="s">
        <v>39</v>
      </c>
      <c r="M52" t="s">
        <v>29</v>
      </c>
      <c r="N52" t="s">
        <v>29</v>
      </c>
      <c r="O52" t="s">
        <v>29</v>
      </c>
      <c r="P52">
        <v>72</v>
      </c>
      <c r="Q52" t="s">
        <v>31</v>
      </c>
      <c r="R52" t="s">
        <v>32</v>
      </c>
      <c r="S52" t="s">
        <v>29</v>
      </c>
      <c r="T52" t="s">
        <v>66</v>
      </c>
      <c r="U52" t="s">
        <v>41</v>
      </c>
      <c r="V52" s="6" t="s">
        <v>35</v>
      </c>
      <c r="W52" t="s">
        <v>43</v>
      </c>
      <c r="X52" t="s">
        <v>44</v>
      </c>
      <c r="Y52" s="6" t="s">
        <v>28</v>
      </c>
    </row>
    <row r="53" spans="2:25" x14ac:dyDescent="0.3">
      <c r="B53" s="5" t="s">
        <v>65</v>
      </c>
      <c r="C53" s="5" t="str">
        <f>VLOOKUP(B53,[1]물질정보!B:C,2,0)</f>
        <v>141-32-2</v>
      </c>
      <c r="D53" t="str">
        <f>VLOOKUP(B53,[1]물질정보!B:D,3,0)</f>
        <v>butyl acrylate</v>
      </c>
      <c r="E53" t="str">
        <f>VLOOKUP(B53,[1]물질정보!B:E,4,0)</f>
        <v>C7H12O2</v>
      </c>
      <c r="F53" t="str">
        <f>VLOOKUP(B53,[1]물질정보!B:F,5,0)</f>
        <v>128.169 g/mol</v>
      </c>
      <c r="G53" s="5" t="str">
        <f>VLOOKUP(B53,[1]물질정보!B:G,6,0)</f>
        <v>CCCCOC(=O)C=C</v>
      </c>
      <c r="H53" t="s">
        <v>26</v>
      </c>
      <c r="I53" t="s">
        <v>45</v>
      </c>
      <c r="J53" t="s">
        <v>28</v>
      </c>
      <c r="K53" t="s">
        <v>29</v>
      </c>
      <c r="L53" t="s">
        <v>39</v>
      </c>
      <c r="M53" t="s">
        <v>29</v>
      </c>
      <c r="N53" t="s">
        <v>29</v>
      </c>
      <c r="O53" t="s">
        <v>29</v>
      </c>
      <c r="P53">
        <v>48</v>
      </c>
      <c r="Q53" t="s">
        <v>31</v>
      </c>
      <c r="R53" t="s">
        <v>32</v>
      </c>
      <c r="S53" t="s">
        <v>29</v>
      </c>
      <c r="T53" t="s">
        <v>66</v>
      </c>
      <c r="U53" t="s">
        <v>46</v>
      </c>
      <c r="V53" s="6" t="s">
        <v>35</v>
      </c>
      <c r="W53" t="s">
        <v>47</v>
      </c>
      <c r="X53" t="s">
        <v>48</v>
      </c>
      <c r="Y53" s="6" t="s">
        <v>28</v>
      </c>
    </row>
    <row r="54" spans="2:25" x14ac:dyDescent="0.3">
      <c r="B54" s="5" t="s">
        <v>65</v>
      </c>
      <c r="C54" s="5" t="str">
        <f>VLOOKUP(B54,[1]물질정보!B:C,2,0)</f>
        <v>141-32-2</v>
      </c>
      <c r="D54" t="str">
        <f>VLOOKUP(B54,[1]물질정보!B:D,3,0)</f>
        <v>butyl acrylate</v>
      </c>
      <c r="E54" t="str">
        <f>VLOOKUP(B54,[1]물질정보!B:E,4,0)</f>
        <v>C7H12O2</v>
      </c>
      <c r="F54" t="str">
        <f>VLOOKUP(B54,[1]물질정보!B:F,5,0)</f>
        <v>128.169 g/mol</v>
      </c>
      <c r="G54" s="5" t="str">
        <f>VLOOKUP(B54,[1]물질정보!B:G,6,0)</f>
        <v>CCCCOC(=O)C=C</v>
      </c>
      <c r="H54" t="s">
        <v>26</v>
      </c>
      <c r="I54" t="s">
        <v>45</v>
      </c>
      <c r="J54" t="s">
        <v>28</v>
      </c>
      <c r="K54" t="s">
        <v>29</v>
      </c>
      <c r="L54" t="s">
        <v>39</v>
      </c>
      <c r="M54" t="s">
        <v>29</v>
      </c>
      <c r="N54" t="s">
        <v>29</v>
      </c>
      <c r="O54" t="s">
        <v>29</v>
      </c>
      <c r="P54">
        <v>48</v>
      </c>
      <c r="Q54" t="s">
        <v>31</v>
      </c>
      <c r="R54" t="s">
        <v>32</v>
      </c>
      <c r="S54" t="s">
        <v>29</v>
      </c>
      <c r="T54" t="s">
        <v>66</v>
      </c>
      <c r="U54" t="s">
        <v>46</v>
      </c>
      <c r="V54" s="6" t="s">
        <v>35</v>
      </c>
      <c r="W54" t="s">
        <v>47</v>
      </c>
      <c r="X54" t="s">
        <v>48</v>
      </c>
      <c r="Y54" s="6" t="s">
        <v>28</v>
      </c>
    </row>
    <row r="55" spans="2:25" x14ac:dyDescent="0.3">
      <c r="B55" s="5" t="s">
        <v>65</v>
      </c>
      <c r="C55" s="5" t="str">
        <f>VLOOKUP(B55,[1]물질정보!B:C,2,0)</f>
        <v>141-32-2</v>
      </c>
      <c r="D55" t="str">
        <f>VLOOKUP(B55,[1]물질정보!B:D,3,0)</f>
        <v>butyl acrylate</v>
      </c>
      <c r="E55" t="str">
        <f>VLOOKUP(B55,[1]물질정보!B:E,4,0)</f>
        <v>C7H12O2</v>
      </c>
      <c r="F55" t="str">
        <f>VLOOKUP(B55,[1]물질정보!B:F,5,0)</f>
        <v>128.169 g/mol</v>
      </c>
      <c r="G55" s="5" t="str">
        <f>VLOOKUP(B55,[1]물질정보!B:G,6,0)</f>
        <v>CCCCOC(=O)C=C</v>
      </c>
      <c r="H55" t="s">
        <v>26</v>
      </c>
      <c r="I55" t="s">
        <v>45</v>
      </c>
      <c r="J55" t="s">
        <v>49</v>
      </c>
      <c r="K55">
        <v>3.0776684369999998</v>
      </c>
      <c r="L55" t="s">
        <v>39</v>
      </c>
      <c r="M55" t="s">
        <v>29</v>
      </c>
      <c r="N55" t="s">
        <v>29</v>
      </c>
      <c r="O55" t="s">
        <v>29</v>
      </c>
      <c r="P55">
        <v>48</v>
      </c>
      <c r="Q55" t="s">
        <v>31</v>
      </c>
      <c r="R55" t="s">
        <v>32</v>
      </c>
      <c r="S55" t="s">
        <v>29</v>
      </c>
      <c r="T55" t="s">
        <v>40</v>
      </c>
      <c r="U55" t="s">
        <v>60</v>
      </c>
      <c r="V55" s="6" t="s">
        <v>35</v>
      </c>
      <c r="W55" t="s">
        <v>47</v>
      </c>
      <c r="X55" t="s">
        <v>48</v>
      </c>
      <c r="Y55" s="6" t="s">
        <v>49</v>
      </c>
    </row>
    <row r="56" spans="2:25" x14ac:dyDescent="0.3">
      <c r="B56" s="5" t="s">
        <v>65</v>
      </c>
      <c r="C56" s="5" t="str">
        <f>VLOOKUP(B56,[1]물질정보!B:C,2,0)</f>
        <v>141-32-2</v>
      </c>
      <c r="D56" t="str">
        <f>VLOOKUP(B56,[1]물질정보!B:D,3,0)</f>
        <v>butyl acrylate</v>
      </c>
      <c r="E56" t="str">
        <f>VLOOKUP(B56,[1]물질정보!B:E,4,0)</f>
        <v>C7H12O2</v>
      </c>
      <c r="F56" t="str">
        <f>VLOOKUP(B56,[1]물질정보!B:F,5,0)</f>
        <v>128.169 g/mol</v>
      </c>
      <c r="G56" s="5" t="str">
        <f>VLOOKUP(B56,[1]물질정보!B:G,6,0)</f>
        <v>CCCCOC(=O)C=C</v>
      </c>
      <c r="H56" t="s">
        <v>26</v>
      </c>
      <c r="I56" t="s">
        <v>45</v>
      </c>
      <c r="J56" t="s">
        <v>49</v>
      </c>
      <c r="K56">
        <v>3.0776684369999998</v>
      </c>
      <c r="L56" t="s">
        <v>39</v>
      </c>
      <c r="M56" t="s">
        <v>29</v>
      </c>
      <c r="N56" t="s">
        <v>29</v>
      </c>
      <c r="O56" t="s">
        <v>29</v>
      </c>
      <c r="P56">
        <v>48</v>
      </c>
      <c r="Q56" t="s">
        <v>31</v>
      </c>
      <c r="R56" t="s">
        <v>32</v>
      </c>
      <c r="S56" t="s">
        <v>29</v>
      </c>
      <c r="T56" t="s">
        <v>40</v>
      </c>
      <c r="U56" t="s">
        <v>60</v>
      </c>
      <c r="V56" s="6" t="s">
        <v>35</v>
      </c>
      <c r="W56" t="s">
        <v>47</v>
      </c>
      <c r="X56" t="s">
        <v>48</v>
      </c>
      <c r="Y56" s="6" t="s">
        <v>49</v>
      </c>
    </row>
    <row r="57" spans="2:25" x14ac:dyDescent="0.3">
      <c r="B57" s="5" t="s">
        <v>65</v>
      </c>
      <c r="C57" s="5" t="str">
        <f>VLOOKUP(B57,[1]물질정보!B:C,2,0)</f>
        <v>141-32-2</v>
      </c>
      <c r="D57" t="str">
        <f>VLOOKUP(B57,[1]물질정보!B:D,3,0)</f>
        <v>butyl acrylate</v>
      </c>
      <c r="E57" t="str">
        <f>VLOOKUP(B57,[1]물질정보!B:E,4,0)</f>
        <v>C7H12O2</v>
      </c>
      <c r="F57" t="str">
        <f>VLOOKUP(B57,[1]물질정보!B:F,5,0)</f>
        <v>128.169 g/mol</v>
      </c>
      <c r="G57" s="5" t="str">
        <f>VLOOKUP(B57,[1]물질정보!B:G,6,0)</f>
        <v>CCCCOC(=O)C=C</v>
      </c>
      <c r="H57" t="s">
        <v>26</v>
      </c>
      <c r="I57" t="s">
        <v>51</v>
      </c>
      <c r="J57" t="s">
        <v>49</v>
      </c>
      <c r="K57" t="s">
        <v>29</v>
      </c>
      <c r="L57" t="s">
        <v>39</v>
      </c>
      <c r="M57" t="s">
        <v>29</v>
      </c>
      <c r="N57" t="s">
        <v>29</v>
      </c>
      <c r="O57" t="s">
        <v>29</v>
      </c>
      <c r="P57">
        <v>96</v>
      </c>
      <c r="Q57" t="s">
        <v>31</v>
      </c>
      <c r="R57" t="s">
        <v>32</v>
      </c>
      <c r="S57" t="s">
        <v>29</v>
      </c>
      <c r="T57" t="s">
        <v>66</v>
      </c>
      <c r="U57" t="s">
        <v>52</v>
      </c>
      <c r="V57" s="6" t="s">
        <v>35</v>
      </c>
      <c r="W57" t="s">
        <v>53</v>
      </c>
      <c r="X57" t="s">
        <v>37</v>
      </c>
      <c r="Y57" s="6" t="s">
        <v>49</v>
      </c>
    </row>
    <row r="58" spans="2:25" x14ac:dyDescent="0.3">
      <c r="B58" s="5" t="s">
        <v>65</v>
      </c>
      <c r="C58" s="5" t="str">
        <f>VLOOKUP(B58,[1]물질정보!B:C,2,0)</f>
        <v>141-32-2</v>
      </c>
      <c r="D58" t="str">
        <f>VLOOKUP(B58,[1]물질정보!B:D,3,0)</f>
        <v>butyl acrylate</v>
      </c>
      <c r="E58" t="str">
        <f>VLOOKUP(B58,[1]물질정보!B:E,4,0)</f>
        <v>C7H12O2</v>
      </c>
      <c r="F58" t="str">
        <f>VLOOKUP(B58,[1]물질정보!B:F,5,0)</f>
        <v>128.169 g/mol</v>
      </c>
      <c r="G58" s="5" t="str">
        <f>VLOOKUP(B58,[1]물질정보!B:G,6,0)</f>
        <v>CCCCOC(=O)C=C</v>
      </c>
      <c r="H58" t="s">
        <v>26</v>
      </c>
      <c r="I58" t="s">
        <v>51</v>
      </c>
      <c r="J58" t="s">
        <v>49</v>
      </c>
      <c r="K58" t="s">
        <v>29</v>
      </c>
      <c r="L58" t="s">
        <v>39</v>
      </c>
      <c r="M58" t="s">
        <v>29</v>
      </c>
      <c r="N58" t="s">
        <v>29</v>
      </c>
      <c r="O58" t="s">
        <v>29</v>
      </c>
      <c r="P58">
        <v>96</v>
      </c>
      <c r="Q58" t="s">
        <v>31</v>
      </c>
      <c r="R58" t="s">
        <v>32</v>
      </c>
      <c r="S58" t="s">
        <v>29</v>
      </c>
      <c r="T58" t="s">
        <v>66</v>
      </c>
      <c r="U58" t="s">
        <v>52</v>
      </c>
      <c r="V58" s="6" t="s">
        <v>35</v>
      </c>
      <c r="W58" t="s">
        <v>53</v>
      </c>
      <c r="X58" t="s">
        <v>37</v>
      </c>
      <c r="Y58" s="6" t="s">
        <v>49</v>
      </c>
    </row>
    <row r="59" spans="2:25" x14ac:dyDescent="0.3">
      <c r="B59" s="5" t="s">
        <v>65</v>
      </c>
      <c r="C59" s="5" t="str">
        <f>VLOOKUP(B59,[1]물질정보!B:C,2,0)</f>
        <v>141-32-2</v>
      </c>
      <c r="D59" t="str">
        <f>VLOOKUP(B59,[1]물질정보!B:D,3,0)</f>
        <v>butyl acrylate</v>
      </c>
      <c r="E59" t="str">
        <f>VLOOKUP(B59,[1]물질정보!B:E,4,0)</f>
        <v>C7H12O2</v>
      </c>
      <c r="F59" t="str">
        <f>VLOOKUP(B59,[1]물질정보!B:F,5,0)</f>
        <v>128.169 g/mol</v>
      </c>
      <c r="G59" s="5" t="str">
        <f>VLOOKUP(B59,[1]물질정보!B:G,6,0)</f>
        <v>CCCCOC(=O)C=C</v>
      </c>
      <c r="H59" t="s">
        <v>26</v>
      </c>
      <c r="I59" t="s">
        <v>51</v>
      </c>
      <c r="J59" t="s">
        <v>49</v>
      </c>
      <c r="K59">
        <v>0.88529966699999996</v>
      </c>
      <c r="L59" t="s">
        <v>39</v>
      </c>
      <c r="M59" t="s">
        <v>29</v>
      </c>
      <c r="N59" t="s">
        <v>29</v>
      </c>
      <c r="O59" t="s">
        <v>29</v>
      </c>
      <c r="P59">
        <v>96</v>
      </c>
      <c r="Q59" t="s">
        <v>31</v>
      </c>
      <c r="R59" t="s">
        <v>32</v>
      </c>
      <c r="S59" t="s">
        <v>29</v>
      </c>
      <c r="T59" t="s">
        <v>40</v>
      </c>
      <c r="U59" t="s">
        <v>61</v>
      </c>
      <c r="V59" s="6" t="s">
        <v>35</v>
      </c>
      <c r="W59" t="s">
        <v>55</v>
      </c>
      <c r="X59" t="s">
        <v>37</v>
      </c>
      <c r="Y59" s="6" t="s">
        <v>49</v>
      </c>
    </row>
    <row r="60" spans="2:25" x14ac:dyDescent="0.3">
      <c r="B60" s="5" t="s">
        <v>65</v>
      </c>
      <c r="C60" s="5" t="str">
        <f>VLOOKUP(B60,[1]물질정보!B:C,2,0)</f>
        <v>141-32-2</v>
      </c>
      <c r="D60" t="str">
        <f>VLOOKUP(B60,[1]물질정보!B:D,3,0)</f>
        <v>butyl acrylate</v>
      </c>
      <c r="E60" t="str">
        <f>VLOOKUP(B60,[1]물질정보!B:E,4,0)</f>
        <v>C7H12O2</v>
      </c>
      <c r="F60" t="str">
        <f>VLOOKUP(B60,[1]물질정보!B:F,5,0)</f>
        <v>128.169 g/mol</v>
      </c>
      <c r="G60" s="5" t="str">
        <f>VLOOKUP(B60,[1]물질정보!B:G,6,0)</f>
        <v>CCCCOC(=O)C=C</v>
      </c>
      <c r="H60" t="s">
        <v>26</v>
      </c>
      <c r="I60" t="s">
        <v>51</v>
      </c>
      <c r="J60" t="s">
        <v>49</v>
      </c>
      <c r="K60">
        <v>1.5951972809999999</v>
      </c>
      <c r="L60" t="s">
        <v>39</v>
      </c>
      <c r="M60" t="s">
        <v>29</v>
      </c>
      <c r="N60" t="s">
        <v>29</v>
      </c>
      <c r="O60" t="s">
        <v>29</v>
      </c>
      <c r="P60">
        <v>96</v>
      </c>
      <c r="Q60" t="s">
        <v>31</v>
      </c>
      <c r="R60" t="s">
        <v>32</v>
      </c>
      <c r="S60" t="s">
        <v>29</v>
      </c>
      <c r="T60" t="s">
        <v>40</v>
      </c>
      <c r="U60" t="s">
        <v>62</v>
      </c>
      <c r="V60" s="6" t="s">
        <v>35</v>
      </c>
      <c r="W60" t="s">
        <v>57</v>
      </c>
      <c r="X60" t="s">
        <v>37</v>
      </c>
      <c r="Y60" s="6" t="s">
        <v>49</v>
      </c>
    </row>
    <row r="61" spans="2:25" x14ac:dyDescent="0.3">
      <c r="B61" s="5" t="s">
        <v>65</v>
      </c>
      <c r="C61" s="5" t="str">
        <f>VLOOKUP(B61,[1]물질정보!B:C,2,0)</f>
        <v>141-32-2</v>
      </c>
      <c r="D61" t="str">
        <f>VLOOKUP(B61,[1]물질정보!B:D,3,0)</f>
        <v>butyl acrylate</v>
      </c>
      <c r="E61" t="str">
        <f>VLOOKUP(B61,[1]물질정보!B:E,4,0)</f>
        <v>C7H12O2</v>
      </c>
      <c r="F61" t="str">
        <f>VLOOKUP(B61,[1]물질정보!B:F,5,0)</f>
        <v>128.169 g/mol</v>
      </c>
      <c r="G61" s="5" t="str">
        <f>VLOOKUP(B61,[1]물질정보!B:G,6,0)</f>
        <v>CCCCOC(=O)C=C</v>
      </c>
      <c r="H61" t="s">
        <v>26</v>
      </c>
      <c r="I61" t="s">
        <v>51</v>
      </c>
      <c r="J61" t="s">
        <v>49</v>
      </c>
      <c r="K61">
        <v>0.88529966699999996</v>
      </c>
      <c r="L61" t="s">
        <v>39</v>
      </c>
      <c r="M61" t="s">
        <v>29</v>
      </c>
      <c r="N61" t="s">
        <v>29</v>
      </c>
      <c r="O61" t="s">
        <v>29</v>
      </c>
      <c r="P61">
        <v>96</v>
      </c>
      <c r="Q61" t="s">
        <v>31</v>
      </c>
      <c r="R61" t="s">
        <v>32</v>
      </c>
      <c r="S61" t="s">
        <v>29</v>
      </c>
      <c r="T61" t="s">
        <v>40</v>
      </c>
      <c r="U61" t="s">
        <v>61</v>
      </c>
      <c r="V61" s="6" t="s">
        <v>35</v>
      </c>
      <c r="W61" t="s">
        <v>55</v>
      </c>
      <c r="X61" t="s">
        <v>37</v>
      </c>
      <c r="Y61" s="6" t="s">
        <v>49</v>
      </c>
    </row>
    <row r="62" spans="2:25" x14ac:dyDescent="0.3">
      <c r="B62" s="5" t="s">
        <v>65</v>
      </c>
      <c r="C62" s="5" t="str">
        <f>VLOOKUP(B62,[1]물질정보!B:C,2,0)</f>
        <v>141-32-2</v>
      </c>
      <c r="D62" t="str">
        <f>VLOOKUP(B62,[1]물질정보!B:D,3,0)</f>
        <v>butyl acrylate</v>
      </c>
      <c r="E62" t="str">
        <f>VLOOKUP(B62,[1]물질정보!B:E,4,0)</f>
        <v>C7H12O2</v>
      </c>
      <c r="F62" t="str">
        <f>VLOOKUP(B62,[1]물질정보!B:F,5,0)</f>
        <v>128.169 g/mol</v>
      </c>
      <c r="G62" s="5" t="str">
        <f>VLOOKUP(B62,[1]물질정보!B:G,6,0)</f>
        <v>CCCCOC(=O)C=C</v>
      </c>
      <c r="H62" t="s">
        <v>26</v>
      </c>
      <c r="I62" t="s">
        <v>51</v>
      </c>
      <c r="J62" t="s">
        <v>49</v>
      </c>
      <c r="K62">
        <v>1.5951972809999999</v>
      </c>
      <c r="L62" t="s">
        <v>39</v>
      </c>
      <c r="M62" t="s">
        <v>29</v>
      </c>
      <c r="N62" t="s">
        <v>29</v>
      </c>
      <c r="O62" t="s">
        <v>29</v>
      </c>
      <c r="P62">
        <v>96</v>
      </c>
      <c r="Q62" t="s">
        <v>31</v>
      </c>
      <c r="R62" t="s">
        <v>32</v>
      </c>
      <c r="S62" t="s">
        <v>29</v>
      </c>
      <c r="T62" t="s">
        <v>40</v>
      </c>
      <c r="U62" t="s">
        <v>62</v>
      </c>
      <c r="V62" s="6" t="s">
        <v>35</v>
      </c>
      <c r="W62" t="s">
        <v>57</v>
      </c>
      <c r="X62" t="s">
        <v>37</v>
      </c>
      <c r="Y62" s="6" t="s">
        <v>49</v>
      </c>
    </row>
    <row r="63" spans="2:25" x14ac:dyDescent="0.3">
      <c r="B63" s="5" t="s">
        <v>65</v>
      </c>
      <c r="C63" s="5" t="str">
        <f>VLOOKUP(B63,[1]물질정보!B:C,2,0)</f>
        <v>141-32-2</v>
      </c>
      <c r="D63" t="str">
        <f>VLOOKUP(B63,[1]물질정보!B:D,3,0)</f>
        <v>butyl acrylate</v>
      </c>
      <c r="E63" t="str">
        <f>VLOOKUP(B63,[1]물질정보!B:E,4,0)</f>
        <v>C7H12O2</v>
      </c>
      <c r="F63" t="str">
        <f>VLOOKUP(B63,[1]물질정보!B:F,5,0)</f>
        <v>128.169 g/mol</v>
      </c>
      <c r="G63" s="5" t="str">
        <f>VLOOKUP(B63,[1]물질정보!B:G,6,0)</f>
        <v>CCCCOC(=O)C=C</v>
      </c>
      <c r="H63" t="s">
        <v>26</v>
      </c>
      <c r="I63" t="s">
        <v>27</v>
      </c>
      <c r="J63" t="s">
        <v>28</v>
      </c>
      <c r="K63">
        <v>0.38974131899999997</v>
      </c>
      <c r="L63" t="s">
        <v>39</v>
      </c>
      <c r="M63" t="s">
        <v>29</v>
      </c>
      <c r="N63" t="s">
        <v>29</v>
      </c>
      <c r="O63" t="s">
        <v>29</v>
      </c>
      <c r="P63">
        <v>96</v>
      </c>
      <c r="Q63" t="s">
        <v>31</v>
      </c>
      <c r="R63" t="s">
        <v>32</v>
      </c>
      <c r="S63" t="s">
        <v>29</v>
      </c>
      <c r="T63" t="s">
        <v>40</v>
      </c>
      <c r="U63" t="s">
        <v>63</v>
      </c>
      <c r="V63" s="6" t="s">
        <v>35</v>
      </c>
      <c r="W63" t="s">
        <v>36</v>
      </c>
      <c r="X63" t="s">
        <v>37</v>
      </c>
      <c r="Y63" s="6" t="s">
        <v>28</v>
      </c>
    </row>
    <row r="64" spans="2:25" x14ac:dyDescent="0.3">
      <c r="B64" s="5" t="s">
        <v>65</v>
      </c>
      <c r="C64" s="5" t="str">
        <f>VLOOKUP(B64,[1]물질정보!B:C,2,0)</f>
        <v>141-32-2</v>
      </c>
      <c r="D64" t="str">
        <f>VLOOKUP(B64,[1]물질정보!B:D,3,0)</f>
        <v>butyl acrylate</v>
      </c>
      <c r="E64" t="str">
        <f>VLOOKUP(B64,[1]물질정보!B:E,4,0)</f>
        <v>C7H12O2</v>
      </c>
      <c r="F64" t="str">
        <f>VLOOKUP(B64,[1]물질정보!B:F,5,0)</f>
        <v>128.169 g/mol</v>
      </c>
      <c r="G64" s="5" t="str">
        <f>VLOOKUP(B64,[1]물질정보!B:G,6,0)</f>
        <v>CCCCOC(=O)C=C</v>
      </c>
      <c r="H64" t="s">
        <v>26</v>
      </c>
      <c r="I64" t="s">
        <v>27</v>
      </c>
      <c r="J64" t="s">
        <v>28</v>
      </c>
      <c r="K64">
        <v>0.38974131899999997</v>
      </c>
      <c r="L64" t="s">
        <v>39</v>
      </c>
      <c r="M64" t="s">
        <v>29</v>
      </c>
      <c r="N64" t="s">
        <v>29</v>
      </c>
      <c r="O64" t="s">
        <v>29</v>
      </c>
      <c r="P64">
        <v>96</v>
      </c>
      <c r="Q64" t="s">
        <v>31</v>
      </c>
      <c r="R64" t="s">
        <v>32</v>
      </c>
      <c r="S64" t="s">
        <v>29</v>
      </c>
      <c r="T64" t="s">
        <v>40</v>
      </c>
      <c r="U64" t="s">
        <v>63</v>
      </c>
      <c r="V64" s="6" t="s">
        <v>35</v>
      </c>
      <c r="W64" t="s">
        <v>36</v>
      </c>
      <c r="X64" t="s">
        <v>37</v>
      </c>
      <c r="Y64" s="6" t="s">
        <v>28</v>
      </c>
    </row>
    <row r="65" spans="2:25" x14ac:dyDescent="0.3">
      <c r="B65" s="5" t="s">
        <v>67</v>
      </c>
      <c r="C65" s="5" t="str">
        <f>VLOOKUP(B65,[1]물질정보!B:C,2,0)</f>
        <v>818-61-1</v>
      </c>
      <c r="D65" t="str">
        <f>VLOOKUP(B65,[1]물질정보!B:D,3,0)</f>
        <v>2-hydroxyethyl acrylate</v>
      </c>
      <c r="E65" t="str">
        <f>VLOOKUP(B65,[1]물질정보!B:E,4,0)</f>
        <v>C5H8O3</v>
      </c>
      <c r="F65" t="str">
        <f>VLOOKUP(B65,[1]물질정보!B:F,5,0)</f>
        <v>116.11 g/mol</v>
      </c>
      <c r="G65" s="5" t="str">
        <f>VLOOKUP(B65,[1]물질정보!B:G,6,0)</f>
        <v>C=CC(=O)OCCO</v>
      </c>
      <c r="H65" t="s">
        <v>26</v>
      </c>
      <c r="I65" t="s">
        <v>27</v>
      </c>
      <c r="J65" t="s">
        <v>28</v>
      </c>
      <c r="K65">
        <v>33.611800000000002</v>
      </c>
      <c r="L65" t="s">
        <v>39</v>
      </c>
      <c r="M65" t="s">
        <v>29</v>
      </c>
      <c r="N65" t="s">
        <v>29</v>
      </c>
      <c r="O65" t="s">
        <v>29</v>
      </c>
      <c r="P65">
        <v>72</v>
      </c>
      <c r="Q65" t="s">
        <v>31</v>
      </c>
      <c r="R65" t="s">
        <v>32</v>
      </c>
      <c r="S65" t="s">
        <v>29</v>
      </c>
      <c r="T65" t="s">
        <v>40</v>
      </c>
      <c r="U65" t="s">
        <v>41</v>
      </c>
      <c r="V65" s="6" t="s">
        <v>35</v>
      </c>
      <c r="W65" t="s">
        <v>43</v>
      </c>
      <c r="X65" t="s">
        <v>44</v>
      </c>
      <c r="Y65" s="6" t="s">
        <v>28</v>
      </c>
    </row>
    <row r="66" spans="2:25" x14ac:dyDescent="0.3">
      <c r="B66" s="5" t="s">
        <v>67</v>
      </c>
      <c r="C66" s="5" t="str">
        <f>VLOOKUP(B66,[1]물질정보!B:C,2,0)</f>
        <v>818-61-1</v>
      </c>
      <c r="D66" t="str">
        <f>VLOOKUP(B66,[1]물질정보!B:D,3,0)</f>
        <v>2-hydroxyethyl acrylate</v>
      </c>
      <c r="E66" t="str">
        <f>VLOOKUP(B66,[1]물질정보!B:E,4,0)</f>
        <v>C5H8O3</v>
      </c>
      <c r="F66" t="str">
        <f>VLOOKUP(B66,[1]물질정보!B:F,5,0)</f>
        <v>116.11 g/mol</v>
      </c>
      <c r="G66" s="5" t="str">
        <f>VLOOKUP(B66,[1]물질정보!B:G,6,0)</f>
        <v>C=CC(=O)OCCO</v>
      </c>
      <c r="H66" t="s">
        <v>26</v>
      </c>
      <c r="I66" t="s">
        <v>27</v>
      </c>
      <c r="J66" t="s">
        <v>28</v>
      </c>
      <c r="K66">
        <v>33.611800000000002</v>
      </c>
      <c r="L66" t="s">
        <v>39</v>
      </c>
      <c r="M66" t="s">
        <v>29</v>
      </c>
      <c r="N66" t="s">
        <v>29</v>
      </c>
      <c r="O66" t="s">
        <v>29</v>
      </c>
      <c r="P66">
        <v>72</v>
      </c>
      <c r="Q66" t="s">
        <v>31</v>
      </c>
      <c r="R66" t="s">
        <v>32</v>
      </c>
      <c r="S66" t="s">
        <v>29</v>
      </c>
      <c r="T66" t="s">
        <v>40</v>
      </c>
      <c r="U66" t="s">
        <v>41</v>
      </c>
      <c r="V66" s="6" t="s">
        <v>35</v>
      </c>
      <c r="W66" t="s">
        <v>43</v>
      </c>
      <c r="X66" t="s">
        <v>44</v>
      </c>
      <c r="Y66" s="6" t="s">
        <v>28</v>
      </c>
    </row>
    <row r="67" spans="2:25" x14ac:dyDescent="0.3">
      <c r="B67" s="5" t="s">
        <v>67</v>
      </c>
      <c r="C67" s="5" t="str">
        <f>VLOOKUP(B67,[1]물질정보!B:C,2,0)</f>
        <v>818-61-1</v>
      </c>
      <c r="D67" t="str">
        <f>VLOOKUP(B67,[1]물질정보!B:D,3,0)</f>
        <v>2-hydroxyethyl acrylate</v>
      </c>
      <c r="E67" t="str">
        <f>VLOOKUP(B67,[1]물질정보!B:E,4,0)</f>
        <v>C5H8O3</v>
      </c>
      <c r="F67" t="str">
        <f>VLOOKUP(B67,[1]물질정보!B:F,5,0)</f>
        <v>116.11 g/mol</v>
      </c>
      <c r="G67" s="5" t="str">
        <f>VLOOKUP(B67,[1]물질정보!B:G,6,0)</f>
        <v>C=CC(=O)OCCO</v>
      </c>
      <c r="H67" t="s">
        <v>26</v>
      </c>
      <c r="I67" t="s">
        <v>45</v>
      </c>
      <c r="J67" t="s">
        <v>28</v>
      </c>
      <c r="K67">
        <v>11.94844</v>
      </c>
      <c r="L67" t="s">
        <v>39</v>
      </c>
      <c r="M67" t="s">
        <v>29</v>
      </c>
      <c r="N67" t="s">
        <v>29</v>
      </c>
      <c r="O67" t="s">
        <v>29</v>
      </c>
      <c r="P67">
        <v>48</v>
      </c>
      <c r="Q67" t="s">
        <v>31</v>
      </c>
      <c r="R67" t="s">
        <v>32</v>
      </c>
      <c r="S67" t="s">
        <v>29</v>
      </c>
      <c r="T67" t="s">
        <v>40</v>
      </c>
      <c r="U67" t="s">
        <v>46</v>
      </c>
      <c r="V67" s="6" t="s">
        <v>35</v>
      </c>
      <c r="W67" t="s">
        <v>47</v>
      </c>
      <c r="X67" t="s">
        <v>48</v>
      </c>
      <c r="Y67" s="6" t="s">
        <v>28</v>
      </c>
    </row>
    <row r="68" spans="2:25" x14ac:dyDescent="0.3">
      <c r="B68" s="5" t="s">
        <v>67</v>
      </c>
      <c r="C68" s="5" t="str">
        <f>VLOOKUP(B68,[1]물질정보!B:C,2,0)</f>
        <v>818-61-1</v>
      </c>
      <c r="D68" t="str">
        <f>VLOOKUP(B68,[1]물질정보!B:D,3,0)</f>
        <v>2-hydroxyethyl acrylate</v>
      </c>
      <c r="E68" t="str">
        <f>VLOOKUP(B68,[1]물질정보!B:E,4,0)</f>
        <v>C5H8O3</v>
      </c>
      <c r="F68" t="str">
        <f>VLOOKUP(B68,[1]물질정보!B:F,5,0)</f>
        <v>116.11 g/mol</v>
      </c>
      <c r="G68" s="5" t="str">
        <f>VLOOKUP(B68,[1]물질정보!B:G,6,0)</f>
        <v>C=CC(=O)OCCO</v>
      </c>
      <c r="H68" t="s">
        <v>26</v>
      </c>
      <c r="I68" t="s">
        <v>45</v>
      </c>
      <c r="J68" t="s">
        <v>28</v>
      </c>
      <c r="K68">
        <v>11.94844</v>
      </c>
      <c r="L68" t="s">
        <v>39</v>
      </c>
      <c r="M68" t="s">
        <v>29</v>
      </c>
      <c r="N68" t="s">
        <v>29</v>
      </c>
      <c r="O68" t="s">
        <v>29</v>
      </c>
      <c r="P68">
        <v>48</v>
      </c>
      <c r="Q68" t="s">
        <v>31</v>
      </c>
      <c r="R68" t="s">
        <v>32</v>
      </c>
      <c r="S68" t="s">
        <v>29</v>
      </c>
      <c r="T68" t="s">
        <v>40</v>
      </c>
      <c r="U68" t="s">
        <v>46</v>
      </c>
      <c r="V68" s="6" t="s">
        <v>35</v>
      </c>
      <c r="W68" t="s">
        <v>47</v>
      </c>
      <c r="X68" t="s">
        <v>48</v>
      </c>
      <c r="Y68" s="6" t="s">
        <v>28</v>
      </c>
    </row>
    <row r="69" spans="2:25" x14ac:dyDescent="0.3">
      <c r="B69" s="5" t="s">
        <v>67</v>
      </c>
      <c r="C69" s="5" t="str">
        <f>VLOOKUP(B69,[1]물질정보!B:C,2,0)</f>
        <v>818-61-1</v>
      </c>
      <c r="D69" t="str">
        <f>VLOOKUP(B69,[1]물질정보!B:D,3,0)</f>
        <v>2-hydroxyethyl acrylate</v>
      </c>
      <c r="E69" t="str">
        <f>VLOOKUP(B69,[1]물질정보!B:E,4,0)</f>
        <v>C5H8O3</v>
      </c>
      <c r="F69" t="str">
        <f>VLOOKUP(B69,[1]물질정보!B:F,5,0)</f>
        <v>116.11 g/mol</v>
      </c>
      <c r="G69" s="5" t="str">
        <f>VLOOKUP(B69,[1]물질정보!B:G,6,0)</f>
        <v>C=CC(=O)OCCO</v>
      </c>
      <c r="H69" t="s">
        <v>26</v>
      </c>
      <c r="I69" t="s">
        <v>45</v>
      </c>
      <c r="J69" t="s">
        <v>49</v>
      </c>
      <c r="K69">
        <v>25.042946799999999</v>
      </c>
      <c r="L69" t="s">
        <v>39</v>
      </c>
      <c r="M69" t="s">
        <v>29</v>
      </c>
      <c r="N69" t="s">
        <v>29</v>
      </c>
      <c r="O69" t="s">
        <v>29</v>
      </c>
      <c r="P69">
        <v>48</v>
      </c>
      <c r="Q69" t="s">
        <v>31</v>
      </c>
      <c r="R69" t="s">
        <v>32</v>
      </c>
      <c r="S69" t="s">
        <v>29</v>
      </c>
      <c r="T69" t="s">
        <v>40</v>
      </c>
      <c r="U69" t="s">
        <v>60</v>
      </c>
      <c r="V69" s="6" t="s">
        <v>35</v>
      </c>
      <c r="W69" t="s">
        <v>47</v>
      </c>
      <c r="X69" t="s">
        <v>48</v>
      </c>
      <c r="Y69" s="6" t="s">
        <v>49</v>
      </c>
    </row>
    <row r="70" spans="2:25" x14ac:dyDescent="0.3">
      <c r="B70" s="5" t="s">
        <v>67</v>
      </c>
      <c r="C70" s="5" t="str">
        <f>VLOOKUP(B70,[1]물질정보!B:C,2,0)</f>
        <v>818-61-1</v>
      </c>
      <c r="D70" t="str">
        <f>VLOOKUP(B70,[1]물질정보!B:D,3,0)</f>
        <v>2-hydroxyethyl acrylate</v>
      </c>
      <c r="E70" t="str">
        <f>VLOOKUP(B70,[1]물질정보!B:E,4,0)</f>
        <v>C5H8O3</v>
      </c>
      <c r="F70" t="str">
        <f>VLOOKUP(B70,[1]물질정보!B:F,5,0)</f>
        <v>116.11 g/mol</v>
      </c>
      <c r="G70" s="5" t="str">
        <f>VLOOKUP(B70,[1]물질정보!B:G,6,0)</f>
        <v>C=CC(=O)OCCO</v>
      </c>
      <c r="H70" t="s">
        <v>26</v>
      </c>
      <c r="I70" t="s">
        <v>45</v>
      </c>
      <c r="J70" t="s">
        <v>49</v>
      </c>
      <c r="K70">
        <v>25.042946799999999</v>
      </c>
      <c r="L70" t="s">
        <v>39</v>
      </c>
      <c r="M70" t="s">
        <v>29</v>
      </c>
      <c r="N70" t="s">
        <v>29</v>
      </c>
      <c r="O70" t="s">
        <v>29</v>
      </c>
      <c r="P70">
        <v>48</v>
      </c>
      <c r="Q70" t="s">
        <v>31</v>
      </c>
      <c r="R70" t="s">
        <v>32</v>
      </c>
      <c r="S70" t="s">
        <v>29</v>
      </c>
      <c r="T70" t="s">
        <v>40</v>
      </c>
      <c r="U70" t="s">
        <v>60</v>
      </c>
      <c r="V70" s="6" t="s">
        <v>35</v>
      </c>
      <c r="W70" t="s">
        <v>47</v>
      </c>
      <c r="X70" t="s">
        <v>48</v>
      </c>
      <c r="Y70" s="6" t="s">
        <v>49</v>
      </c>
    </row>
    <row r="71" spans="2:25" x14ac:dyDescent="0.3">
      <c r="B71" s="5" t="s">
        <v>67</v>
      </c>
      <c r="C71" s="5" t="str">
        <f>VLOOKUP(B71,[1]물질정보!B:C,2,0)</f>
        <v>818-61-1</v>
      </c>
      <c r="D71" t="str">
        <f>VLOOKUP(B71,[1]물질정보!B:D,3,0)</f>
        <v>2-hydroxyethyl acrylate</v>
      </c>
      <c r="E71" t="str">
        <f>VLOOKUP(B71,[1]물질정보!B:E,4,0)</f>
        <v>C5H8O3</v>
      </c>
      <c r="F71" t="str">
        <f>VLOOKUP(B71,[1]물질정보!B:F,5,0)</f>
        <v>116.11 g/mol</v>
      </c>
      <c r="G71" s="5" t="str">
        <f>VLOOKUP(B71,[1]물질정보!B:G,6,0)</f>
        <v>C=CC(=O)OCCO</v>
      </c>
      <c r="H71" t="s">
        <v>26</v>
      </c>
      <c r="I71" t="s">
        <v>51</v>
      </c>
      <c r="J71" t="s">
        <v>49</v>
      </c>
      <c r="K71">
        <v>128.9066</v>
      </c>
      <c r="L71" t="s">
        <v>39</v>
      </c>
      <c r="M71" t="s">
        <v>29</v>
      </c>
      <c r="N71" t="s">
        <v>29</v>
      </c>
      <c r="O71" t="s">
        <v>29</v>
      </c>
      <c r="P71">
        <v>96</v>
      </c>
      <c r="Q71" t="s">
        <v>31</v>
      </c>
      <c r="R71" t="s">
        <v>32</v>
      </c>
      <c r="S71" t="s">
        <v>29</v>
      </c>
      <c r="T71" t="s">
        <v>40</v>
      </c>
      <c r="U71" t="s">
        <v>52</v>
      </c>
      <c r="V71" s="6" t="s">
        <v>35</v>
      </c>
      <c r="W71" t="s">
        <v>53</v>
      </c>
      <c r="X71" t="s">
        <v>37</v>
      </c>
      <c r="Y71" s="6" t="s">
        <v>49</v>
      </c>
    </row>
    <row r="72" spans="2:25" x14ac:dyDescent="0.3">
      <c r="B72" s="5" t="s">
        <v>67</v>
      </c>
      <c r="C72" s="5" t="str">
        <f>VLOOKUP(B72,[1]물질정보!B:C,2,0)</f>
        <v>818-61-1</v>
      </c>
      <c r="D72" t="str">
        <f>VLOOKUP(B72,[1]물질정보!B:D,3,0)</f>
        <v>2-hydroxyethyl acrylate</v>
      </c>
      <c r="E72" t="str">
        <f>VLOOKUP(B72,[1]물질정보!B:E,4,0)</f>
        <v>C5H8O3</v>
      </c>
      <c r="F72" t="str">
        <f>VLOOKUP(B72,[1]물질정보!B:F,5,0)</f>
        <v>116.11 g/mol</v>
      </c>
      <c r="G72" s="5" t="str">
        <f>VLOOKUP(B72,[1]물질정보!B:G,6,0)</f>
        <v>C=CC(=O)OCCO</v>
      </c>
      <c r="H72" t="s">
        <v>26</v>
      </c>
      <c r="I72" t="s">
        <v>51</v>
      </c>
      <c r="J72" t="s">
        <v>49</v>
      </c>
      <c r="K72">
        <v>128.9066</v>
      </c>
      <c r="L72" t="s">
        <v>39</v>
      </c>
      <c r="M72" t="s">
        <v>29</v>
      </c>
      <c r="N72" t="s">
        <v>29</v>
      </c>
      <c r="O72" t="s">
        <v>29</v>
      </c>
      <c r="P72">
        <v>96</v>
      </c>
      <c r="Q72" t="s">
        <v>31</v>
      </c>
      <c r="R72" t="s">
        <v>32</v>
      </c>
      <c r="S72" t="s">
        <v>29</v>
      </c>
      <c r="T72" t="s">
        <v>40</v>
      </c>
      <c r="U72" t="s">
        <v>52</v>
      </c>
      <c r="V72" s="6" t="s">
        <v>35</v>
      </c>
      <c r="W72" t="s">
        <v>53</v>
      </c>
      <c r="X72" t="s">
        <v>37</v>
      </c>
      <c r="Y72" s="6" t="s">
        <v>49</v>
      </c>
    </row>
    <row r="73" spans="2:25" x14ac:dyDescent="0.3">
      <c r="B73" s="5" t="s">
        <v>67</v>
      </c>
      <c r="C73" s="5" t="str">
        <f>VLOOKUP(B73,[1]물질정보!B:C,2,0)</f>
        <v>818-61-1</v>
      </c>
      <c r="D73" t="str">
        <f>VLOOKUP(B73,[1]물질정보!B:D,3,0)</f>
        <v>2-hydroxyethyl acrylate</v>
      </c>
      <c r="E73" t="str">
        <f>VLOOKUP(B73,[1]물질정보!B:E,4,0)</f>
        <v>C5H8O3</v>
      </c>
      <c r="F73" t="str">
        <f>VLOOKUP(B73,[1]물질정보!B:F,5,0)</f>
        <v>116.11 g/mol</v>
      </c>
      <c r="G73" s="5" t="str">
        <f>VLOOKUP(B73,[1]물질정보!B:G,6,0)</f>
        <v>C=CC(=O)OCCO</v>
      </c>
      <c r="H73" t="s">
        <v>26</v>
      </c>
      <c r="I73" t="s">
        <v>51</v>
      </c>
      <c r="J73" t="s">
        <v>49</v>
      </c>
      <c r="K73">
        <v>2.2351774170000001</v>
      </c>
      <c r="L73" t="s">
        <v>39</v>
      </c>
      <c r="M73" t="s">
        <v>29</v>
      </c>
      <c r="N73" t="s">
        <v>29</v>
      </c>
      <c r="O73" t="s">
        <v>29</v>
      </c>
      <c r="P73">
        <v>96</v>
      </c>
      <c r="Q73" t="s">
        <v>31</v>
      </c>
      <c r="R73" t="s">
        <v>32</v>
      </c>
      <c r="S73" t="s">
        <v>29</v>
      </c>
      <c r="T73" t="s">
        <v>40</v>
      </c>
      <c r="U73" t="s">
        <v>61</v>
      </c>
      <c r="V73" s="6" t="s">
        <v>35</v>
      </c>
      <c r="W73" t="s">
        <v>55</v>
      </c>
      <c r="X73" t="s">
        <v>37</v>
      </c>
      <c r="Y73" s="6" t="s">
        <v>49</v>
      </c>
    </row>
    <row r="74" spans="2:25" x14ac:dyDescent="0.3">
      <c r="B74" s="5" t="s">
        <v>67</v>
      </c>
      <c r="C74" s="5" t="str">
        <f>VLOOKUP(B74,[1]물질정보!B:C,2,0)</f>
        <v>818-61-1</v>
      </c>
      <c r="D74" t="str">
        <f>VLOOKUP(B74,[1]물질정보!B:D,3,0)</f>
        <v>2-hydroxyethyl acrylate</v>
      </c>
      <c r="E74" t="str">
        <f>VLOOKUP(B74,[1]물질정보!B:E,4,0)</f>
        <v>C5H8O3</v>
      </c>
      <c r="F74" t="str">
        <f>VLOOKUP(B74,[1]물질정보!B:F,5,0)</f>
        <v>116.11 g/mol</v>
      </c>
      <c r="G74" s="5" t="str">
        <f>VLOOKUP(B74,[1]물질정보!B:G,6,0)</f>
        <v>C=CC(=O)OCCO</v>
      </c>
      <c r="H74" t="s">
        <v>26</v>
      </c>
      <c r="I74" t="s">
        <v>51</v>
      </c>
      <c r="J74" t="s">
        <v>49</v>
      </c>
      <c r="K74">
        <v>5.9412674240000003</v>
      </c>
      <c r="L74" t="s">
        <v>39</v>
      </c>
      <c r="M74" t="s">
        <v>29</v>
      </c>
      <c r="N74" t="s">
        <v>29</v>
      </c>
      <c r="O74" t="s">
        <v>29</v>
      </c>
      <c r="P74">
        <v>96</v>
      </c>
      <c r="Q74" t="s">
        <v>31</v>
      </c>
      <c r="R74" t="s">
        <v>32</v>
      </c>
      <c r="S74" t="s">
        <v>29</v>
      </c>
      <c r="T74" t="s">
        <v>40</v>
      </c>
      <c r="U74" t="s">
        <v>62</v>
      </c>
      <c r="V74" s="6" t="s">
        <v>35</v>
      </c>
      <c r="W74" t="s">
        <v>57</v>
      </c>
      <c r="X74" t="s">
        <v>37</v>
      </c>
      <c r="Y74" s="6" t="s">
        <v>49</v>
      </c>
    </row>
    <row r="75" spans="2:25" x14ac:dyDescent="0.3">
      <c r="B75" s="5" t="s">
        <v>67</v>
      </c>
      <c r="C75" s="5" t="str">
        <f>VLOOKUP(B75,[1]물질정보!B:C,2,0)</f>
        <v>818-61-1</v>
      </c>
      <c r="D75" t="str">
        <f>VLOOKUP(B75,[1]물질정보!B:D,3,0)</f>
        <v>2-hydroxyethyl acrylate</v>
      </c>
      <c r="E75" t="str">
        <f>VLOOKUP(B75,[1]물질정보!B:E,4,0)</f>
        <v>C5H8O3</v>
      </c>
      <c r="F75" t="str">
        <f>VLOOKUP(B75,[1]물질정보!B:F,5,0)</f>
        <v>116.11 g/mol</v>
      </c>
      <c r="G75" s="5" t="str">
        <f>VLOOKUP(B75,[1]물질정보!B:G,6,0)</f>
        <v>C=CC(=O)OCCO</v>
      </c>
      <c r="H75" t="s">
        <v>26</v>
      </c>
      <c r="I75" t="s">
        <v>51</v>
      </c>
      <c r="J75" t="s">
        <v>49</v>
      </c>
      <c r="K75">
        <v>2.2351774170000001</v>
      </c>
      <c r="L75" t="s">
        <v>39</v>
      </c>
      <c r="M75" t="s">
        <v>29</v>
      </c>
      <c r="N75" t="s">
        <v>29</v>
      </c>
      <c r="O75" t="s">
        <v>29</v>
      </c>
      <c r="P75">
        <v>96</v>
      </c>
      <c r="Q75" t="s">
        <v>31</v>
      </c>
      <c r="R75" t="s">
        <v>32</v>
      </c>
      <c r="S75" t="s">
        <v>29</v>
      </c>
      <c r="T75" t="s">
        <v>40</v>
      </c>
      <c r="U75" t="s">
        <v>61</v>
      </c>
      <c r="V75" s="6" t="s">
        <v>35</v>
      </c>
      <c r="W75" t="s">
        <v>55</v>
      </c>
      <c r="X75" t="s">
        <v>37</v>
      </c>
      <c r="Y75" s="6" t="s">
        <v>49</v>
      </c>
    </row>
    <row r="76" spans="2:25" x14ac:dyDescent="0.3">
      <c r="B76" s="5" t="s">
        <v>67</v>
      </c>
      <c r="C76" s="5" t="str">
        <f>VLOOKUP(B76,[1]물질정보!B:C,2,0)</f>
        <v>818-61-1</v>
      </c>
      <c r="D76" t="str">
        <f>VLOOKUP(B76,[1]물질정보!B:D,3,0)</f>
        <v>2-hydroxyethyl acrylate</v>
      </c>
      <c r="E76" t="str">
        <f>VLOOKUP(B76,[1]물질정보!B:E,4,0)</f>
        <v>C5H8O3</v>
      </c>
      <c r="F76" t="str">
        <f>VLOOKUP(B76,[1]물질정보!B:F,5,0)</f>
        <v>116.11 g/mol</v>
      </c>
      <c r="G76" s="5" t="str">
        <f>VLOOKUP(B76,[1]물질정보!B:G,6,0)</f>
        <v>C=CC(=O)OCCO</v>
      </c>
      <c r="H76" t="s">
        <v>26</v>
      </c>
      <c r="I76" t="s">
        <v>51</v>
      </c>
      <c r="J76" t="s">
        <v>49</v>
      </c>
      <c r="K76">
        <v>5.9412674240000003</v>
      </c>
      <c r="L76" t="s">
        <v>39</v>
      </c>
      <c r="M76" t="s">
        <v>29</v>
      </c>
      <c r="N76" t="s">
        <v>29</v>
      </c>
      <c r="O76" t="s">
        <v>29</v>
      </c>
      <c r="P76">
        <v>96</v>
      </c>
      <c r="Q76" t="s">
        <v>31</v>
      </c>
      <c r="R76" t="s">
        <v>32</v>
      </c>
      <c r="S76" t="s">
        <v>29</v>
      </c>
      <c r="T76" t="s">
        <v>40</v>
      </c>
      <c r="U76" t="s">
        <v>62</v>
      </c>
      <c r="V76" s="6" t="s">
        <v>35</v>
      </c>
      <c r="W76" t="s">
        <v>57</v>
      </c>
      <c r="X76" t="s">
        <v>37</v>
      </c>
      <c r="Y76" s="6" t="s">
        <v>49</v>
      </c>
    </row>
    <row r="77" spans="2:25" x14ac:dyDescent="0.3">
      <c r="B77" s="5" t="s">
        <v>67</v>
      </c>
      <c r="C77" s="5" t="str">
        <f>VLOOKUP(B77,[1]물질정보!B:C,2,0)</f>
        <v>818-61-1</v>
      </c>
      <c r="D77" t="str">
        <f>VLOOKUP(B77,[1]물질정보!B:D,3,0)</f>
        <v>2-hydroxyethyl acrylate</v>
      </c>
      <c r="E77" t="str">
        <f>VLOOKUP(B77,[1]물질정보!B:E,4,0)</f>
        <v>C5H8O3</v>
      </c>
      <c r="F77" t="str">
        <f>VLOOKUP(B77,[1]물질정보!B:F,5,0)</f>
        <v>116.11 g/mol</v>
      </c>
      <c r="G77" s="5" t="str">
        <f>VLOOKUP(B77,[1]물질정보!B:G,6,0)</f>
        <v>C=CC(=O)OCCO</v>
      </c>
      <c r="H77" t="s">
        <v>26</v>
      </c>
      <c r="I77" t="s">
        <v>27</v>
      </c>
      <c r="J77" t="s">
        <v>28</v>
      </c>
      <c r="K77">
        <v>1.76304197</v>
      </c>
      <c r="L77" t="s">
        <v>39</v>
      </c>
      <c r="M77" t="s">
        <v>29</v>
      </c>
      <c r="N77" t="s">
        <v>29</v>
      </c>
      <c r="O77" t="s">
        <v>29</v>
      </c>
      <c r="P77">
        <v>96</v>
      </c>
      <c r="Q77" t="s">
        <v>31</v>
      </c>
      <c r="R77" t="s">
        <v>32</v>
      </c>
      <c r="S77" t="s">
        <v>29</v>
      </c>
      <c r="T77" t="s">
        <v>40</v>
      </c>
      <c r="U77" t="s">
        <v>63</v>
      </c>
      <c r="V77" s="6" t="s">
        <v>35</v>
      </c>
      <c r="W77" t="s">
        <v>36</v>
      </c>
      <c r="X77" t="s">
        <v>37</v>
      </c>
      <c r="Y77" s="6" t="s">
        <v>28</v>
      </c>
    </row>
    <row r="78" spans="2:25" x14ac:dyDescent="0.3">
      <c r="B78" s="5" t="s">
        <v>67</v>
      </c>
      <c r="C78" s="5" t="str">
        <f>VLOOKUP(B78,[1]물질정보!B:C,2,0)</f>
        <v>818-61-1</v>
      </c>
      <c r="D78" t="str">
        <f>VLOOKUP(B78,[1]물질정보!B:D,3,0)</f>
        <v>2-hydroxyethyl acrylate</v>
      </c>
      <c r="E78" t="str">
        <f>VLOOKUP(B78,[1]물질정보!B:E,4,0)</f>
        <v>C5H8O3</v>
      </c>
      <c r="F78" t="str">
        <f>VLOOKUP(B78,[1]물질정보!B:F,5,0)</f>
        <v>116.11 g/mol</v>
      </c>
      <c r="G78" s="5" t="str">
        <f>VLOOKUP(B78,[1]물질정보!B:G,6,0)</f>
        <v>C=CC(=O)OCCO</v>
      </c>
      <c r="H78" t="s">
        <v>26</v>
      </c>
      <c r="I78" t="s">
        <v>27</v>
      </c>
      <c r="J78" t="s">
        <v>28</v>
      </c>
      <c r="K78">
        <v>1.76304197</v>
      </c>
      <c r="L78" t="s">
        <v>39</v>
      </c>
      <c r="M78" t="s">
        <v>29</v>
      </c>
      <c r="N78" t="s">
        <v>29</v>
      </c>
      <c r="O78" t="s">
        <v>29</v>
      </c>
      <c r="P78">
        <v>96</v>
      </c>
      <c r="Q78" t="s">
        <v>31</v>
      </c>
      <c r="R78" t="s">
        <v>32</v>
      </c>
      <c r="S78" t="s">
        <v>29</v>
      </c>
      <c r="T78" t="s">
        <v>40</v>
      </c>
      <c r="U78" t="s">
        <v>63</v>
      </c>
      <c r="V78" s="6" t="s">
        <v>35</v>
      </c>
      <c r="W78" t="s">
        <v>36</v>
      </c>
      <c r="X78" t="s">
        <v>37</v>
      </c>
      <c r="Y78" s="6" t="s">
        <v>28</v>
      </c>
    </row>
    <row r="79" spans="2:25" x14ac:dyDescent="0.3">
      <c r="B79" s="5" t="s">
        <v>68</v>
      </c>
      <c r="C79" s="5" t="str">
        <f>VLOOKUP(B79,[1]물질정보!B:C,2,0)</f>
        <v>997-46-6</v>
      </c>
      <c r="D79" t="str">
        <f>VLOOKUP(B79,[1]물질정보!B:D,3,0)</f>
        <v>4-hydroxybutyl methacrylate</v>
      </c>
      <c r="E79" t="str">
        <f>VLOOKUP(B79,[1]물질정보!B:E,4,0)</f>
        <v>C8H14O3</v>
      </c>
      <c r="F79" t="str">
        <f>VLOOKUP(B79,[1]물질정보!B:F,5,0)</f>
        <v>158.19 g/mol</v>
      </c>
      <c r="G79" s="5" t="str">
        <f>VLOOKUP(B79,[1]물질정보!B:G,6,0)</f>
        <v>CC(=C)C(=O)OCCCCO</v>
      </c>
      <c r="H79" t="s">
        <v>26</v>
      </c>
      <c r="I79" t="s">
        <v>27</v>
      </c>
      <c r="J79" t="s">
        <v>28</v>
      </c>
      <c r="K79">
        <v>39.490720000000003</v>
      </c>
      <c r="L79" t="s">
        <v>39</v>
      </c>
      <c r="M79" t="s">
        <v>29</v>
      </c>
      <c r="N79" t="s">
        <v>29</v>
      </c>
      <c r="O79" t="s">
        <v>29</v>
      </c>
      <c r="P79">
        <v>72</v>
      </c>
      <c r="Q79" t="s">
        <v>31</v>
      </c>
      <c r="R79" t="s">
        <v>32</v>
      </c>
      <c r="S79" t="s">
        <v>29</v>
      </c>
      <c r="T79" t="s">
        <v>40</v>
      </c>
      <c r="U79" t="s">
        <v>41</v>
      </c>
      <c r="V79" s="6" t="s">
        <v>35</v>
      </c>
      <c r="W79" t="s">
        <v>43</v>
      </c>
      <c r="X79" t="s">
        <v>44</v>
      </c>
      <c r="Y79" s="6" t="s">
        <v>28</v>
      </c>
    </row>
    <row r="80" spans="2:25" x14ac:dyDescent="0.3">
      <c r="B80" s="5" t="s">
        <v>68</v>
      </c>
      <c r="C80" s="5" t="str">
        <f>VLOOKUP(B80,[1]물질정보!B:C,2,0)</f>
        <v>997-46-6</v>
      </c>
      <c r="D80" t="str">
        <f>VLOOKUP(B80,[1]물질정보!B:D,3,0)</f>
        <v>4-hydroxybutyl methacrylate</v>
      </c>
      <c r="E80" t="str">
        <f>VLOOKUP(B80,[1]물질정보!B:E,4,0)</f>
        <v>C8H14O3</v>
      </c>
      <c r="F80" t="str">
        <f>VLOOKUP(B80,[1]물질정보!B:F,5,0)</f>
        <v>158.19 g/mol</v>
      </c>
      <c r="G80" s="5" t="str">
        <f>VLOOKUP(B80,[1]물질정보!B:G,6,0)</f>
        <v>CC(=C)C(=O)OCCCCO</v>
      </c>
      <c r="H80" t="s">
        <v>26</v>
      </c>
      <c r="I80" t="s">
        <v>27</v>
      </c>
      <c r="J80" t="s">
        <v>28</v>
      </c>
      <c r="K80">
        <v>39.490720000000003</v>
      </c>
      <c r="L80" t="s">
        <v>39</v>
      </c>
      <c r="M80" t="s">
        <v>29</v>
      </c>
      <c r="N80" t="s">
        <v>29</v>
      </c>
      <c r="O80" t="s">
        <v>29</v>
      </c>
      <c r="P80">
        <v>72</v>
      </c>
      <c r="Q80" t="s">
        <v>31</v>
      </c>
      <c r="R80" t="s">
        <v>32</v>
      </c>
      <c r="S80" t="s">
        <v>29</v>
      </c>
      <c r="T80" t="s">
        <v>40</v>
      </c>
      <c r="U80" t="s">
        <v>41</v>
      </c>
      <c r="V80" s="6" t="s">
        <v>35</v>
      </c>
      <c r="W80" t="s">
        <v>43</v>
      </c>
      <c r="X80" t="s">
        <v>44</v>
      </c>
      <c r="Y80" s="6" t="s">
        <v>28</v>
      </c>
    </row>
    <row r="81" spans="2:25" x14ac:dyDescent="0.3">
      <c r="B81" s="5" t="s">
        <v>68</v>
      </c>
      <c r="C81" s="5" t="str">
        <f>VLOOKUP(B81,[1]물질정보!B:C,2,0)</f>
        <v>997-46-6</v>
      </c>
      <c r="D81" t="str">
        <f>VLOOKUP(B81,[1]물질정보!B:D,3,0)</f>
        <v>4-hydroxybutyl methacrylate</v>
      </c>
      <c r="E81" t="str">
        <f>VLOOKUP(B81,[1]물질정보!B:E,4,0)</f>
        <v>C8H14O3</v>
      </c>
      <c r="F81" t="str">
        <f>VLOOKUP(B81,[1]물질정보!B:F,5,0)</f>
        <v>158.19 g/mol</v>
      </c>
      <c r="G81" s="5" t="str">
        <f>VLOOKUP(B81,[1]물질정보!B:G,6,0)</f>
        <v>CC(=C)C(=O)OCCCCO</v>
      </c>
      <c r="H81" t="s">
        <v>26</v>
      </c>
      <c r="I81" t="s">
        <v>45</v>
      </c>
      <c r="J81" t="s">
        <v>28</v>
      </c>
      <c r="K81">
        <v>501.02690000000001</v>
      </c>
      <c r="L81" t="s">
        <v>39</v>
      </c>
      <c r="M81" t="s">
        <v>29</v>
      </c>
      <c r="N81" t="s">
        <v>29</v>
      </c>
      <c r="O81" t="s">
        <v>29</v>
      </c>
      <c r="P81">
        <v>48</v>
      </c>
      <c r="Q81" t="s">
        <v>31</v>
      </c>
      <c r="R81" t="s">
        <v>32</v>
      </c>
      <c r="S81" t="s">
        <v>29</v>
      </c>
      <c r="T81" t="s">
        <v>40</v>
      </c>
      <c r="U81" t="s">
        <v>46</v>
      </c>
      <c r="V81" s="6" t="s">
        <v>35</v>
      </c>
      <c r="W81" t="s">
        <v>47</v>
      </c>
      <c r="X81" t="s">
        <v>48</v>
      </c>
      <c r="Y81" s="6" t="s">
        <v>28</v>
      </c>
    </row>
    <row r="82" spans="2:25" x14ac:dyDescent="0.3">
      <c r="B82" s="5" t="s">
        <v>68</v>
      </c>
      <c r="C82" s="5" t="str">
        <f>VLOOKUP(B82,[1]물질정보!B:C,2,0)</f>
        <v>997-46-6</v>
      </c>
      <c r="D82" t="str">
        <f>VLOOKUP(B82,[1]물질정보!B:D,3,0)</f>
        <v>4-hydroxybutyl methacrylate</v>
      </c>
      <c r="E82" t="str">
        <f>VLOOKUP(B82,[1]물질정보!B:E,4,0)</f>
        <v>C8H14O3</v>
      </c>
      <c r="F82" t="str">
        <f>VLOOKUP(B82,[1]물질정보!B:F,5,0)</f>
        <v>158.19 g/mol</v>
      </c>
      <c r="G82" s="5" t="str">
        <f>VLOOKUP(B82,[1]물질정보!B:G,6,0)</f>
        <v>CC(=C)C(=O)OCCCCO</v>
      </c>
      <c r="H82" t="s">
        <v>26</v>
      </c>
      <c r="I82" t="s">
        <v>45</v>
      </c>
      <c r="J82" t="s">
        <v>28</v>
      </c>
      <c r="K82">
        <v>501.02690000000001</v>
      </c>
      <c r="L82" t="s">
        <v>39</v>
      </c>
      <c r="M82" t="s">
        <v>29</v>
      </c>
      <c r="N82" t="s">
        <v>29</v>
      </c>
      <c r="O82" t="s">
        <v>29</v>
      </c>
      <c r="P82">
        <v>48</v>
      </c>
      <c r="Q82" t="s">
        <v>31</v>
      </c>
      <c r="R82" t="s">
        <v>32</v>
      </c>
      <c r="S82" t="s">
        <v>29</v>
      </c>
      <c r="T82" t="s">
        <v>40</v>
      </c>
      <c r="U82" t="s">
        <v>46</v>
      </c>
      <c r="V82" s="6" t="s">
        <v>35</v>
      </c>
      <c r="W82" t="s">
        <v>47</v>
      </c>
      <c r="X82" t="s">
        <v>48</v>
      </c>
      <c r="Y82" s="6" t="s">
        <v>28</v>
      </c>
    </row>
    <row r="83" spans="2:25" x14ac:dyDescent="0.3">
      <c r="B83" s="5" t="s">
        <v>68</v>
      </c>
      <c r="C83" s="5" t="str">
        <f>VLOOKUP(B83,[1]물질정보!B:C,2,0)</f>
        <v>997-46-6</v>
      </c>
      <c r="D83" t="str">
        <f>VLOOKUP(B83,[1]물질정보!B:D,3,0)</f>
        <v>4-hydroxybutyl methacrylate</v>
      </c>
      <c r="E83" t="str">
        <f>VLOOKUP(B83,[1]물질정보!B:E,4,0)</f>
        <v>C8H14O3</v>
      </c>
      <c r="F83" t="str">
        <f>VLOOKUP(B83,[1]물질정보!B:F,5,0)</f>
        <v>158.19 g/mol</v>
      </c>
      <c r="G83" s="5" t="str">
        <f>VLOOKUP(B83,[1]물질정보!B:G,6,0)</f>
        <v>CC(=C)C(=O)OCCCCO</v>
      </c>
      <c r="H83" t="s">
        <v>26</v>
      </c>
      <c r="I83" t="s">
        <v>45</v>
      </c>
      <c r="J83" t="s">
        <v>49</v>
      </c>
      <c r="K83">
        <v>70.183827789999995</v>
      </c>
      <c r="L83" t="s">
        <v>39</v>
      </c>
      <c r="M83" t="s">
        <v>29</v>
      </c>
      <c r="N83" t="s">
        <v>29</v>
      </c>
      <c r="O83" t="s">
        <v>29</v>
      </c>
      <c r="P83">
        <v>48</v>
      </c>
      <c r="Q83" t="s">
        <v>31</v>
      </c>
      <c r="R83" t="s">
        <v>32</v>
      </c>
      <c r="S83" t="s">
        <v>29</v>
      </c>
      <c r="T83" t="s">
        <v>40</v>
      </c>
      <c r="U83" t="s">
        <v>50</v>
      </c>
      <c r="V83" s="6" t="s">
        <v>35</v>
      </c>
      <c r="W83" t="s">
        <v>47</v>
      </c>
      <c r="X83" t="s">
        <v>48</v>
      </c>
      <c r="Y83" s="6" t="s">
        <v>49</v>
      </c>
    </row>
    <row r="84" spans="2:25" x14ac:dyDescent="0.3">
      <c r="B84" s="5" t="s">
        <v>68</v>
      </c>
      <c r="C84" s="5" t="str">
        <f>VLOOKUP(B84,[1]물질정보!B:C,2,0)</f>
        <v>997-46-6</v>
      </c>
      <c r="D84" t="str">
        <f>VLOOKUP(B84,[1]물질정보!B:D,3,0)</f>
        <v>4-hydroxybutyl methacrylate</v>
      </c>
      <c r="E84" t="str">
        <f>VLOOKUP(B84,[1]물질정보!B:E,4,0)</f>
        <v>C8H14O3</v>
      </c>
      <c r="F84" t="str">
        <f>VLOOKUP(B84,[1]물질정보!B:F,5,0)</f>
        <v>158.19 g/mol</v>
      </c>
      <c r="G84" s="5" t="str">
        <f>VLOOKUP(B84,[1]물질정보!B:G,6,0)</f>
        <v>CC(=C)C(=O)OCCCCO</v>
      </c>
      <c r="H84" t="s">
        <v>26</v>
      </c>
      <c r="I84" t="s">
        <v>45</v>
      </c>
      <c r="J84" t="s">
        <v>49</v>
      </c>
      <c r="K84">
        <v>70.183827789999995</v>
      </c>
      <c r="L84" t="s">
        <v>39</v>
      </c>
      <c r="M84" t="s">
        <v>29</v>
      </c>
      <c r="N84" t="s">
        <v>29</v>
      </c>
      <c r="O84" t="s">
        <v>29</v>
      </c>
      <c r="P84">
        <v>48</v>
      </c>
      <c r="Q84" t="s">
        <v>31</v>
      </c>
      <c r="R84" t="s">
        <v>32</v>
      </c>
      <c r="S84" t="s">
        <v>29</v>
      </c>
      <c r="T84" t="s">
        <v>40</v>
      </c>
      <c r="U84" t="s">
        <v>50</v>
      </c>
      <c r="V84" s="6" t="s">
        <v>35</v>
      </c>
      <c r="W84" t="s">
        <v>47</v>
      </c>
      <c r="X84" t="s">
        <v>48</v>
      </c>
      <c r="Y84" s="6" t="s">
        <v>49</v>
      </c>
    </row>
    <row r="85" spans="2:25" x14ac:dyDescent="0.3">
      <c r="B85" s="5" t="s">
        <v>68</v>
      </c>
      <c r="C85" s="5" t="str">
        <f>VLOOKUP(B85,[1]물질정보!B:C,2,0)</f>
        <v>997-46-6</v>
      </c>
      <c r="D85" t="str">
        <f>VLOOKUP(B85,[1]물질정보!B:D,3,0)</f>
        <v>4-hydroxybutyl methacrylate</v>
      </c>
      <c r="E85" t="str">
        <f>VLOOKUP(B85,[1]물질정보!B:E,4,0)</f>
        <v>C8H14O3</v>
      </c>
      <c r="F85" t="str">
        <f>VLOOKUP(B85,[1]물질정보!B:F,5,0)</f>
        <v>158.19 g/mol</v>
      </c>
      <c r="G85" s="5" t="str">
        <f>VLOOKUP(B85,[1]물질정보!B:G,6,0)</f>
        <v>CC(=C)C(=O)OCCCCO</v>
      </c>
      <c r="H85" t="s">
        <v>26</v>
      </c>
      <c r="I85" t="s">
        <v>51</v>
      </c>
      <c r="J85" t="s">
        <v>49</v>
      </c>
      <c r="K85">
        <v>27.569410000000001</v>
      </c>
      <c r="L85" t="s">
        <v>39</v>
      </c>
      <c r="M85" t="s">
        <v>29</v>
      </c>
      <c r="N85" t="s">
        <v>29</v>
      </c>
      <c r="O85" t="s">
        <v>29</v>
      </c>
      <c r="P85">
        <v>96</v>
      </c>
      <c r="Q85" t="s">
        <v>31</v>
      </c>
      <c r="R85" t="s">
        <v>32</v>
      </c>
      <c r="S85" t="s">
        <v>29</v>
      </c>
      <c r="T85" t="s">
        <v>40</v>
      </c>
      <c r="U85" t="s">
        <v>52</v>
      </c>
      <c r="V85" s="6" t="s">
        <v>35</v>
      </c>
      <c r="W85" t="s">
        <v>53</v>
      </c>
      <c r="X85" t="s">
        <v>37</v>
      </c>
      <c r="Y85" s="6" t="s">
        <v>49</v>
      </c>
    </row>
    <row r="86" spans="2:25" x14ac:dyDescent="0.3">
      <c r="B86" s="5" t="s">
        <v>68</v>
      </c>
      <c r="C86" s="5" t="str">
        <f>VLOOKUP(B86,[1]물질정보!B:C,2,0)</f>
        <v>997-46-6</v>
      </c>
      <c r="D86" t="str">
        <f>VLOOKUP(B86,[1]물질정보!B:D,3,0)</f>
        <v>4-hydroxybutyl methacrylate</v>
      </c>
      <c r="E86" t="str">
        <f>VLOOKUP(B86,[1]물질정보!B:E,4,0)</f>
        <v>C8H14O3</v>
      </c>
      <c r="F86" t="str">
        <f>VLOOKUP(B86,[1]물질정보!B:F,5,0)</f>
        <v>158.19 g/mol</v>
      </c>
      <c r="G86" s="5" t="str">
        <f>VLOOKUP(B86,[1]물질정보!B:G,6,0)</f>
        <v>CC(=C)C(=O)OCCCCO</v>
      </c>
      <c r="H86" t="s">
        <v>26</v>
      </c>
      <c r="I86" t="s">
        <v>51</v>
      </c>
      <c r="J86" t="s">
        <v>49</v>
      </c>
      <c r="K86">
        <v>27.569410000000001</v>
      </c>
      <c r="L86" t="s">
        <v>39</v>
      </c>
      <c r="M86" t="s">
        <v>29</v>
      </c>
      <c r="N86" t="s">
        <v>29</v>
      </c>
      <c r="O86" t="s">
        <v>29</v>
      </c>
      <c r="P86">
        <v>96</v>
      </c>
      <c r="Q86" t="s">
        <v>31</v>
      </c>
      <c r="R86" t="s">
        <v>32</v>
      </c>
      <c r="S86" t="s">
        <v>29</v>
      </c>
      <c r="T86" t="s">
        <v>40</v>
      </c>
      <c r="U86" t="s">
        <v>52</v>
      </c>
      <c r="V86" s="6" t="s">
        <v>35</v>
      </c>
      <c r="W86" t="s">
        <v>53</v>
      </c>
      <c r="X86" t="s">
        <v>37</v>
      </c>
      <c r="Y86" s="6" t="s">
        <v>49</v>
      </c>
    </row>
    <row r="87" spans="2:25" x14ac:dyDescent="0.3">
      <c r="B87" s="5" t="s">
        <v>68</v>
      </c>
      <c r="C87" s="5" t="str">
        <f>VLOOKUP(B87,[1]물질정보!B:C,2,0)</f>
        <v>997-46-6</v>
      </c>
      <c r="D87" t="str">
        <f>VLOOKUP(B87,[1]물질정보!B:D,3,0)</f>
        <v>4-hydroxybutyl methacrylate</v>
      </c>
      <c r="E87" t="str">
        <f>VLOOKUP(B87,[1]물질정보!B:E,4,0)</f>
        <v>C8H14O3</v>
      </c>
      <c r="F87" t="str">
        <f>VLOOKUP(B87,[1]물질정보!B:F,5,0)</f>
        <v>158.19 g/mol</v>
      </c>
      <c r="G87" s="5" t="str">
        <f>VLOOKUP(B87,[1]물질정보!B:G,6,0)</f>
        <v>CC(=C)C(=O)OCCCCO</v>
      </c>
      <c r="H87" t="s">
        <v>26</v>
      </c>
      <c r="I87" t="s">
        <v>51</v>
      </c>
      <c r="J87" t="s">
        <v>49</v>
      </c>
      <c r="K87">
        <v>92.143887449999994</v>
      </c>
      <c r="L87" t="s">
        <v>39</v>
      </c>
      <c r="M87" t="s">
        <v>29</v>
      </c>
      <c r="N87" t="s">
        <v>29</v>
      </c>
      <c r="O87" t="s">
        <v>29</v>
      </c>
      <c r="P87">
        <v>96</v>
      </c>
      <c r="Q87" t="s">
        <v>31</v>
      </c>
      <c r="R87" t="s">
        <v>32</v>
      </c>
      <c r="S87" t="s">
        <v>29</v>
      </c>
      <c r="T87" t="s">
        <v>40</v>
      </c>
      <c r="U87" t="s">
        <v>56</v>
      </c>
      <c r="V87" s="6" t="s">
        <v>35</v>
      </c>
      <c r="W87" t="s">
        <v>57</v>
      </c>
      <c r="X87" t="s">
        <v>37</v>
      </c>
      <c r="Y87" s="6" t="s">
        <v>49</v>
      </c>
    </row>
    <row r="88" spans="2:25" x14ac:dyDescent="0.3">
      <c r="B88" s="5" t="s">
        <v>68</v>
      </c>
      <c r="C88" s="5" t="str">
        <f>VLOOKUP(B88,[1]물질정보!B:C,2,0)</f>
        <v>997-46-6</v>
      </c>
      <c r="D88" t="str">
        <f>VLOOKUP(B88,[1]물질정보!B:D,3,0)</f>
        <v>4-hydroxybutyl methacrylate</v>
      </c>
      <c r="E88" t="str">
        <f>VLOOKUP(B88,[1]물질정보!B:E,4,0)</f>
        <v>C8H14O3</v>
      </c>
      <c r="F88" t="str">
        <f>VLOOKUP(B88,[1]물질정보!B:F,5,0)</f>
        <v>158.19 g/mol</v>
      </c>
      <c r="G88" s="5" t="str">
        <f>VLOOKUP(B88,[1]물질정보!B:G,6,0)</f>
        <v>CC(=C)C(=O)OCCCCO</v>
      </c>
      <c r="H88" t="s">
        <v>26</v>
      </c>
      <c r="I88" t="s">
        <v>51</v>
      </c>
      <c r="J88" t="s">
        <v>49</v>
      </c>
      <c r="K88">
        <v>92.143887449999994</v>
      </c>
      <c r="L88" t="s">
        <v>39</v>
      </c>
      <c r="M88" t="s">
        <v>29</v>
      </c>
      <c r="N88" t="s">
        <v>29</v>
      </c>
      <c r="O88" t="s">
        <v>29</v>
      </c>
      <c r="P88">
        <v>96</v>
      </c>
      <c r="Q88" t="s">
        <v>31</v>
      </c>
      <c r="R88" t="s">
        <v>32</v>
      </c>
      <c r="S88" t="s">
        <v>29</v>
      </c>
      <c r="T88" t="s">
        <v>40</v>
      </c>
      <c r="U88" t="s">
        <v>56</v>
      </c>
      <c r="V88" s="6" t="s">
        <v>35</v>
      </c>
      <c r="W88" t="s">
        <v>57</v>
      </c>
      <c r="X88" t="s">
        <v>37</v>
      </c>
      <c r="Y88" s="6" t="s">
        <v>49</v>
      </c>
    </row>
    <row r="89" spans="2:25" x14ac:dyDescent="0.3">
      <c r="B89" s="5" t="s">
        <v>68</v>
      </c>
      <c r="C89" s="5" t="str">
        <f>VLOOKUP(B89,[1]물질정보!B:C,2,0)</f>
        <v>997-46-6</v>
      </c>
      <c r="D89" t="str">
        <f>VLOOKUP(B89,[1]물질정보!B:D,3,0)</f>
        <v>4-hydroxybutyl methacrylate</v>
      </c>
      <c r="E89" t="str">
        <f>VLOOKUP(B89,[1]물질정보!B:E,4,0)</f>
        <v>C8H14O3</v>
      </c>
      <c r="F89" t="str">
        <f>VLOOKUP(B89,[1]물질정보!B:F,5,0)</f>
        <v>158.19 g/mol</v>
      </c>
      <c r="G89" s="5" t="str">
        <f>VLOOKUP(B89,[1]물질정보!B:G,6,0)</f>
        <v>CC(=C)C(=O)OCCCCO</v>
      </c>
      <c r="H89" t="s">
        <v>26</v>
      </c>
      <c r="I89" t="s">
        <v>27</v>
      </c>
      <c r="J89" t="s">
        <v>28</v>
      </c>
      <c r="K89">
        <v>0.40706796899999997</v>
      </c>
      <c r="L89" t="s">
        <v>39</v>
      </c>
      <c r="M89" t="s">
        <v>29</v>
      </c>
      <c r="N89" t="s">
        <v>29</v>
      </c>
      <c r="O89" t="s">
        <v>29</v>
      </c>
      <c r="P89">
        <v>96</v>
      </c>
      <c r="Q89" t="s">
        <v>31</v>
      </c>
      <c r="R89" t="s">
        <v>32</v>
      </c>
      <c r="S89" t="s">
        <v>29</v>
      </c>
      <c r="T89" t="s">
        <v>40</v>
      </c>
      <c r="U89" t="s">
        <v>58</v>
      </c>
      <c r="V89" s="6" t="s">
        <v>35</v>
      </c>
      <c r="W89" t="s">
        <v>36</v>
      </c>
      <c r="X89" t="s">
        <v>37</v>
      </c>
      <c r="Y89" s="6" t="s">
        <v>28</v>
      </c>
    </row>
    <row r="90" spans="2:25" x14ac:dyDescent="0.3">
      <c r="B90" s="5" t="s">
        <v>68</v>
      </c>
      <c r="C90" s="5" t="str">
        <f>VLOOKUP(B90,[1]물질정보!B:C,2,0)</f>
        <v>997-46-6</v>
      </c>
      <c r="D90" t="str">
        <f>VLOOKUP(B90,[1]물질정보!B:D,3,0)</f>
        <v>4-hydroxybutyl methacrylate</v>
      </c>
      <c r="E90" t="str">
        <f>VLOOKUP(B90,[1]물질정보!B:E,4,0)</f>
        <v>C8H14O3</v>
      </c>
      <c r="F90" t="str">
        <f>VLOOKUP(B90,[1]물질정보!B:F,5,0)</f>
        <v>158.19 g/mol</v>
      </c>
      <c r="G90" s="5" t="str">
        <f>VLOOKUP(B90,[1]물질정보!B:G,6,0)</f>
        <v>CC(=C)C(=O)OCCCCO</v>
      </c>
      <c r="H90" t="s">
        <v>26</v>
      </c>
      <c r="I90" t="s">
        <v>27</v>
      </c>
      <c r="J90" t="s">
        <v>28</v>
      </c>
      <c r="K90">
        <v>0.40706796899999997</v>
      </c>
      <c r="L90" t="s">
        <v>39</v>
      </c>
      <c r="M90" t="s">
        <v>29</v>
      </c>
      <c r="N90" t="s">
        <v>29</v>
      </c>
      <c r="O90" t="s">
        <v>29</v>
      </c>
      <c r="P90">
        <v>96</v>
      </c>
      <c r="Q90" t="s">
        <v>31</v>
      </c>
      <c r="R90" t="s">
        <v>32</v>
      </c>
      <c r="S90" t="s">
        <v>29</v>
      </c>
      <c r="T90" t="s">
        <v>40</v>
      </c>
      <c r="U90" t="s">
        <v>58</v>
      </c>
      <c r="V90" s="6" t="s">
        <v>35</v>
      </c>
      <c r="W90" t="s">
        <v>36</v>
      </c>
      <c r="X90" t="s">
        <v>37</v>
      </c>
      <c r="Y90" s="6" t="s">
        <v>28</v>
      </c>
    </row>
    <row r="91" spans="2:25" x14ac:dyDescent="0.3">
      <c r="B91" s="5" t="s">
        <v>69</v>
      </c>
      <c r="C91" s="5" t="str">
        <f>VLOOKUP(B91,[1]물질정보!B:C,2,0)</f>
        <v>868-77-9</v>
      </c>
      <c r="D91" t="str">
        <f>VLOOKUP(B91,[1]물질정보!B:D,3,0)</f>
        <v>2-hydroxyethyl methacrylate</v>
      </c>
      <c r="E91" t="str">
        <f>VLOOKUP(B91,[1]물질정보!B:E,4,0)</f>
        <v>C6H10O3</v>
      </c>
      <c r="F91" t="str">
        <f>VLOOKUP(B91,[1]물질정보!B:F,5,0)</f>
        <v>130.139 g/mol</v>
      </c>
      <c r="G91" s="5" t="str">
        <f>VLOOKUP(B91,[1]물질정보!B:G,6,0)</f>
        <v>CC(=C)C(=O)OCCO</v>
      </c>
      <c r="H91" t="s">
        <v>26</v>
      </c>
      <c r="I91" t="s">
        <v>27</v>
      </c>
      <c r="J91" t="s">
        <v>28</v>
      </c>
      <c r="K91">
        <v>78.915559999999999</v>
      </c>
      <c r="L91" t="s">
        <v>39</v>
      </c>
      <c r="M91" t="s">
        <v>29</v>
      </c>
      <c r="N91" t="s">
        <v>29</v>
      </c>
      <c r="O91" t="s">
        <v>29</v>
      </c>
      <c r="P91">
        <v>72</v>
      </c>
      <c r="Q91" t="s">
        <v>31</v>
      </c>
      <c r="R91" t="s">
        <v>32</v>
      </c>
      <c r="S91" t="s">
        <v>29</v>
      </c>
      <c r="T91" t="s">
        <v>40</v>
      </c>
      <c r="U91" t="s">
        <v>41</v>
      </c>
      <c r="V91" s="6" t="s">
        <v>35</v>
      </c>
      <c r="W91" t="s">
        <v>43</v>
      </c>
      <c r="X91" t="s">
        <v>44</v>
      </c>
      <c r="Y91" s="6" t="s">
        <v>28</v>
      </c>
    </row>
    <row r="92" spans="2:25" x14ac:dyDescent="0.3">
      <c r="B92" s="5" t="s">
        <v>69</v>
      </c>
      <c r="C92" s="5" t="str">
        <f>VLOOKUP(B92,[1]물질정보!B:C,2,0)</f>
        <v>868-77-9</v>
      </c>
      <c r="D92" t="str">
        <f>VLOOKUP(B92,[1]물질정보!B:D,3,0)</f>
        <v>2-hydroxyethyl methacrylate</v>
      </c>
      <c r="E92" t="str">
        <f>VLOOKUP(B92,[1]물질정보!B:E,4,0)</f>
        <v>C6H10O3</v>
      </c>
      <c r="F92" t="str">
        <f>VLOOKUP(B92,[1]물질정보!B:F,5,0)</f>
        <v>130.139 g/mol</v>
      </c>
      <c r="G92" s="5" t="str">
        <f>VLOOKUP(B92,[1]물질정보!B:G,6,0)</f>
        <v>CC(=C)C(=O)OCCO</v>
      </c>
      <c r="H92" t="s">
        <v>26</v>
      </c>
      <c r="I92" t="s">
        <v>27</v>
      </c>
      <c r="J92" t="s">
        <v>28</v>
      </c>
      <c r="K92">
        <v>78.915559999999999</v>
      </c>
      <c r="L92" t="s">
        <v>39</v>
      </c>
      <c r="M92" t="s">
        <v>29</v>
      </c>
      <c r="N92" t="s">
        <v>29</v>
      </c>
      <c r="O92" t="s">
        <v>29</v>
      </c>
      <c r="P92">
        <v>72</v>
      </c>
      <c r="Q92" t="s">
        <v>31</v>
      </c>
      <c r="R92" t="s">
        <v>32</v>
      </c>
      <c r="S92" t="s">
        <v>29</v>
      </c>
      <c r="T92" t="s">
        <v>40</v>
      </c>
      <c r="U92" t="s">
        <v>41</v>
      </c>
      <c r="V92" s="6" t="s">
        <v>35</v>
      </c>
      <c r="W92" t="s">
        <v>43</v>
      </c>
      <c r="X92" t="s">
        <v>44</v>
      </c>
      <c r="Y92" s="6" t="s">
        <v>28</v>
      </c>
    </row>
    <row r="93" spans="2:25" x14ac:dyDescent="0.3">
      <c r="B93" s="5" t="s">
        <v>69</v>
      </c>
      <c r="C93" s="5" t="str">
        <f>VLOOKUP(B93,[1]물질정보!B:C,2,0)</f>
        <v>868-77-9</v>
      </c>
      <c r="D93" t="str">
        <f>VLOOKUP(B93,[1]물질정보!B:D,3,0)</f>
        <v>2-hydroxyethyl methacrylate</v>
      </c>
      <c r="E93" t="str">
        <f>VLOOKUP(B93,[1]물질정보!B:E,4,0)</f>
        <v>C6H10O3</v>
      </c>
      <c r="F93" t="str">
        <f>VLOOKUP(B93,[1]물질정보!B:F,5,0)</f>
        <v>130.139 g/mol</v>
      </c>
      <c r="G93" s="5" t="str">
        <f>VLOOKUP(B93,[1]물질정보!B:G,6,0)</f>
        <v>CC(=C)C(=O)OCCO</v>
      </c>
      <c r="H93" t="s">
        <v>26</v>
      </c>
      <c r="I93" t="s">
        <v>45</v>
      </c>
      <c r="J93" t="s">
        <v>28</v>
      </c>
      <c r="K93">
        <v>469.12240000000003</v>
      </c>
      <c r="L93" t="s">
        <v>39</v>
      </c>
      <c r="M93" t="s">
        <v>29</v>
      </c>
      <c r="N93" t="s">
        <v>29</v>
      </c>
      <c r="O93" t="s">
        <v>29</v>
      </c>
      <c r="P93">
        <v>48</v>
      </c>
      <c r="Q93" t="s">
        <v>31</v>
      </c>
      <c r="R93" t="s">
        <v>32</v>
      </c>
      <c r="S93" t="s">
        <v>29</v>
      </c>
      <c r="T93" t="s">
        <v>40</v>
      </c>
      <c r="U93" t="s">
        <v>46</v>
      </c>
      <c r="V93" s="6" t="s">
        <v>35</v>
      </c>
      <c r="W93" t="s">
        <v>47</v>
      </c>
      <c r="X93" t="s">
        <v>48</v>
      </c>
      <c r="Y93" s="6" t="s">
        <v>28</v>
      </c>
    </row>
    <row r="94" spans="2:25" x14ac:dyDescent="0.3">
      <c r="B94" s="5" t="s">
        <v>69</v>
      </c>
      <c r="C94" s="5" t="str">
        <f>VLOOKUP(B94,[1]물질정보!B:C,2,0)</f>
        <v>868-77-9</v>
      </c>
      <c r="D94" t="str">
        <f>VLOOKUP(B94,[1]물질정보!B:D,3,0)</f>
        <v>2-hydroxyethyl methacrylate</v>
      </c>
      <c r="E94" t="str">
        <f>VLOOKUP(B94,[1]물질정보!B:E,4,0)</f>
        <v>C6H10O3</v>
      </c>
      <c r="F94" t="str">
        <f>VLOOKUP(B94,[1]물질정보!B:F,5,0)</f>
        <v>130.139 g/mol</v>
      </c>
      <c r="G94" s="5" t="str">
        <f>VLOOKUP(B94,[1]물질정보!B:G,6,0)</f>
        <v>CC(=C)C(=O)OCCO</v>
      </c>
      <c r="H94" t="s">
        <v>26</v>
      </c>
      <c r="I94" t="s">
        <v>45</v>
      </c>
      <c r="J94" t="s">
        <v>28</v>
      </c>
      <c r="K94">
        <v>469.12240000000003</v>
      </c>
      <c r="L94" t="s">
        <v>39</v>
      </c>
      <c r="M94" t="s">
        <v>29</v>
      </c>
      <c r="N94" t="s">
        <v>29</v>
      </c>
      <c r="O94" t="s">
        <v>29</v>
      </c>
      <c r="P94">
        <v>48</v>
      </c>
      <c r="Q94" t="s">
        <v>31</v>
      </c>
      <c r="R94" t="s">
        <v>32</v>
      </c>
      <c r="S94" t="s">
        <v>29</v>
      </c>
      <c r="T94" t="s">
        <v>40</v>
      </c>
      <c r="U94" t="s">
        <v>46</v>
      </c>
      <c r="V94" s="6" t="s">
        <v>35</v>
      </c>
      <c r="W94" t="s">
        <v>47</v>
      </c>
      <c r="X94" t="s">
        <v>48</v>
      </c>
      <c r="Y94" s="6" t="s">
        <v>28</v>
      </c>
    </row>
    <row r="95" spans="2:25" x14ac:dyDescent="0.3">
      <c r="B95" s="5" t="s">
        <v>69</v>
      </c>
      <c r="C95" s="5" t="str">
        <f>VLOOKUP(B95,[1]물질정보!B:C,2,0)</f>
        <v>868-77-9</v>
      </c>
      <c r="D95" t="str">
        <f>VLOOKUP(B95,[1]물질정보!B:D,3,0)</f>
        <v>2-hydroxyethyl methacrylate</v>
      </c>
      <c r="E95" t="str">
        <f>VLOOKUP(B95,[1]물질정보!B:E,4,0)</f>
        <v>C6H10O3</v>
      </c>
      <c r="F95" t="str">
        <f>VLOOKUP(B95,[1]물질정보!B:F,5,0)</f>
        <v>130.139 g/mol</v>
      </c>
      <c r="G95" s="5" t="str">
        <f>VLOOKUP(B95,[1]물질정보!B:G,6,0)</f>
        <v>CC(=C)C(=O)OCCO</v>
      </c>
      <c r="H95" t="s">
        <v>26</v>
      </c>
      <c r="I95" t="s">
        <v>45</v>
      </c>
      <c r="J95" t="s">
        <v>49</v>
      </c>
      <c r="K95">
        <v>273.72562749999997</v>
      </c>
      <c r="L95" t="s">
        <v>39</v>
      </c>
      <c r="M95" t="s">
        <v>29</v>
      </c>
      <c r="N95" t="s">
        <v>29</v>
      </c>
      <c r="O95" t="s">
        <v>29</v>
      </c>
      <c r="P95">
        <v>48</v>
      </c>
      <c r="Q95" t="s">
        <v>31</v>
      </c>
      <c r="R95" t="s">
        <v>32</v>
      </c>
      <c r="S95" t="s">
        <v>29</v>
      </c>
      <c r="T95" t="s">
        <v>40</v>
      </c>
      <c r="U95" t="s">
        <v>50</v>
      </c>
      <c r="V95" s="6" t="s">
        <v>35</v>
      </c>
      <c r="W95" t="s">
        <v>47</v>
      </c>
      <c r="X95" t="s">
        <v>48</v>
      </c>
      <c r="Y95" s="6" t="s">
        <v>49</v>
      </c>
    </row>
    <row r="96" spans="2:25" x14ac:dyDescent="0.3">
      <c r="B96" s="5" t="s">
        <v>69</v>
      </c>
      <c r="C96" s="5" t="str">
        <f>VLOOKUP(B96,[1]물질정보!B:C,2,0)</f>
        <v>868-77-9</v>
      </c>
      <c r="D96" t="str">
        <f>VLOOKUP(B96,[1]물질정보!B:D,3,0)</f>
        <v>2-hydroxyethyl methacrylate</v>
      </c>
      <c r="E96" t="str">
        <f>VLOOKUP(B96,[1]물질정보!B:E,4,0)</f>
        <v>C6H10O3</v>
      </c>
      <c r="F96" t="str">
        <f>VLOOKUP(B96,[1]물질정보!B:F,5,0)</f>
        <v>130.139 g/mol</v>
      </c>
      <c r="G96" s="5" t="str">
        <f>VLOOKUP(B96,[1]물질정보!B:G,6,0)</f>
        <v>CC(=C)C(=O)OCCO</v>
      </c>
      <c r="H96" t="s">
        <v>26</v>
      </c>
      <c r="I96" t="s">
        <v>45</v>
      </c>
      <c r="J96" t="s">
        <v>49</v>
      </c>
      <c r="K96">
        <v>273.72562749999997</v>
      </c>
      <c r="L96" t="s">
        <v>39</v>
      </c>
      <c r="M96" t="s">
        <v>29</v>
      </c>
      <c r="N96" t="s">
        <v>29</v>
      </c>
      <c r="O96" t="s">
        <v>29</v>
      </c>
      <c r="P96">
        <v>48</v>
      </c>
      <c r="Q96" t="s">
        <v>31</v>
      </c>
      <c r="R96" t="s">
        <v>32</v>
      </c>
      <c r="S96" t="s">
        <v>29</v>
      </c>
      <c r="T96" t="s">
        <v>40</v>
      </c>
      <c r="U96" t="s">
        <v>50</v>
      </c>
      <c r="V96" s="6" t="s">
        <v>35</v>
      </c>
      <c r="W96" t="s">
        <v>47</v>
      </c>
      <c r="X96" t="s">
        <v>48</v>
      </c>
      <c r="Y96" s="6" t="s">
        <v>49</v>
      </c>
    </row>
    <row r="97" spans="2:25" x14ac:dyDescent="0.3">
      <c r="B97" s="5" t="s">
        <v>69</v>
      </c>
      <c r="C97" s="5" t="str">
        <f>VLOOKUP(B97,[1]물질정보!B:C,2,0)</f>
        <v>868-77-9</v>
      </c>
      <c r="D97" t="str">
        <f>VLOOKUP(B97,[1]물질정보!B:D,3,0)</f>
        <v>2-hydroxyethyl methacrylate</v>
      </c>
      <c r="E97" t="str">
        <f>VLOOKUP(B97,[1]물질정보!B:E,4,0)</f>
        <v>C6H10O3</v>
      </c>
      <c r="F97" t="str">
        <f>VLOOKUP(B97,[1]물질정보!B:F,5,0)</f>
        <v>130.139 g/mol</v>
      </c>
      <c r="G97" s="5" t="str">
        <f>VLOOKUP(B97,[1]물질정보!B:G,6,0)</f>
        <v>CC(=C)C(=O)OCCO</v>
      </c>
      <c r="H97" t="s">
        <v>26</v>
      </c>
      <c r="I97" t="s">
        <v>51</v>
      </c>
      <c r="J97" t="s">
        <v>49</v>
      </c>
      <c r="K97">
        <v>100.517</v>
      </c>
      <c r="L97" t="s">
        <v>39</v>
      </c>
      <c r="M97" t="s">
        <v>29</v>
      </c>
      <c r="N97" t="s">
        <v>29</v>
      </c>
      <c r="O97" t="s">
        <v>29</v>
      </c>
      <c r="P97">
        <v>96</v>
      </c>
      <c r="Q97" t="s">
        <v>31</v>
      </c>
      <c r="R97" t="s">
        <v>32</v>
      </c>
      <c r="S97" t="s">
        <v>29</v>
      </c>
      <c r="T97" t="s">
        <v>40</v>
      </c>
      <c r="U97" t="s">
        <v>52</v>
      </c>
      <c r="V97" s="6" t="s">
        <v>35</v>
      </c>
      <c r="W97" t="s">
        <v>53</v>
      </c>
      <c r="X97" t="s">
        <v>37</v>
      </c>
      <c r="Y97" s="6" t="s">
        <v>49</v>
      </c>
    </row>
    <row r="98" spans="2:25" x14ac:dyDescent="0.3">
      <c r="B98" s="5" t="s">
        <v>69</v>
      </c>
      <c r="C98" s="5" t="str">
        <f>VLOOKUP(B98,[1]물질정보!B:C,2,0)</f>
        <v>868-77-9</v>
      </c>
      <c r="D98" t="str">
        <f>VLOOKUP(B98,[1]물질정보!B:D,3,0)</f>
        <v>2-hydroxyethyl methacrylate</v>
      </c>
      <c r="E98" t="str">
        <f>VLOOKUP(B98,[1]물질정보!B:E,4,0)</f>
        <v>C6H10O3</v>
      </c>
      <c r="F98" t="str">
        <f>VLOOKUP(B98,[1]물질정보!B:F,5,0)</f>
        <v>130.139 g/mol</v>
      </c>
      <c r="G98" s="5" t="str">
        <f>VLOOKUP(B98,[1]물질정보!B:G,6,0)</f>
        <v>CC(=C)C(=O)OCCO</v>
      </c>
      <c r="H98" t="s">
        <v>26</v>
      </c>
      <c r="I98" t="s">
        <v>51</v>
      </c>
      <c r="J98" t="s">
        <v>49</v>
      </c>
      <c r="K98">
        <v>100.517</v>
      </c>
      <c r="L98" t="s">
        <v>39</v>
      </c>
      <c r="M98" t="s">
        <v>29</v>
      </c>
      <c r="N98" t="s">
        <v>29</v>
      </c>
      <c r="O98" t="s">
        <v>29</v>
      </c>
      <c r="P98">
        <v>96</v>
      </c>
      <c r="Q98" t="s">
        <v>31</v>
      </c>
      <c r="R98" t="s">
        <v>32</v>
      </c>
      <c r="S98" t="s">
        <v>29</v>
      </c>
      <c r="T98" t="s">
        <v>40</v>
      </c>
      <c r="U98" t="s">
        <v>52</v>
      </c>
      <c r="V98" s="6" t="s">
        <v>35</v>
      </c>
      <c r="W98" t="s">
        <v>53</v>
      </c>
      <c r="X98" t="s">
        <v>37</v>
      </c>
      <c r="Y98" s="6" t="s">
        <v>49</v>
      </c>
    </row>
    <row r="99" spans="2:25" x14ac:dyDescent="0.3">
      <c r="B99" s="5" t="s">
        <v>69</v>
      </c>
      <c r="C99" s="5" t="str">
        <f>VLOOKUP(B99,[1]물질정보!B:C,2,0)</f>
        <v>868-77-9</v>
      </c>
      <c r="D99" t="str">
        <f>VLOOKUP(B99,[1]물질정보!B:D,3,0)</f>
        <v>2-hydroxyethyl methacrylate</v>
      </c>
      <c r="E99" t="str">
        <f>VLOOKUP(B99,[1]물질정보!B:E,4,0)</f>
        <v>C6H10O3</v>
      </c>
      <c r="F99" t="str">
        <f>VLOOKUP(B99,[1]물질정보!B:F,5,0)</f>
        <v>130.139 g/mol</v>
      </c>
      <c r="G99" s="5" t="str">
        <f>VLOOKUP(B99,[1]물질정보!B:G,6,0)</f>
        <v>CC(=C)C(=O)OCCO</v>
      </c>
      <c r="H99" t="s">
        <v>26</v>
      </c>
      <c r="I99" t="s">
        <v>51</v>
      </c>
      <c r="J99" t="s">
        <v>49</v>
      </c>
      <c r="K99">
        <v>376.59667400000001</v>
      </c>
      <c r="L99" t="s">
        <v>39</v>
      </c>
      <c r="M99" t="s">
        <v>29</v>
      </c>
      <c r="N99" t="s">
        <v>29</v>
      </c>
      <c r="O99" t="s">
        <v>29</v>
      </c>
      <c r="P99">
        <v>96</v>
      </c>
      <c r="Q99" t="s">
        <v>31</v>
      </c>
      <c r="R99" t="s">
        <v>32</v>
      </c>
      <c r="S99" t="s">
        <v>29</v>
      </c>
      <c r="T99" t="s">
        <v>40</v>
      </c>
      <c r="U99" t="s">
        <v>56</v>
      </c>
      <c r="V99" s="6" t="s">
        <v>35</v>
      </c>
      <c r="W99" t="s">
        <v>57</v>
      </c>
      <c r="X99" t="s">
        <v>37</v>
      </c>
      <c r="Y99" s="6" t="s">
        <v>49</v>
      </c>
    </row>
    <row r="100" spans="2:25" x14ac:dyDescent="0.3">
      <c r="B100" s="5" t="s">
        <v>69</v>
      </c>
      <c r="C100" s="5" t="str">
        <f>VLOOKUP(B100,[1]물질정보!B:C,2,0)</f>
        <v>868-77-9</v>
      </c>
      <c r="D100" t="str">
        <f>VLOOKUP(B100,[1]물질정보!B:D,3,0)</f>
        <v>2-hydroxyethyl methacrylate</v>
      </c>
      <c r="E100" t="str">
        <f>VLOOKUP(B100,[1]물질정보!B:E,4,0)</f>
        <v>C6H10O3</v>
      </c>
      <c r="F100" t="str">
        <f>VLOOKUP(B100,[1]물질정보!B:F,5,0)</f>
        <v>130.139 g/mol</v>
      </c>
      <c r="G100" s="5" t="str">
        <f>VLOOKUP(B100,[1]물질정보!B:G,6,0)</f>
        <v>CC(=C)C(=O)OCCO</v>
      </c>
      <c r="H100" t="s">
        <v>26</v>
      </c>
      <c r="I100" t="s">
        <v>51</v>
      </c>
      <c r="J100" t="s">
        <v>49</v>
      </c>
      <c r="K100">
        <v>376.59667400000001</v>
      </c>
      <c r="L100" t="s">
        <v>39</v>
      </c>
      <c r="M100" t="s">
        <v>29</v>
      </c>
      <c r="N100" t="s">
        <v>29</v>
      </c>
      <c r="O100" t="s">
        <v>29</v>
      </c>
      <c r="P100">
        <v>96</v>
      </c>
      <c r="Q100" t="s">
        <v>31</v>
      </c>
      <c r="R100" t="s">
        <v>32</v>
      </c>
      <c r="S100" t="s">
        <v>29</v>
      </c>
      <c r="T100" t="s">
        <v>40</v>
      </c>
      <c r="U100" t="s">
        <v>56</v>
      </c>
      <c r="V100" s="6" t="s">
        <v>35</v>
      </c>
      <c r="W100" t="s">
        <v>57</v>
      </c>
      <c r="X100" t="s">
        <v>37</v>
      </c>
      <c r="Y100" s="6" t="s">
        <v>49</v>
      </c>
    </row>
    <row r="101" spans="2:25" x14ac:dyDescent="0.3">
      <c r="B101" s="5" t="s">
        <v>69</v>
      </c>
      <c r="C101" s="5" t="str">
        <f>VLOOKUP(B101,[1]물질정보!B:C,2,0)</f>
        <v>868-77-9</v>
      </c>
      <c r="D101" t="str">
        <f>VLOOKUP(B101,[1]물질정보!B:D,3,0)</f>
        <v>2-hydroxyethyl methacrylate</v>
      </c>
      <c r="E101" t="str">
        <f>VLOOKUP(B101,[1]물질정보!B:E,4,0)</f>
        <v>C6H10O3</v>
      </c>
      <c r="F101" t="str">
        <f>VLOOKUP(B101,[1]물질정보!B:F,5,0)</f>
        <v>130.139 g/mol</v>
      </c>
      <c r="G101" s="5" t="str">
        <f>VLOOKUP(B101,[1]물질정보!B:G,6,0)</f>
        <v>CC(=C)C(=O)OCCO</v>
      </c>
      <c r="H101" t="s">
        <v>26</v>
      </c>
      <c r="I101" t="s">
        <v>27</v>
      </c>
      <c r="J101" t="s">
        <v>28</v>
      </c>
      <c r="K101">
        <v>0.61644038099999998</v>
      </c>
      <c r="L101" t="s">
        <v>39</v>
      </c>
      <c r="M101" t="s">
        <v>29</v>
      </c>
      <c r="N101" t="s">
        <v>29</v>
      </c>
      <c r="O101" t="s">
        <v>29</v>
      </c>
      <c r="P101">
        <v>96</v>
      </c>
      <c r="Q101" t="s">
        <v>31</v>
      </c>
      <c r="R101" t="s">
        <v>32</v>
      </c>
      <c r="S101" t="s">
        <v>29</v>
      </c>
      <c r="T101" t="s">
        <v>40</v>
      </c>
      <c r="U101" t="s">
        <v>58</v>
      </c>
      <c r="V101" s="6" t="s">
        <v>35</v>
      </c>
      <c r="W101" t="s">
        <v>36</v>
      </c>
      <c r="X101" t="s">
        <v>37</v>
      </c>
      <c r="Y101" s="6" t="s">
        <v>28</v>
      </c>
    </row>
    <row r="102" spans="2:25" x14ac:dyDescent="0.3">
      <c r="B102" s="5" t="s">
        <v>69</v>
      </c>
      <c r="C102" s="5" t="str">
        <f>VLOOKUP(B102,[1]물질정보!B:C,2,0)</f>
        <v>868-77-9</v>
      </c>
      <c r="D102" t="str">
        <f>VLOOKUP(B102,[1]물질정보!B:D,3,0)</f>
        <v>2-hydroxyethyl methacrylate</v>
      </c>
      <c r="E102" t="str">
        <f>VLOOKUP(B102,[1]물질정보!B:E,4,0)</f>
        <v>C6H10O3</v>
      </c>
      <c r="F102" t="str">
        <f>VLOOKUP(B102,[1]물질정보!B:F,5,0)</f>
        <v>130.139 g/mol</v>
      </c>
      <c r="G102" s="5" t="str">
        <f>VLOOKUP(B102,[1]물질정보!B:G,6,0)</f>
        <v>CC(=C)C(=O)OCCO</v>
      </c>
      <c r="H102" t="s">
        <v>26</v>
      </c>
      <c r="I102" t="s">
        <v>27</v>
      </c>
      <c r="J102" t="s">
        <v>28</v>
      </c>
      <c r="K102">
        <v>0.61644038099999998</v>
      </c>
      <c r="L102" t="s">
        <v>39</v>
      </c>
      <c r="M102" t="s">
        <v>29</v>
      </c>
      <c r="N102" t="s">
        <v>29</v>
      </c>
      <c r="O102" t="s">
        <v>29</v>
      </c>
      <c r="P102">
        <v>96</v>
      </c>
      <c r="Q102" t="s">
        <v>31</v>
      </c>
      <c r="R102" t="s">
        <v>32</v>
      </c>
      <c r="S102" t="s">
        <v>29</v>
      </c>
      <c r="T102" t="s">
        <v>40</v>
      </c>
      <c r="U102" t="s">
        <v>58</v>
      </c>
      <c r="V102" s="6" t="s">
        <v>35</v>
      </c>
      <c r="W102" t="s">
        <v>36</v>
      </c>
      <c r="X102" t="s">
        <v>37</v>
      </c>
      <c r="Y102" s="6" t="s">
        <v>28</v>
      </c>
    </row>
    <row r="103" spans="2:25" x14ac:dyDescent="0.3">
      <c r="B103" s="5" t="s">
        <v>70</v>
      </c>
      <c r="C103" s="5" t="str">
        <f>VLOOKUP(B103,[1]물질정보!B:C,2,0)</f>
        <v>10095-14-4</v>
      </c>
      <c r="D103" t="str">
        <f>VLOOKUP(B103,[1]물질정보!B:D,3,0)</f>
        <v>6-hydroxybutyl acrylate</v>
      </c>
      <c r="E103" t="str">
        <f>VLOOKUP(B103,[1]물질정보!B:E,4,0)</f>
        <v>C9H16O3</v>
      </c>
      <c r="F103" t="str">
        <f>VLOOKUP(B103,[1]물질정보!B:F,5,0)</f>
        <v>172.22 g/mol</v>
      </c>
      <c r="G103" s="5" t="str">
        <f>VLOOKUP(B103,[1]물질정보!B:G,6,0)</f>
        <v>C=CC(=O)OCCCCCCO</v>
      </c>
      <c r="H103" t="s">
        <v>26</v>
      </c>
      <c r="I103" t="s">
        <v>27</v>
      </c>
      <c r="J103" t="s">
        <v>28</v>
      </c>
      <c r="K103">
        <v>27.270579999999999</v>
      </c>
      <c r="L103" t="s">
        <v>39</v>
      </c>
      <c r="M103" t="s">
        <v>29</v>
      </c>
      <c r="N103" t="s">
        <v>29</v>
      </c>
      <c r="O103" t="s">
        <v>29</v>
      </c>
      <c r="P103">
        <v>72</v>
      </c>
      <c r="Q103" t="s">
        <v>31</v>
      </c>
      <c r="R103" t="s">
        <v>32</v>
      </c>
      <c r="S103" t="s">
        <v>29</v>
      </c>
      <c r="T103" t="s">
        <v>40</v>
      </c>
      <c r="U103" t="s">
        <v>41</v>
      </c>
      <c r="V103" s="6" t="s">
        <v>35</v>
      </c>
      <c r="W103" t="s">
        <v>43</v>
      </c>
      <c r="X103" t="s">
        <v>44</v>
      </c>
      <c r="Y103" s="6" t="s">
        <v>28</v>
      </c>
    </row>
    <row r="104" spans="2:25" x14ac:dyDescent="0.3">
      <c r="B104" s="5" t="s">
        <v>70</v>
      </c>
      <c r="C104" s="5" t="str">
        <f>VLOOKUP(B104,[1]물질정보!B:C,2,0)</f>
        <v>10095-14-4</v>
      </c>
      <c r="D104" t="str">
        <f>VLOOKUP(B104,[1]물질정보!B:D,3,0)</f>
        <v>6-hydroxybutyl acrylate</v>
      </c>
      <c r="E104" t="str">
        <f>VLOOKUP(B104,[1]물질정보!B:E,4,0)</f>
        <v>C9H16O3</v>
      </c>
      <c r="F104" t="str">
        <f>VLOOKUP(B104,[1]물질정보!B:F,5,0)</f>
        <v>172.22 g/mol</v>
      </c>
      <c r="G104" s="5" t="str">
        <f>VLOOKUP(B104,[1]물질정보!B:G,6,0)</f>
        <v>C=CC(=O)OCCCCCCO</v>
      </c>
      <c r="H104" t="s">
        <v>26</v>
      </c>
      <c r="I104" t="s">
        <v>27</v>
      </c>
      <c r="J104" t="s">
        <v>28</v>
      </c>
      <c r="K104">
        <v>27.270579999999999</v>
      </c>
      <c r="L104" t="s">
        <v>39</v>
      </c>
      <c r="M104" t="s">
        <v>29</v>
      </c>
      <c r="N104" t="s">
        <v>29</v>
      </c>
      <c r="O104" t="s">
        <v>29</v>
      </c>
      <c r="P104">
        <v>72</v>
      </c>
      <c r="Q104" t="s">
        <v>31</v>
      </c>
      <c r="R104" t="s">
        <v>32</v>
      </c>
      <c r="S104" t="s">
        <v>29</v>
      </c>
      <c r="T104" t="s">
        <v>40</v>
      </c>
      <c r="U104" t="s">
        <v>41</v>
      </c>
      <c r="V104" s="6" t="s">
        <v>35</v>
      </c>
      <c r="W104" t="s">
        <v>43</v>
      </c>
      <c r="X104" t="s">
        <v>44</v>
      </c>
      <c r="Y104" s="6" t="s">
        <v>28</v>
      </c>
    </row>
    <row r="105" spans="2:25" x14ac:dyDescent="0.3">
      <c r="B105" s="5" t="s">
        <v>70</v>
      </c>
      <c r="C105" s="5" t="str">
        <f>VLOOKUP(B105,[1]물질정보!B:C,2,0)</f>
        <v>10095-14-4</v>
      </c>
      <c r="D105" t="str">
        <f>VLOOKUP(B105,[1]물질정보!B:D,3,0)</f>
        <v>6-hydroxybutyl acrylate</v>
      </c>
      <c r="E105" t="str">
        <f>VLOOKUP(B105,[1]물질정보!B:E,4,0)</f>
        <v>C9H16O3</v>
      </c>
      <c r="F105" t="str">
        <f>VLOOKUP(B105,[1]물질정보!B:F,5,0)</f>
        <v>172.22 g/mol</v>
      </c>
      <c r="G105" s="5" t="str">
        <f>VLOOKUP(B105,[1]물질정보!B:G,6,0)</f>
        <v>C=CC(=O)OCCCCCCO</v>
      </c>
      <c r="H105" t="s">
        <v>26</v>
      </c>
      <c r="I105" t="s">
        <v>45</v>
      </c>
      <c r="J105" t="s">
        <v>28</v>
      </c>
      <c r="K105">
        <v>119.8143</v>
      </c>
      <c r="L105" t="s">
        <v>39</v>
      </c>
      <c r="M105" t="s">
        <v>29</v>
      </c>
      <c r="N105" t="s">
        <v>29</v>
      </c>
      <c r="O105" t="s">
        <v>29</v>
      </c>
      <c r="P105">
        <v>48</v>
      </c>
      <c r="Q105" t="s">
        <v>31</v>
      </c>
      <c r="R105" t="s">
        <v>32</v>
      </c>
      <c r="S105" t="s">
        <v>29</v>
      </c>
      <c r="T105" t="s">
        <v>40</v>
      </c>
      <c r="U105" t="s">
        <v>46</v>
      </c>
      <c r="V105" s="6" t="s">
        <v>35</v>
      </c>
      <c r="W105" t="s">
        <v>47</v>
      </c>
      <c r="X105" t="s">
        <v>48</v>
      </c>
      <c r="Y105" s="6" t="s">
        <v>28</v>
      </c>
    </row>
    <row r="106" spans="2:25" x14ac:dyDescent="0.3">
      <c r="B106" s="5" t="s">
        <v>70</v>
      </c>
      <c r="C106" s="5" t="str">
        <f>VLOOKUP(B106,[1]물질정보!B:C,2,0)</f>
        <v>10095-14-4</v>
      </c>
      <c r="D106" t="str">
        <f>VLOOKUP(B106,[1]물질정보!B:D,3,0)</f>
        <v>6-hydroxybutyl acrylate</v>
      </c>
      <c r="E106" t="str">
        <f>VLOOKUP(B106,[1]물질정보!B:E,4,0)</f>
        <v>C9H16O3</v>
      </c>
      <c r="F106" t="str">
        <f>VLOOKUP(B106,[1]물질정보!B:F,5,0)</f>
        <v>172.22 g/mol</v>
      </c>
      <c r="G106" s="5" t="str">
        <f>VLOOKUP(B106,[1]물질정보!B:G,6,0)</f>
        <v>C=CC(=O)OCCCCCCO</v>
      </c>
      <c r="H106" t="s">
        <v>26</v>
      </c>
      <c r="I106" t="s">
        <v>45</v>
      </c>
      <c r="J106" t="s">
        <v>28</v>
      </c>
      <c r="K106">
        <v>119.8143</v>
      </c>
      <c r="L106" t="s">
        <v>39</v>
      </c>
      <c r="M106" t="s">
        <v>29</v>
      </c>
      <c r="N106" t="s">
        <v>29</v>
      </c>
      <c r="O106" t="s">
        <v>29</v>
      </c>
      <c r="P106">
        <v>48</v>
      </c>
      <c r="Q106" t="s">
        <v>31</v>
      </c>
      <c r="R106" t="s">
        <v>32</v>
      </c>
      <c r="S106" t="s">
        <v>29</v>
      </c>
      <c r="T106" t="s">
        <v>40</v>
      </c>
      <c r="U106" t="s">
        <v>46</v>
      </c>
      <c r="V106" s="6" t="s">
        <v>35</v>
      </c>
      <c r="W106" t="s">
        <v>47</v>
      </c>
      <c r="X106" t="s">
        <v>48</v>
      </c>
      <c r="Y106" s="6" t="s">
        <v>28</v>
      </c>
    </row>
    <row r="107" spans="2:25" x14ac:dyDescent="0.3">
      <c r="B107" s="5" t="s">
        <v>70</v>
      </c>
      <c r="C107" s="5" t="str">
        <f>VLOOKUP(B107,[1]물질정보!B:C,2,0)</f>
        <v>10095-14-4</v>
      </c>
      <c r="D107" t="str">
        <f>VLOOKUP(B107,[1]물질정보!B:D,3,0)</f>
        <v>6-hydroxybutyl acrylate</v>
      </c>
      <c r="E107" t="str">
        <f>VLOOKUP(B107,[1]물질정보!B:E,4,0)</f>
        <v>C9H16O3</v>
      </c>
      <c r="F107" t="str">
        <f>VLOOKUP(B107,[1]물질정보!B:F,5,0)</f>
        <v>172.22 g/mol</v>
      </c>
      <c r="G107" s="5" t="str">
        <f>VLOOKUP(B107,[1]물질정보!B:G,6,0)</f>
        <v>C=CC(=O)OCCCCCCO</v>
      </c>
      <c r="H107" t="s">
        <v>26</v>
      </c>
      <c r="I107" t="s">
        <v>45</v>
      </c>
      <c r="J107" t="s">
        <v>49</v>
      </c>
      <c r="K107">
        <v>6.3760031140000004</v>
      </c>
      <c r="L107" t="s">
        <v>39</v>
      </c>
      <c r="M107" t="s">
        <v>29</v>
      </c>
      <c r="N107" t="s">
        <v>29</v>
      </c>
      <c r="O107" t="s">
        <v>29</v>
      </c>
      <c r="P107">
        <v>48</v>
      </c>
      <c r="Q107" t="s">
        <v>31</v>
      </c>
      <c r="R107" t="s">
        <v>32</v>
      </c>
      <c r="S107" t="s">
        <v>29</v>
      </c>
      <c r="T107" t="s">
        <v>40</v>
      </c>
      <c r="U107" t="s">
        <v>60</v>
      </c>
      <c r="V107" s="6" t="s">
        <v>35</v>
      </c>
      <c r="W107" t="s">
        <v>47</v>
      </c>
      <c r="X107" t="s">
        <v>48</v>
      </c>
      <c r="Y107" s="6" t="s">
        <v>49</v>
      </c>
    </row>
    <row r="108" spans="2:25" x14ac:dyDescent="0.3">
      <c r="B108" s="5" t="s">
        <v>70</v>
      </c>
      <c r="C108" s="5" t="str">
        <f>VLOOKUP(B108,[1]물질정보!B:C,2,0)</f>
        <v>10095-14-4</v>
      </c>
      <c r="D108" t="str">
        <f>VLOOKUP(B108,[1]물질정보!B:D,3,0)</f>
        <v>6-hydroxybutyl acrylate</v>
      </c>
      <c r="E108" t="str">
        <f>VLOOKUP(B108,[1]물질정보!B:E,4,0)</f>
        <v>C9H16O3</v>
      </c>
      <c r="F108" t="str">
        <f>VLOOKUP(B108,[1]물질정보!B:F,5,0)</f>
        <v>172.22 g/mol</v>
      </c>
      <c r="G108" s="5" t="str">
        <f>VLOOKUP(B108,[1]물질정보!B:G,6,0)</f>
        <v>C=CC(=O)OCCCCCCO</v>
      </c>
      <c r="H108" t="s">
        <v>26</v>
      </c>
      <c r="I108" t="s">
        <v>45</v>
      </c>
      <c r="J108" t="s">
        <v>49</v>
      </c>
      <c r="K108">
        <v>6.3760031140000004</v>
      </c>
      <c r="L108" t="s">
        <v>39</v>
      </c>
      <c r="M108" t="s">
        <v>29</v>
      </c>
      <c r="N108" t="s">
        <v>29</v>
      </c>
      <c r="O108" t="s">
        <v>29</v>
      </c>
      <c r="P108">
        <v>48</v>
      </c>
      <c r="Q108" t="s">
        <v>31</v>
      </c>
      <c r="R108" t="s">
        <v>32</v>
      </c>
      <c r="S108" t="s">
        <v>29</v>
      </c>
      <c r="T108" t="s">
        <v>40</v>
      </c>
      <c r="U108" t="s">
        <v>60</v>
      </c>
      <c r="V108" s="6" t="s">
        <v>35</v>
      </c>
      <c r="W108" t="s">
        <v>47</v>
      </c>
      <c r="X108" t="s">
        <v>48</v>
      </c>
      <c r="Y108" s="6" t="s">
        <v>49</v>
      </c>
    </row>
    <row r="109" spans="2:25" x14ac:dyDescent="0.3">
      <c r="B109" s="5" t="s">
        <v>70</v>
      </c>
      <c r="C109" s="5" t="str">
        <f>VLOOKUP(B109,[1]물질정보!B:C,2,0)</f>
        <v>10095-14-4</v>
      </c>
      <c r="D109" t="str">
        <f>VLOOKUP(B109,[1]물질정보!B:D,3,0)</f>
        <v>6-hydroxybutyl acrylate</v>
      </c>
      <c r="E109" t="str">
        <f>VLOOKUP(B109,[1]물질정보!B:E,4,0)</f>
        <v>C9H16O3</v>
      </c>
      <c r="F109" t="str">
        <f>VLOOKUP(B109,[1]물질정보!B:F,5,0)</f>
        <v>172.22 g/mol</v>
      </c>
      <c r="G109" s="5" t="str">
        <f>VLOOKUP(B109,[1]물질정보!B:G,6,0)</f>
        <v>C=CC(=O)OCCCCCCO</v>
      </c>
      <c r="H109" t="s">
        <v>26</v>
      </c>
      <c r="I109" t="s">
        <v>51</v>
      </c>
      <c r="J109" t="s">
        <v>49</v>
      </c>
      <c r="K109">
        <v>7.323251</v>
      </c>
      <c r="L109" t="s">
        <v>39</v>
      </c>
      <c r="M109" t="s">
        <v>29</v>
      </c>
      <c r="N109" t="s">
        <v>29</v>
      </c>
      <c r="O109" t="s">
        <v>29</v>
      </c>
      <c r="P109">
        <v>96</v>
      </c>
      <c r="Q109" t="s">
        <v>31</v>
      </c>
      <c r="R109" t="s">
        <v>32</v>
      </c>
      <c r="S109" t="s">
        <v>29</v>
      </c>
      <c r="T109" t="s">
        <v>40</v>
      </c>
      <c r="U109" t="s">
        <v>52</v>
      </c>
      <c r="V109" s="6" t="s">
        <v>35</v>
      </c>
      <c r="W109" t="s">
        <v>53</v>
      </c>
      <c r="X109" t="s">
        <v>37</v>
      </c>
      <c r="Y109" s="6" t="s">
        <v>49</v>
      </c>
    </row>
    <row r="110" spans="2:25" x14ac:dyDescent="0.3">
      <c r="B110" s="5" t="s">
        <v>70</v>
      </c>
      <c r="C110" s="5" t="str">
        <f>VLOOKUP(B110,[1]물질정보!B:C,2,0)</f>
        <v>10095-14-4</v>
      </c>
      <c r="D110" t="str">
        <f>VLOOKUP(B110,[1]물질정보!B:D,3,0)</f>
        <v>6-hydroxybutyl acrylate</v>
      </c>
      <c r="E110" t="str">
        <f>VLOOKUP(B110,[1]물질정보!B:E,4,0)</f>
        <v>C9H16O3</v>
      </c>
      <c r="F110" t="str">
        <f>VLOOKUP(B110,[1]물질정보!B:F,5,0)</f>
        <v>172.22 g/mol</v>
      </c>
      <c r="G110" s="5" t="str">
        <f>VLOOKUP(B110,[1]물질정보!B:G,6,0)</f>
        <v>C=CC(=O)OCCCCCCO</v>
      </c>
      <c r="H110" t="s">
        <v>26</v>
      </c>
      <c r="I110" t="s">
        <v>51</v>
      </c>
      <c r="J110" t="s">
        <v>49</v>
      </c>
      <c r="K110">
        <v>7.323251</v>
      </c>
      <c r="L110" t="s">
        <v>39</v>
      </c>
      <c r="M110" t="s">
        <v>29</v>
      </c>
      <c r="N110" t="s">
        <v>29</v>
      </c>
      <c r="O110" t="s">
        <v>29</v>
      </c>
      <c r="P110">
        <v>96</v>
      </c>
      <c r="Q110" t="s">
        <v>31</v>
      </c>
      <c r="R110" t="s">
        <v>32</v>
      </c>
      <c r="S110" t="s">
        <v>29</v>
      </c>
      <c r="T110" t="s">
        <v>40</v>
      </c>
      <c r="U110" t="s">
        <v>52</v>
      </c>
      <c r="V110" s="6" t="s">
        <v>35</v>
      </c>
      <c r="W110" t="s">
        <v>53</v>
      </c>
      <c r="X110" t="s">
        <v>37</v>
      </c>
      <c r="Y110" s="6" t="s">
        <v>49</v>
      </c>
    </row>
    <row r="111" spans="2:25" x14ac:dyDescent="0.3">
      <c r="B111" s="5" t="s">
        <v>70</v>
      </c>
      <c r="C111" s="5" t="str">
        <f>VLOOKUP(B111,[1]물질정보!B:C,2,0)</f>
        <v>10095-14-4</v>
      </c>
      <c r="D111" t="str">
        <f>VLOOKUP(B111,[1]물질정보!B:D,3,0)</f>
        <v>6-hydroxybutyl acrylate</v>
      </c>
      <c r="E111" t="str">
        <f>VLOOKUP(B111,[1]물질정보!B:E,4,0)</f>
        <v>C9H16O3</v>
      </c>
      <c r="F111" t="str">
        <f>VLOOKUP(B111,[1]물질정보!B:F,5,0)</f>
        <v>172.22 g/mol</v>
      </c>
      <c r="G111" s="5" t="str">
        <f>VLOOKUP(B111,[1]물질정보!B:G,6,0)</f>
        <v>C=CC(=O)OCCCCCCO</v>
      </c>
      <c r="H111" t="s">
        <v>26</v>
      </c>
      <c r="I111" t="s">
        <v>51</v>
      </c>
      <c r="J111" t="s">
        <v>49</v>
      </c>
      <c r="K111">
        <v>1.4560656970000001</v>
      </c>
      <c r="L111" t="s">
        <v>39</v>
      </c>
      <c r="M111" t="s">
        <v>29</v>
      </c>
      <c r="N111" t="s">
        <v>29</v>
      </c>
      <c r="O111" t="s">
        <v>29</v>
      </c>
      <c r="P111">
        <v>96</v>
      </c>
      <c r="Q111" t="s">
        <v>31</v>
      </c>
      <c r="R111" t="s">
        <v>32</v>
      </c>
      <c r="S111" t="s">
        <v>29</v>
      </c>
      <c r="T111" t="s">
        <v>40</v>
      </c>
      <c r="U111" t="s">
        <v>61</v>
      </c>
      <c r="V111" s="6" t="s">
        <v>35</v>
      </c>
      <c r="W111" t="s">
        <v>55</v>
      </c>
      <c r="X111" t="s">
        <v>37</v>
      </c>
      <c r="Y111" s="6" t="s">
        <v>49</v>
      </c>
    </row>
    <row r="112" spans="2:25" x14ac:dyDescent="0.3">
      <c r="B112" s="5" t="s">
        <v>70</v>
      </c>
      <c r="C112" s="5" t="str">
        <f>VLOOKUP(B112,[1]물질정보!B:C,2,0)</f>
        <v>10095-14-4</v>
      </c>
      <c r="D112" t="str">
        <f>VLOOKUP(B112,[1]물질정보!B:D,3,0)</f>
        <v>6-hydroxybutyl acrylate</v>
      </c>
      <c r="E112" t="str">
        <f>VLOOKUP(B112,[1]물질정보!B:E,4,0)</f>
        <v>C9H16O3</v>
      </c>
      <c r="F112" t="str">
        <f>VLOOKUP(B112,[1]물질정보!B:F,5,0)</f>
        <v>172.22 g/mol</v>
      </c>
      <c r="G112" s="5" t="str">
        <f>VLOOKUP(B112,[1]물질정보!B:G,6,0)</f>
        <v>C=CC(=O)OCCCCCCO</v>
      </c>
      <c r="H112" t="s">
        <v>26</v>
      </c>
      <c r="I112" t="s">
        <v>51</v>
      </c>
      <c r="J112" t="s">
        <v>49</v>
      </c>
      <c r="K112">
        <v>2.8327253589999999</v>
      </c>
      <c r="L112" t="s">
        <v>39</v>
      </c>
      <c r="M112" t="s">
        <v>29</v>
      </c>
      <c r="N112" t="s">
        <v>29</v>
      </c>
      <c r="O112" t="s">
        <v>29</v>
      </c>
      <c r="P112">
        <v>96</v>
      </c>
      <c r="Q112" t="s">
        <v>31</v>
      </c>
      <c r="R112" t="s">
        <v>32</v>
      </c>
      <c r="S112" t="s">
        <v>29</v>
      </c>
      <c r="T112" t="s">
        <v>40</v>
      </c>
      <c r="U112" t="s">
        <v>62</v>
      </c>
      <c r="V112" s="6" t="s">
        <v>35</v>
      </c>
      <c r="W112" t="s">
        <v>57</v>
      </c>
      <c r="X112" t="s">
        <v>37</v>
      </c>
      <c r="Y112" s="6" t="s">
        <v>49</v>
      </c>
    </row>
    <row r="113" spans="2:25" x14ac:dyDescent="0.3">
      <c r="B113" s="5" t="s">
        <v>70</v>
      </c>
      <c r="C113" s="5" t="str">
        <f>VLOOKUP(B113,[1]물질정보!B:C,2,0)</f>
        <v>10095-14-4</v>
      </c>
      <c r="D113" t="str">
        <f>VLOOKUP(B113,[1]물질정보!B:D,3,0)</f>
        <v>6-hydroxybutyl acrylate</v>
      </c>
      <c r="E113" t="str">
        <f>VLOOKUP(B113,[1]물질정보!B:E,4,0)</f>
        <v>C9H16O3</v>
      </c>
      <c r="F113" t="str">
        <f>VLOOKUP(B113,[1]물질정보!B:F,5,0)</f>
        <v>172.22 g/mol</v>
      </c>
      <c r="G113" s="5" t="str">
        <f>VLOOKUP(B113,[1]물질정보!B:G,6,0)</f>
        <v>C=CC(=O)OCCCCCCO</v>
      </c>
      <c r="H113" t="s">
        <v>26</v>
      </c>
      <c r="I113" t="s">
        <v>51</v>
      </c>
      <c r="J113" t="s">
        <v>49</v>
      </c>
      <c r="K113">
        <v>1.4560656970000001</v>
      </c>
      <c r="L113" t="s">
        <v>39</v>
      </c>
      <c r="M113" t="s">
        <v>29</v>
      </c>
      <c r="N113" t="s">
        <v>29</v>
      </c>
      <c r="O113" t="s">
        <v>29</v>
      </c>
      <c r="P113">
        <v>96</v>
      </c>
      <c r="Q113" t="s">
        <v>31</v>
      </c>
      <c r="R113" t="s">
        <v>32</v>
      </c>
      <c r="S113" t="s">
        <v>29</v>
      </c>
      <c r="T113" t="s">
        <v>40</v>
      </c>
      <c r="U113" t="s">
        <v>61</v>
      </c>
      <c r="V113" s="6" t="s">
        <v>35</v>
      </c>
      <c r="W113" t="s">
        <v>55</v>
      </c>
      <c r="X113" t="s">
        <v>37</v>
      </c>
      <c r="Y113" s="6" t="s">
        <v>49</v>
      </c>
    </row>
    <row r="114" spans="2:25" x14ac:dyDescent="0.3">
      <c r="B114" s="5" t="s">
        <v>70</v>
      </c>
      <c r="C114" s="5" t="str">
        <f>VLOOKUP(B114,[1]물질정보!B:C,2,0)</f>
        <v>10095-14-4</v>
      </c>
      <c r="D114" t="str">
        <f>VLOOKUP(B114,[1]물질정보!B:D,3,0)</f>
        <v>6-hydroxybutyl acrylate</v>
      </c>
      <c r="E114" t="str">
        <f>VLOOKUP(B114,[1]물질정보!B:E,4,0)</f>
        <v>C9H16O3</v>
      </c>
      <c r="F114" t="str">
        <f>VLOOKUP(B114,[1]물질정보!B:F,5,0)</f>
        <v>172.22 g/mol</v>
      </c>
      <c r="G114" s="5" t="str">
        <f>VLOOKUP(B114,[1]물질정보!B:G,6,0)</f>
        <v>C=CC(=O)OCCCCCCO</v>
      </c>
      <c r="H114" t="s">
        <v>26</v>
      </c>
      <c r="I114" t="s">
        <v>51</v>
      </c>
      <c r="J114" t="s">
        <v>49</v>
      </c>
      <c r="K114">
        <v>2.8327253589999999</v>
      </c>
      <c r="L114" t="s">
        <v>39</v>
      </c>
      <c r="M114" t="s">
        <v>29</v>
      </c>
      <c r="N114" t="s">
        <v>29</v>
      </c>
      <c r="O114" t="s">
        <v>29</v>
      </c>
      <c r="P114">
        <v>96</v>
      </c>
      <c r="Q114" t="s">
        <v>31</v>
      </c>
      <c r="R114" t="s">
        <v>32</v>
      </c>
      <c r="S114" t="s">
        <v>29</v>
      </c>
      <c r="T114" t="s">
        <v>40</v>
      </c>
      <c r="U114" t="s">
        <v>62</v>
      </c>
      <c r="V114" s="6" t="s">
        <v>35</v>
      </c>
      <c r="W114" t="s">
        <v>57</v>
      </c>
      <c r="X114" t="s">
        <v>37</v>
      </c>
      <c r="Y114" s="6" t="s">
        <v>49</v>
      </c>
    </row>
    <row r="115" spans="2:25" x14ac:dyDescent="0.3">
      <c r="B115" s="5" t="s">
        <v>70</v>
      </c>
      <c r="C115" s="5" t="str">
        <f>VLOOKUP(B115,[1]물질정보!B:C,2,0)</f>
        <v>10095-14-4</v>
      </c>
      <c r="D115" t="str">
        <f>VLOOKUP(B115,[1]물질정보!B:D,3,0)</f>
        <v>6-hydroxybutyl acrylate</v>
      </c>
      <c r="E115" t="str">
        <f>VLOOKUP(B115,[1]물질정보!B:E,4,0)</f>
        <v>C9H16O3</v>
      </c>
      <c r="F115" t="str">
        <f>VLOOKUP(B115,[1]물질정보!B:F,5,0)</f>
        <v>172.22 g/mol</v>
      </c>
      <c r="G115" s="5" t="str">
        <f>VLOOKUP(B115,[1]물질정보!B:G,6,0)</f>
        <v>C=CC(=O)OCCCCCCO</v>
      </c>
      <c r="H115" t="s">
        <v>26</v>
      </c>
      <c r="I115" t="s">
        <v>27</v>
      </c>
      <c r="J115" t="s">
        <v>28</v>
      </c>
      <c r="K115">
        <v>0.71914459500000005</v>
      </c>
      <c r="L115" t="s">
        <v>39</v>
      </c>
      <c r="M115" t="s">
        <v>29</v>
      </c>
      <c r="N115" t="s">
        <v>29</v>
      </c>
      <c r="O115" t="s">
        <v>29</v>
      </c>
      <c r="P115">
        <v>96</v>
      </c>
      <c r="Q115" t="s">
        <v>31</v>
      </c>
      <c r="R115" t="s">
        <v>32</v>
      </c>
      <c r="S115" t="s">
        <v>29</v>
      </c>
      <c r="T115" t="s">
        <v>40</v>
      </c>
      <c r="U115" t="s">
        <v>63</v>
      </c>
      <c r="V115" s="6" t="s">
        <v>35</v>
      </c>
      <c r="W115" t="s">
        <v>36</v>
      </c>
      <c r="X115" t="s">
        <v>37</v>
      </c>
      <c r="Y115" s="6" t="s">
        <v>28</v>
      </c>
    </row>
    <row r="116" spans="2:25" x14ac:dyDescent="0.3">
      <c r="B116" s="5" t="s">
        <v>70</v>
      </c>
      <c r="C116" s="5" t="str">
        <f>VLOOKUP(B116,[1]물질정보!B:C,2,0)</f>
        <v>10095-14-4</v>
      </c>
      <c r="D116" t="str">
        <f>VLOOKUP(B116,[1]물질정보!B:D,3,0)</f>
        <v>6-hydroxybutyl acrylate</v>
      </c>
      <c r="E116" t="str">
        <f>VLOOKUP(B116,[1]물질정보!B:E,4,0)</f>
        <v>C9H16O3</v>
      </c>
      <c r="F116" t="str">
        <f>VLOOKUP(B116,[1]물질정보!B:F,5,0)</f>
        <v>172.22 g/mol</v>
      </c>
      <c r="G116" s="5" t="str">
        <f>VLOOKUP(B116,[1]물질정보!B:G,6,0)</f>
        <v>C=CC(=O)OCCCCCCO</v>
      </c>
      <c r="H116" t="s">
        <v>26</v>
      </c>
      <c r="I116" t="s">
        <v>27</v>
      </c>
      <c r="J116" t="s">
        <v>28</v>
      </c>
      <c r="K116">
        <v>0.71914459500000005</v>
      </c>
      <c r="L116" t="s">
        <v>39</v>
      </c>
      <c r="M116" t="s">
        <v>29</v>
      </c>
      <c r="N116" t="s">
        <v>29</v>
      </c>
      <c r="O116" t="s">
        <v>29</v>
      </c>
      <c r="P116">
        <v>96</v>
      </c>
      <c r="Q116" t="s">
        <v>31</v>
      </c>
      <c r="R116" t="s">
        <v>32</v>
      </c>
      <c r="S116" t="s">
        <v>29</v>
      </c>
      <c r="T116" t="s">
        <v>40</v>
      </c>
      <c r="U116" t="s">
        <v>63</v>
      </c>
      <c r="V116" s="6" t="s">
        <v>35</v>
      </c>
      <c r="W116" t="s">
        <v>36</v>
      </c>
      <c r="X116" t="s">
        <v>37</v>
      </c>
      <c r="Y116" s="6" t="s">
        <v>28</v>
      </c>
    </row>
    <row r="117" spans="2:25" x14ac:dyDescent="0.3">
      <c r="B117" s="5" t="s">
        <v>71</v>
      </c>
      <c r="C117" s="5" t="str">
        <f>VLOOKUP(B117,[1]물질정보!B:C,2,0)</f>
        <v>97-63-2</v>
      </c>
      <c r="D117" t="str">
        <f>VLOOKUP(B117,[1]물질정보!B:D,3,0)</f>
        <v>ethyl methacrylate</v>
      </c>
      <c r="E117" t="str">
        <f>VLOOKUP(B117,[1]물질정보!B:E,4,0)</f>
        <v>C6H10O2</v>
      </c>
      <c r="F117" t="str">
        <f>VLOOKUP(B117,[1]물질정보!B:F,5,0)</f>
        <v>114.14 g/mol</v>
      </c>
      <c r="G117" s="5" t="str">
        <f>VLOOKUP(B117,[1]물질정보!B:G,6,0)</f>
        <v>CCOC(=O)C(=C)C</v>
      </c>
      <c r="H117" t="s">
        <v>26</v>
      </c>
      <c r="I117" t="s">
        <v>27</v>
      </c>
      <c r="J117" t="s">
        <v>28</v>
      </c>
      <c r="K117">
        <v>40.311480000000003</v>
      </c>
      <c r="L117" t="s">
        <v>39</v>
      </c>
      <c r="M117" t="s">
        <v>29</v>
      </c>
      <c r="N117" t="s">
        <v>29</v>
      </c>
      <c r="O117" t="s">
        <v>29</v>
      </c>
      <c r="P117">
        <v>72</v>
      </c>
      <c r="Q117" t="s">
        <v>31</v>
      </c>
      <c r="R117" t="s">
        <v>32</v>
      </c>
      <c r="S117" t="s">
        <v>29</v>
      </c>
      <c r="T117" t="s">
        <v>40</v>
      </c>
      <c r="U117" t="s">
        <v>41</v>
      </c>
      <c r="V117" s="6" t="s">
        <v>35</v>
      </c>
      <c r="W117" t="s">
        <v>43</v>
      </c>
      <c r="X117" t="s">
        <v>44</v>
      </c>
      <c r="Y117" s="6" t="s">
        <v>28</v>
      </c>
    </row>
    <row r="118" spans="2:25" x14ac:dyDescent="0.3">
      <c r="B118" s="5" t="s">
        <v>71</v>
      </c>
      <c r="C118" s="5" t="str">
        <f>VLOOKUP(B118,[1]물질정보!B:C,2,0)</f>
        <v>97-63-2</v>
      </c>
      <c r="D118" t="str">
        <f>VLOOKUP(B118,[1]물질정보!B:D,3,0)</f>
        <v>ethyl methacrylate</v>
      </c>
      <c r="E118" t="str">
        <f>VLOOKUP(B118,[1]물질정보!B:E,4,0)</f>
        <v>C6H10O2</v>
      </c>
      <c r="F118" t="str">
        <f>VLOOKUP(B118,[1]물질정보!B:F,5,0)</f>
        <v>114.14 g/mol</v>
      </c>
      <c r="G118" s="5" t="str">
        <f>VLOOKUP(B118,[1]물질정보!B:G,6,0)</f>
        <v>CCOC(=O)C(=C)C</v>
      </c>
      <c r="H118" t="s">
        <v>26</v>
      </c>
      <c r="I118" t="s">
        <v>27</v>
      </c>
      <c r="J118" t="s">
        <v>28</v>
      </c>
      <c r="K118">
        <v>40.311480000000003</v>
      </c>
      <c r="L118" t="s">
        <v>39</v>
      </c>
      <c r="M118" t="s">
        <v>29</v>
      </c>
      <c r="N118" t="s">
        <v>29</v>
      </c>
      <c r="O118" t="s">
        <v>29</v>
      </c>
      <c r="P118">
        <v>72</v>
      </c>
      <c r="Q118" t="s">
        <v>31</v>
      </c>
      <c r="R118" t="s">
        <v>32</v>
      </c>
      <c r="S118" t="s">
        <v>29</v>
      </c>
      <c r="T118" t="s">
        <v>40</v>
      </c>
      <c r="U118" t="s">
        <v>41</v>
      </c>
      <c r="V118" s="6" t="s">
        <v>35</v>
      </c>
      <c r="W118" t="s">
        <v>43</v>
      </c>
      <c r="X118" t="s">
        <v>44</v>
      </c>
      <c r="Y118" s="6" t="s">
        <v>28</v>
      </c>
    </row>
    <row r="119" spans="2:25" x14ac:dyDescent="0.3">
      <c r="B119" s="5" t="s">
        <v>71</v>
      </c>
      <c r="C119" s="5" t="str">
        <f>VLOOKUP(B119,[1]물질정보!B:C,2,0)</f>
        <v>97-63-2</v>
      </c>
      <c r="D119" t="str">
        <f>VLOOKUP(B119,[1]물질정보!B:D,3,0)</f>
        <v>ethyl methacrylate</v>
      </c>
      <c r="E119" t="str">
        <f>VLOOKUP(B119,[1]물질정보!B:E,4,0)</f>
        <v>C6H10O2</v>
      </c>
      <c r="F119" t="str">
        <f>VLOOKUP(B119,[1]물질정보!B:F,5,0)</f>
        <v>114.14 g/mol</v>
      </c>
      <c r="G119" s="5" t="str">
        <f>VLOOKUP(B119,[1]물질정보!B:G,6,0)</f>
        <v>CCOC(=O)C(=C)C</v>
      </c>
      <c r="H119" t="s">
        <v>26</v>
      </c>
      <c r="I119" t="s">
        <v>45</v>
      </c>
      <c r="J119" t="s">
        <v>28</v>
      </c>
      <c r="K119" t="s">
        <v>29</v>
      </c>
      <c r="L119" t="s">
        <v>39</v>
      </c>
      <c r="M119" t="s">
        <v>29</v>
      </c>
      <c r="N119" t="s">
        <v>29</v>
      </c>
      <c r="O119" t="s">
        <v>29</v>
      </c>
      <c r="P119">
        <v>48</v>
      </c>
      <c r="Q119" t="s">
        <v>31</v>
      </c>
      <c r="R119" t="s">
        <v>32</v>
      </c>
      <c r="S119" t="s">
        <v>29</v>
      </c>
      <c r="T119" t="s">
        <v>66</v>
      </c>
      <c r="U119" t="s">
        <v>46</v>
      </c>
      <c r="V119" s="6" t="s">
        <v>35</v>
      </c>
      <c r="W119" t="s">
        <v>47</v>
      </c>
      <c r="X119" t="s">
        <v>48</v>
      </c>
      <c r="Y119" s="6" t="s">
        <v>28</v>
      </c>
    </row>
    <row r="120" spans="2:25" x14ac:dyDescent="0.3">
      <c r="B120" s="5" t="s">
        <v>71</v>
      </c>
      <c r="C120" s="5" t="str">
        <f>VLOOKUP(B120,[1]물질정보!B:C,2,0)</f>
        <v>97-63-2</v>
      </c>
      <c r="D120" t="str">
        <f>VLOOKUP(B120,[1]물질정보!B:D,3,0)</f>
        <v>ethyl methacrylate</v>
      </c>
      <c r="E120" t="str">
        <f>VLOOKUP(B120,[1]물질정보!B:E,4,0)</f>
        <v>C6H10O2</v>
      </c>
      <c r="F120" t="str">
        <f>VLOOKUP(B120,[1]물질정보!B:F,5,0)</f>
        <v>114.14 g/mol</v>
      </c>
      <c r="G120" s="5" t="str">
        <f>VLOOKUP(B120,[1]물질정보!B:G,6,0)</f>
        <v>CCOC(=O)C(=C)C</v>
      </c>
      <c r="H120" t="s">
        <v>26</v>
      </c>
      <c r="I120" t="s">
        <v>45</v>
      </c>
      <c r="J120" t="s">
        <v>28</v>
      </c>
      <c r="K120" t="s">
        <v>29</v>
      </c>
      <c r="L120" t="s">
        <v>39</v>
      </c>
      <c r="M120" t="s">
        <v>29</v>
      </c>
      <c r="N120" t="s">
        <v>29</v>
      </c>
      <c r="O120" t="s">
        <v>29</v>
      </c>
      <c r="P120">
        <v>48</v>
      </c>
      <c r="Q120" t="s">
        <v>31</v>
      </c>
      <c r="R120" t="s">
        <v>32</v>
      </c>
      <c r="S120" t="s">
        <v>29</v>
      </c>
      <c r="T120" t="s">
        <v>66</v>
      </c>
      <c r="U120" t="s">
        <v>46</v>
      </c>
      <c r="V120" s="6" t="s">
        <v>35</v>
      </c>
      <c r="W120" t="s">
        <v>47</v>
      </c>
      <c r="X120" t="s">
        <v>48</v>
      </c>
      <c r="Y120" s="6" t="s">
        <v>28</v>
      </c>
    </row>
    <row r="121" spans="2:25" x14ac:dyDescent="0.3">
      <c r="B121" s="5" t="s">
        <v>71</v>
      </c>
      <c r="C121" s="5" t="str">
        <f>VLOOKUP(B121,[1]물질정보!B:C,2,0)</f>
        <v>97-63-2</v>
      </c>
      <c r="D121" t="str">
        <f>VLOOKUP(B121,[1]물질정보!B:D,3,0)</f>
        <v>ethyl methacrylate</v>
      </c>
      <c r="E121" t="str">
        <f>VLOOKUP(B121,[1]물질정보!B:E,4,0)</f>
        <v>C6H10O2</v>
      </c>
      <c r="F121" t="str">
        <f>VLOOKUP(B121,[1]물질정보!B:F,5,0)</f>
        <v>114.14 g/mol</v>
      </c>
      <c r="G121" s="5" t="str">
        <f>VLOOKUP(B121,[1]물질정보!B:G,6,0)</f>
        <v>CCOC(=O)C(=C)C</v>
      </c>
      <c r="H121" t="s">
        <v>26</v>
      </c>
      <c r="I121" t="s">
        <v>45</v>
      </c>
      <c r="J121" t="s">
        <v>49</v>
      </c>
      <c r="K121">
        <v>23.572919070000001</v>
      </c>
      <c r="L121" t="s">
        <v>39</v>
      </c>
      <c r="M121" t="s">
        <v>29</v>
      </c>
      <c r="N121" t="s">
        <v>29</v>
      </c>
      <c r="O121" t="s">
        <v>29</v>
      </c>
      <c r="P121">
        <v>48</v>
      </c>
      <c r="Q121" t="s">
        <v>31</v>
      </c>
      <c r="R121" t="s">
        <v>32</v>
      </c>
      <c r="S121" t="s">
        <v>29</v>
      </c>
      <c r="T121" t="s">
        <v>40</v>
      </c>
      <c r="U121" t="s">
        <v>50</v>
      </c>
      <c r="V121" s="6" t="s">
        <v>35</v>
      </c>
      <c r="W121" t="s">
        <v>47</v>
      </c>
      <c r="X121" t="s">
        <v>48</v>
      </c>
      <c r="Y121" s="6" t="s">
        <v>49</v>
      </c>
    </row>
    <row r="122" spans="2:25" x14ac:dyDescent="0.3">
      <c r="B122" s="5" t="s">
        <v>71</v>
      </c>
      <c r="C122" s="5" t="str">
        <f>VLOOKUP(B122,[1]물질정보!B:C,2,0)</f>
        <v>97-63-2</v>
      </c>
      <c r="D122" t="str">
        <f>VLOOKUP(B122,[1]물질정보!B:D,3,0)</f>
        <v>ethyl methacrylate</v>
      </c>
      <c r="E122" t="str">
        <f>VLOOKUP(B122,[1]물질정보!B:E,4,0)</f>
        <v>C6H10O2</v>
      </c>
      <c r="F122" t="str">
        <f>VLOOKUP(B122,[1]물질정보!B:F,5,0)</f>
        <v>114.14 g/mol</v>
      </c>
      <c r="G122" s="5" t="str">
        <f>VLOOKUP(B122,[1]물질정보!B:G,6,0)</f>
        <v>CCOC(=O)C(=C)C</v>
      </c>
      <c r="H122" t="s">
        <v>26</v>
      </c>
      <c r="I122" t="s">
        <v>45</v>
      </c>
      <c r="J122" t="s">
        <v>49</v>
      </c>
      <c r="K122">
        <v>23.572919070000001</v>
      </c>
      <c r="L122" t="s">
        <v>39</v>
      </c>
      <c r="M122" t="s">
        <v>29</v>
      </c>
      <c r="N122" t="s">
        <v>29</v>
      </c>
      <c r="O122" t="s">
        <v>29</v>
      </c>
      <c r="P122">
        <v>48</v>
      </c>
      <c r="Q122" t="s">
        <v>31</v>
      </c>
      <c r="R122" t="s">
        <v>32</v>
      </c>
      <c r="S122" t="s">
        <v>29</v>
      </c>
      <c r="T122" t="s">
        <v>40</v>
      </c>
      <c r="U122" t="s">
        <v>50</v>
      </c>
      <c r="V122" s="6" t="s">
        <v>35</v>
      </c>
      <c r="W122" t="s">
        <v>47</v>
      </c>
      <c r="X122" t="s">
        <v>48</v>
      </c>
      <c r="Y122" s="6" t="s">
        <v>49</v>
      </c>
    </row>
    <row r="123" spans="2:25" x14ac:dyDescent="0.3">
      <c r="B123" s="5" t="s">
        <v>71</v>
      </c>
      <c r="C123" s="5" t="str">
        <f>VLOOKUP(B123,[1]물질정보!B:C,2,0)</f>
        <v>97-63-2</v>
      </c>
      <c r="D123" t="str">
        <f>VLOOKUP(B123,[1]물질정보!B:D,3,0)</f>
        <v>ethyl methacrylate</v>
      </c>
      <c r="E123" t="str">
        <f>VLOOKUP(B123,[1]물질정보!B:E,4,0)</f>
        <v>C6H10O2</v>
      </c>
      <c r="F123" t="str">
        <f>VLOOKUP(B123,[1]물질정보!B:F,5,0)</f>
        <v>114.14 g/mol</v>
      </c>
      <c r="G123" s="5" t="str">
        <f>VLOOKUP(B123,[1]물질정보!B:G,6,0)</f>
        <v>CCOC(=O)C(=C)C</v>
      </c>
      <c r="H123" t="s">
        <v>26</v>
      </c>
      <c r="I123" t="s">
        <v>51</v>
      </c>
      <c r="J123" t="s">
        <v>49</v>
      </c>
      <c r="K123">
        <v>32.726849999999999</v>
      </c>
      <c r="L123" t="s">
        <v>39</v>
      </c>
      <c r="M123" t="s">
        <v>29</v>
      </c>
      <c r="N123" t="s">
        <v>29</v>
      </c>
      <c r="O123" t="s">
        <v>29</v>
      </c>
      <c r="P123">
        <v>96</v>
      </c>
      <c r="Q123" t="s">
        <v>31</v>
      </c>
      <c r="R123" t="s">
        <v>32</v>
      </c>
      <c r="S123" t="s">
        <v>29</v>
      </c>
      <c r="T123" t="s">
        <v>40</v>
      </c>
      <c r="U123" t="s">
        <v>52</v>
      </c>
      <c r="V123" s="6" t="s">
        <v>35</v>
      </c>
      <c r="W123" t="s">
        <v>53</v>
      </c>
      <c r="X123" t="s">
        <v>37</v>
      </c>
      <c r="Y123" s="6" t="s">
        <v>49</v>
      </c>
    </row>
    <row r="124" spans="2:25" x14ac:dyDescent="0.3">
      <c r="B124" s="5" t="s">
        <v>71</v>
      </c>
      <c r="C124" s="5" t="str">
        <f>VLOOKUP(B124,[1]물질정보!B:C,2,0)</f>
        <v>97-63-2</v>
      </c>
      <c r="D124" t="str">
        <f>VLOOKUP(B124,[1]물질정보!B:D,3,0)</f>
        <v>ethyl methacrylate</v>
      </c>
      <c r="E124" t="str">
        <f>VLOOKUP(B124,[1]물질정보!B:E,4,0)</f>
        <v>C6H10O2</v>
      </c>
      <c r="F124" t="str">
        <f>VLOOKUP(B124,[1]물질정보!B:F,5,0)</f>
        <v>114.14 g/mol</v>
      </c>
      <c r="G124" s="5" t="str">
        <f>VLOOKUP(B124,[1]물질정보!B:G,6,0)</f>
        <v>CCOC(=O)C(=C)C</v>
      </c>
      <c r="H124" t="s">
        <v>26</v>
      </c>
      <c r="I124" t="s">
        <v>51</v>
      </c>
      <c r="J124" t="s">
        <v>49</v>
      </c>
      <c r="K124">
        <v>32.726849999999999</v>
      </c>
      <c r="L124" t="s">
        <v>39</v>
      </c>
      <c r="M124" t="s">
        <v>29</v>
      </c>
      <c r="N124" t="s">
        <v>29</v>
      </c>
      <c r="O124" t="s">
        <v>29</v>
      </c>
      <c r="P124">
        <v>96</v>
      </c>
      <c r="Q124" t="s">
        <v>31</v>
      </c>
      <c r="R124" t="s">
        <v>32</v>
      </c>
      <c r="S124" t="s">
        <v>29</v>
      </c>
      <c r="T124" t="s">
        <v>40</v>
      </c>
      <c r="U124" t="s">
        <v>52</v>
      </c>
      <c r="V124" s="6" t="s">
        <v>35</v>
      </c>
      <c r="W124" t="s">
        <v>53</v>
      </c>
      <c r="X124" t="s">
        <v>37</v>
      </c>
      <c r="Y124" s="6" t="s">
        <v>49</v>
      </c>
    </row>
    <row r="125" spans="2:25" x14ac:dyDescent="0.3">
      <c r="B125" s="5" t="s">
        <v>71</v>
      </c>
      <c r="C125" s="5" t="str">
        <f>VLOOKUP(B125,[1]물질정보!B:C,2,0)</f>
        <v>97-63-2</v>
      </c>
      <c r="D125" t="str">
        <f>VLOOKUP(B125,[1]물질정보!B:D,3,0)</f>
        <v>ethyl methacrylate</v>
      </c>
      <c r="E125" t="str">
        <f>VLOOKUP(B125,[1]물질정보!B:E,4,0)</f>
        <v>C6H10O2</v>
      </c>
      <c r="F125" t="str">
        <f>VLOOKUP(B125,[1]물질정보!B:F,5,0)</f>
        <v>114.14 g/mol</v>
      </c>
      <c r="G125" s="5" t="str">
        <f>VLOOKUP(B125,[1]물질정보!B:G,6,0)</f>
        <v>CCOC(=O)C(=C)C</v>
      </c>
      <c r="H125" t="s">
        <v>26</v>
      </c>
      <c r="I125" t="s">
        <v>51</v>
      </c>
      <c r="J125" t="s">
        <v>49</v>
      </c>
      <c r="K125">
        <v>30.244960750000001</v>
      </c>
      <c r="L125" t="s">
        <v>39</v>
      </c>
      <c r="M125" t="s">
        <v>29</v>
      </c>
      <c r="N125" t="s">
        <v>29</v>
      </c>
      <c r="O125" t="s">
        <v>29</v>
      </c>
      <c r="P125">
        <v>96</v>
      </c>
      <c r="Q125" t="s">
        <v>31</v>
      </c>
      <c r="R125" t="s">
        <v>32</v>
      </c>
      <c r="S125" t="s">
        <v>29</v>
      </c>
      <c r="T125" t="s">
        <v>40</v>
      </c>
      <c r="U125" t="s">
        <v>56</v>
      </c>
      <c r="V125" s="6" t="s">
        <v>35</v>
      </c>
      <c r="W125" t="s">
        <v>57</v>
      </c>
      <c r="X125" t="s">
        <v>37</v>
      </c>
      <c r="Y125" s="6" t="s">
        <v>49</v>
      </c>
    </row>
    <row r="126" spans="2:25" x14ac:dyDescent="0.3">
      <c r="B126" s="5" t="s">
        <v>71</v>
      </c>
      <c r="C126" s="5" t="str">
        <f>VLOOKUP(B126,[1]물질정보!B:C,2,0)</f>
        <v>97-63-2</v>
      </c>
      <c r="D126" t="str">
        <f>VLOOKUP(B126,[1]물질정보!B:D,3,0)</f>
        <v>ethyl methacrylate</v>
      </c>
      <c r="E126" t="str">
        <f>VLOOKUP(B126,[1]물질정보!B:E,4,0)</f>
        <v>C6H10O2</v>
      </c>
      <c r="F126" t="str">
        <f>VLOOKUP(B126,[1]물질정보!B:F,5,0)</f>
        <v>114.14 g/mol</v>
      </c>
      <c r="G126" s="5" t="str">
        <f>VLOOKUP(B126,[1]물질정보!B:G,6,0)</f>
        <v>CCOC(=O)C(=C)C</v>
      </c>
      <c r="H126" t="s">
        <v>26</v>
      </c>
      <c r="I126" t="s">
        <v>51</v>
      </c>
      <c r="J126" t="s">
        <v>49</v>
      </c>
      <c r="K126">
        <v>30.244960750000001</v>
      </c>
      <c r="L126" t="s">
        <v>39</v>
      </c>
      <c r="M126" t="s">
        <v>29</v>
      </c>
      <c r="N126" t="s">
        <v>29</v>
      </c>
      <c r="O126" t="s">
        <v>29</v>
      </c>
      <c r="P126">
        <v>96</v>
      </c>
      <c r="Q126" t="s">
        <v>31</v>
      </c>
      <c r="R126" t="s">
        <v>32</v>
      </c>
      <c r="S126" t="s">
        <v>29</v>
      </c>
      <c r="T126" t="s">
        <v>40</v>
      </c>
      <c r="U126" t="s">
        <v>56</v>
      </c>
      <c r="V126" s="6" t="s">
        <v>35</v>
      </c>
      <c r="W126" t="s">
        <v>57</v>
      </c>
      <c r="X126" t="s">
        <v>37</v>
      </c>
      <c r="Y126" s="6" t="s">
        <v>49</v>
      </c>
    </row>
    <row r="127" spans="2:25" x14ac:dyDescent="0.3">
      <c r="B127" s="5" t="s">
        <v>71</v>
      </c>
      <c r="C127" s="5" t="str">
        <f>VLOOKUP(B127,[1]물질정보!B:C,2,0)</f>
        <v>97-63-2</v>
      </c>
      <c r="D127" t="str">
        <f>VLOOKUP(B127,[1]물질정보!B:D,3,0)</f>
        <v>ethyl methacrylate</v>
      </c>
      <c r="E127" t="str">
        <f>VLOOKUP(B127,[1]물질정보!B:E,4,0)</f>
        <v>C6H10O2</v>
      </c>
      <c r="F127" t="str">
        <f>VLOOKUP(B127,[1]물질정보!B:F,5,0)</f>
        <v>114.14 g/mol</v>
      </c>
      <c r="G127" s="5" t="str">
        <f>VLOOKUP(B127,[1]물질정보!B:G,6,0)</f>
        <v>CCOC(=O)C(=C)C</v>
      </c>
      <c r="H127" t="s">
        <v>26</v>
      </c>
      <c r="I127" t="s">
        <v>27</v>
      </c>
      <c r="J127" t="s">
        <v>28</v>
      </c>
      <c r="K127">
        <v>0.217628027</v>
      </c>
      <c r="L127" t="s">
        <v>39</v>
      </c>
      <c r="M127" t="s">
        <v>29</v>
      </c>
      <c r="N127" t="s">
        <v>29</v>
      </c>
      <c r="O127" t="s">
        <v>29</v>
      </c>
      <c r="P127">
        <v>96</v>
      </c>
      <c r="Q127" t="s">
        <v>31</v>
      </c>
      <c r="R127" t="s">
        <v>32</v>
      </c>
      <c r="S127" t="s">
        <v>29</v>
      </c>
      <c r="T127" t="s">
        <v>40</v>
      </c>
      <c r="U127" t="s">
        <v>58</v>
      </c>
      <c r="V127" s="6" t="s">
        <v>35</v>
      </c>
      <c r="W127" t="s">
        <v>36</v>
      </c>
      <c r="X127" t="s">
        <v>37</v>
      </c>
      <c r="Y127" s="6" t="s">
        <v>28</v>
      </c>
    </row>
    <row r="128" spans="2:25" x14ac:dyDescent="0.3">
      <c r="B128" s="5" t="s">
        <v>71</v>
      </c>
      <c r="C128" s="5" t="str">
        <f>VLOOKUP(B128,[1]물질정보!B:C,2,0)</f>
        <v>97-63-2</v>
      </c>
      <c r="D128" t="str">
        <f>VLOOKUP(B128,[1]물질정보!B:D,3,0)</f>
        <v>ethyl methacrylate</v>
      </c>
      <c r="E128" t="str">
        <f>VLOOKUP(B128,[1]물질정보!B:E,4,0)</f>
        <v>C6H10O2</v>
      </c>
      <c r="F128" t="str">
        <f>VLOOKUP(B128,[1]물질정보!B:F,5,0)</f>
        <v>114.14 g/mol</v>
      </c>
      <c r="G128" s="5" t="str">
        <f>VLOOKUP(B128,[1]물질정보!B:G,6,0)</f>
        <v>CCOC(=O)C(=C)C</v>
      </c>
      <c r="H128" t="s">
        <v>26</v>
      </c>
      <c r="I128" t="s">
        <v>27</v>
      </c>
      <c r="J128" t="s">
        <v>28</v>
      </c>
      <c r="K128">
        <v>0.217628027</v>
      </c>
      <c r="L128" t="s">
        <v>39</v>
      </c>
      <c r="M128" t="s">
        <v>29</v>
      </c>
      <c r="N128" t="s">
        <v>29</v>
      </c>
      <c r="O128" t="s">
        <v>29</v>
      </c>
      <c r="P128">
        <v>96</v>
      </c>
      <c r="Q128" t="s">
        <v>31</v>
      </c>
      <c r="R128" t="s">
        <v>32</v>
      </c>
      <c r="S128" t="s">
        <v>29</v>
      </c>
      <c r="T128" t="s">
        <v>40</v>
      </c>
      <c r="U128" t="s">
        <v>58</v>
      </c>
      <c r="V128" s="6" t="s">
        <v>35</v>
      </c>
      <c r="W128" t="s">
        <v>36</v>
      </c>
      <c r="X128" t="s">
        <v>37</v>
      </c>
      <c r="Y128" s="6" t="s">
        <v>28</v>
      </c>
    </row>
    <row r="129" spans="2:25" x14ac:dyDescent="0.3">
      <c r="B129" s="5" t="s">
        <v>72</v>
      </c>
      <c r="C129" s="5" t="str">
        <f>VLOOKUP(B129,[1]물질정보!B:C,2,0)</f>
        <v>205-25-4</v>
      </c>
      <c r="D129" t="str">
        <f>VLOOKUP(B129,[1]물질정보!B:D,3,0)</f>
        <v xml:space="preserve">7H-Benzo[c]carbazole </v>
      </c>
      <c r="E129" t="str">
        <f>VLOOKUP(B129,[1]물질정보!B:E,4,0)</f>
        <v>C16H11N</v>
      </c>
      <c r="F129" t="str">
        <f>VLOOKUP(B129,[1]물질정보!B:F,5,0)</f>
        <v>217.26 g/mol</v>
      </c>
      <c r="G129" s="5" t="str">
        <f>VLOOKUP(B129,[1]물질정보!B:G,6,0)</f>
        <v>C1=CC=C2C(=C1)C=CC3=C2C4=CC=CC=C4N3</v>
      </c>
      <c r="H129" t="s">
        <v>26</v>
      </c>
      <c r="I129" t="s">
        <v>27</v>
      </c>
      <c r="J129" t="s">
        <v>28</v>
      </c>
      <c r="K129" t="s">
        <v>29</v>
      </c>
      <c r="L129" t="s">
        <v>39</v>
      </c>
      <c r="M129" t="s">
        <v>29</v>
      </c>
      <c r="N129" t="s">
        <v>29</v>
      </c>
      <c r="O129" t="s">
        <v>29</v>
      </c>
      <c r="P129">
        <v>72</v>
      </c>
      <c r="Q129" t="s">
        <v>31</v>
      </c>
      <c r="R129" t="s">
        <v>32</v>
      </c>
      <c r="S129" t="s">
        <v>29</v>
      </c>
      <c r="T129" t="s">
        <v>66</v>
      </c>
      <c r="U129" t="s">
        <v>41</v>
      </c>
      <c r="V129" s="6" t="s">
        <v>35</v>
      </c>
      <c r="W129" t="s">
        <v>43</v>
      </c>
      <c r="X129" t="s">
        <v>44</v>
      </c>
      <c r="Y129" s="6" t="s">
        <v>28</v>
      </c>
    </row>
    <row r="130" spans="2:25" x14ac:dyDescent="0.3">
      <c r="B130" s="5" t="s">
        <v>72</v>
      </c>
      <c r="C130" s="5" t="str">
        <f>VLOOKUP(B130,[1]물질정보!B:C,2,0)</f>
        <v>205-25-4</v>
      </c>
      <c r="D130" t="str">
        <f>VLOOKUP(B130,[1]물질정보!B:D,3,0)</f>
        <v xml:space="preserve">7H-Benzo[c]carbazole </v>
      </c>
      <c r="E130" t="str">
        <f>VLOOKUP(B130,[1]물질정보!B:E,4,0)</f>
        <v>C16H11N</v>
      </c>
      <c r="F130" t="str">
        <f>VLOOKUP(B130,[1]물질정보!B:F,5,0)</f>
        <v>217.26 g/mol</v>
      </c>
      <c r="G130" s="5" t="str">
        <f>VLOOKUP(B130,[1]물질정보!B:G,6,0)</f>
        <v>C1=CC=C2C(=C1)C=CC3=C2C4=CC=CC=C4N3</v>
      </c>
      <c r="H130" t="s">
        <v>26</v>
      </c>
      <c r="I130" t="s">
        <v>27</v>
      </c>
      <c r="J130" t="s">
        <v>28</v>
      </c>
      <c r="K130" t="s">
        <v>29</v>
      </c>
      <c r="L130" t="s">
        <v>39</v>
      </c>
      <c r="M130" t="s">
        <v>29</v>
      </c>
      <c r="N130" t="s">
        <v>29</v>
      </c>
      <c r="O130" t="s">
        <v>29</v>
      </c>
      <c r="P130">
        <v>72</v>
      </c>
      <c r="Q130" t="s">
        <v>31</v>
      </c>
      <c r="R130" t="s">
        <v>32</v>
      </c>
      <c r="S130" t="s">
        <v>29</v>
      </c>
      <c r="T130" t="s">
        <v>66</v>
      </c>
      <c r="U130" t="s">
        <v>41</v>
      </c>
      <c r="V130" s="6" t="s">
        <v>35</v>
      </c>
      <c r="W130" t="s">
        <v>43</v>
      </c>
      <c r="X130" t="s">
        <v>44</v>
      </c>
      <c r="Y130" s="6" t="s">
        <v>28</v>
      </c>
    </row>
    <row r="131" spans="2:25" x14ac:dyDescent="0.3">
      <c r="B131" s="5" t="s">
        <v>72</v>
      </c>
      <c r="C131" s="5" t="str">
        <f>VLOOKUP(B131,[1]물질정보!B:C,2,0)</f>
        <v>205-25-4</v>
      </c>
      <c r="D131" t="str">
        <f>VLOOKUP(B131,[1]물질정보!B:D,3,0)</f>
        <v xml:space="preserve">7H-Benzo[c]carbazole </v>
      </c>
      <c r="E131" t="str">
        <f>VLOOKUP(B131,[1]물질정보!B:E,4,0)</f>
        <v>C16H11N</v>
      </c>
      <c r="F131" t="str">
        <f>VLOOKUP(B131,[1]물질정보!B:F,5,0)</f>
        <v>217.26 g/mol</v>
      </c>
      <c r="G131" s="5" t="str">
        <f>VLOOKUP(B131,[1]물질정보!B:G,6,0)</f>
        <v>C1=CC=C2C(=C1)C=CC3=C2C4=CC=CC=C4N3</v>
      </c>
      <c r="H131" t="s">
        <v>26</v>
      </c>
      <c r="I131" t="s">
        <v>45</v>
      </c>
      <c r="J131" t="s">
        <v>28</v>
      </c>
      <c r="K131" t="s">
        <v>29</v>
      </c>
      <c r="L131" t="s">
        <v>39</v>
      </c>
      <c r="M131" t="s">
        <v>29</v>
      </c>
      <c r="N131" t="s">
        <v>29</v>
      </c>
      <c r="O131" t="s">
        <v>29</v>
      </c>
      <c r="P131">
        <v>48</v>
      </c>
      <c r="Q131" t="s">
        <v>31</v>
      </c>
      <c r="R131" t="s">
        <v>32</v>
      </c>
      <c r="S131" t="s">
        <v>29</v>
      </c>
      <c r="T131" t="s">
        <v>66</v>
      </c>
      <c r="U131" t="s">
        <v>46</v>
      </c>
      <c r="V131" s="6" t="s">
        <v>35</v>
      </c>
      <c r="W131" t="s">
        <v>47</v>
      </c>
      <c r="X131" t="s">
        <v>48</v>
      </c>
      <c r="Y131" s="6" t="s">
        <v>28</v>
      </c>
    </row>
    <row r="132" spans="2:25" x14ac:dyDescent="0.3">
      <c r="B132" s="5" t="s">
        <v>72</v>
      </c>
      <c r="C132" s="5" t="str">
        <f>VLOOKUP(B132,[1]물질정보!B:C,2,0)</f>
        <v>205-25-4</v>
      </c>
      <c r="D132" t="str">
        <f>VLOOKUP(B132,[1]물질정보!B:D,3,0)</f>
        <v xml:space="preserve">7H-Benzo[c]carbazole </v>
      </c>
      <c r="E132" t="str">
        <f>VLOOKUP(B132,[1]물질정보!B:E,4,0)</f>
        <v>C16H11N</v>
      </c>
      <c r="F132" t="str">
        <f>VLOOKUP(B132,[1]물질정보!B:F,5,0)</f>
        <v>217.26 g/mol</v>
      </c>
      <c r="G132" s="5" t="str">
        <f>VLOOKUP(B132,[1]물질정보!B:G,6,0)</f>
        <v>C1=CC=C2C(=C1)C=CC3=C2C4=CC=CC=C4N3</v>
      </c>
      <c r="H132" t="s">
        <v>26</v>
      </c>
      <c r="I132" t="s">
        <v>45</v>
      </c>
      <c r="J132" t="s">
        <v>28</v>
      </c>
      <c r="K132" t="s">
        <v>29</v>
      </c>
      <c r="L132" t="s">
        <v>39</v>
      </c>
      <c r="M132" t="s">
        <v>29</v>
      </c>
      <c r="N132" t="s">
        <v>29</v>
      </c>
      <c r="O132" t="s">
        <v>29</v>
      </c>
      <c r="P132">
        <v>48</v>
      </c>
      <c r="Q132" t="s">
        <v>31</v>
      </c>
      <c r="R132" t="s">
        <v>32</v>
      </c>
      <c r="S132" t="s">
        <v>29</v>
      </c>
      <c r="T132" t="s">
        <v>66</v>
      </c>
      <c r="U132" t="s">
        <v>46</v>
      </c>
      <c r="V132" s="6" t="s">
        <v>35</v>
      </c>
      <c r="W132" t="s">
        <v>47</v>
      </c>
      <c r="X132" t="s">
        <v>48</v>
      </c>
      <c r="Y132" s="6" t="s">
        <v>28</v>
      </c>
    </row>
    <row r="133" spans="2:25" x14ac:dyDescent="0.3">
      <c r="B133" s="5" t="s">
        <v>72</v>
      </c>
      <c r="C133" s="5" t="str">
        <f>VLOOKUP(B133,[1]물질정보!B:C,2,0)</f>
        <v>205-25-4</v>
      </c>
      <c r="D133" t="str">
        <f>VLOOKUP(B133,[1]물질정보!B:D,3,0)</f>
        <v xml:space="preserve">7H-Benzo[c]carbazole </v>
      </c>
      <c r="E133" t="str">
        <f>VLOOKUP(B133,[1]물질정보!B:E,4,0)</f>
        <v>C16H11N</v>
      </c>
      <c r="F133" t="str">
        <f>VLOOKUP(B133,[1]물질정보!B:F,5,0)</f>
        <v>217.26 g/mol</v>
      </c>
      <c r="G133" s="5" t="str">
        <f>VLOOKUP(B133,[1]물질정보!B:G,6,0)</f>
        <v>C1=CC=C2C(=C1)C=CC3=C2C4=CC=CC=C4N3</v>
      </c>
      <c r="H133" t="s">
        <v>26</v>
      </c>
      <c r="I133" t="s">
        <v>45</v>
      </c>
      <c r="J133" t="s">
        <v>49</v>
      </c>
      <c r="K133">
        <v>0.87244901799999997</v>
      </c>
      <c r="L133" t="s">
        <v>39</v>
      </c>
      <c r="M133" t="s">
        <v>29</v>
      </c>
      <c r="N133" t="s">
        <v>29</v>
      </c>
      <c r="O133" t="s">
        <v>29</v>
      </c>
      <c r="P133">
        <v>48</v>
      </c>
      <c r="Q133" t="s">
        <v>31</v>
      </c>
      <c r="R133" t="s">
        <v>32</v>
      </c>
      <c r="S133" t="s">
        <v>29</v>
      </c>
      <c r="T133" t="s">
        <v>40</v>
      </c>
      <c r="U133" t="s">
        <v>73</v>
      </c>
      <c r="V133" s="6" t="s">
        <v>35</v>
      </c>
      <c r="W133" t="s">
        <v>47</v>
      </c>
      <c r="X133" t="s">
        <v>48</v>
      </c>
      <c r="Y133" s="6" t="s">
        <v>49</v>
      </c>
    </row>
    <row r="134" spans="2:25" x14ac:dyDescent="0.3">
      <c r="B134" s="5" t="s">
        <v>72</v>
      </c>
      <c r="C134" s="5" t="str">
        <f>VLOOKUP(B134,[1]물질정보!B:C,2,0)</f>
        <v>205-25-4</v>
      </c>
      <c r="D134" t="str">
        <f>VLOOKUP(B134,[1]물질정보!B:D,3,0)</f>
        <v xml:space="preserve">7H-Benzo[c]carbazole </v>
      </c>
      <c r="E134" t="str">
        <f>VLOOKUP(B134,[1]물질정보!B:E,4,0)</f>
        <v>C16H11N</v>
      </c>
      <c r="F134" t="str">
        <f>VLOOKUP(B134,[1]물질정보!B:F,5,0)</f>
        <v>217.26 g/mol</v>
      </c>
      <c r="G134" s="5" t="str">
        <f>VLOOKUP(B134,[1]물질정보!B:G,6,0)</f>
        <v>C1=CC=C2C(=C1)C=CC3=C2C4=CC=CC=C4N3</v>
      </c>
      <c r="H134" t="s">
        <v>26</v>
      </c>
      <c r="I134" t="s">
        <v>45</v>
      </c>
      <c r="J134" t="s">
        <v>49</v>
      </c>
      <c r="K134">
        <v>0.87244901799999997</v>
      </c>
      <c r="L134" t="s">
        <v>39</v>
      </c>
      <c r="M134" t="s">
        <v>29</v>
      </c>
      <c r="N134" t="s">
        <v>29</v>
      </c>
      <c r="O134" t="s">
        <v>29</v>
      </c>
      <c r="P134">
        <v>48</v>
      </c>
      <c r="Q134" t="s">
        <v>31</v>
      </c>
      <c r="R134" t="s">
        <v>32</v>
      </c>
      <c r="S134" t="s">
        <v>29</v>
      </c>
      <c r="T134" t="s">
        <v>40</v>
      </c>
      <c r="U134" t="s">
        <v>73</v>
      </c>
      <c r="V134" s="6" t="s">
        <v>35</v>
      </c>
      <c r="W134" t="s">
        <v>47</v>
      </c>
      <c r="X134" t="s">
        <v>48</v>
      </c>
      <c r="Y134" s="6" t="s">
        <v>49</v>
      </c>
    </row>
    <row r="135" spans="2:25" x14ac:dyDescent="0.3">
      <c r="B135" s="5" t="s">
        <v>72</v>
      </c>
      <c r="C135" s="5" t="str">
        <f>VLOOKUP(B135,[1]물질정보!B:C,2,0)</f>
        <v>205-25-4</v>
      </c>
      <c r="D135" t="str">
        <f>VLOOKUP(B135,[1]물질정보!B:D,3,0)</f>
        <v xml:space="preserve">7H-Benzo[c]carbazole </v>
      </c>
      <c r="E135" t="str">
        <f>VLOOKUP(B135,[1]물질정보!B:E,4,0)</f>
        <v>C16H11N</v>
      </c>
      <c r="F135" t="str">
        <f>VLOOKUP(B135,[1]물질정보!B:F,5,0)</f>
        <v>217.26 g/mol</v>
      </c>
      <c r="G135" s="5" t="str">
        <f>VLOOKUP(B135,[1]물질정보!B:G,6,0)</f>
        <v>C1=CC=C2C(=C1)C=CC3=C2C4=CC=CC=C4N3</v>
      </c>
      <c r="H135" t="s">
        <v>26</v>
      </c>
      <c r="I135" t="s">
        <v>51</v>
      </c>
      <c r="J135" t="s">
        <v>49</v>
      </c>
      <c r="K135">
        <v>1.041949</v>
      </c>
      <c r="L135" t="s">
        <v>39</v>
      </c>
      <c r="M135" t="s">
        <v>29</v>
      </c>
      <c r="N135" t="s">
        <v>29</v>
      </c>
      <c r="O135" t="s">
        <v>29</v>
      </c>
      <c r="P135">
        <v>96</v>
      </c>
      <c r="Q135" t="s">
        <v>31</v>
      </c>
      <c r="R135" t="s">
        <v>32</v>
      </c>
      <c r="S135" t="s">
        <v>29</v>
      </c>
      <c r="T135" t="s">
        <v>40</v>
      </c>
      <c r="U135" t="s">
        <v>52</v>
      </c>
      <c r="V135" s="6" t="s">
        <v>35</v>
      </c>
      <c r="W135" t="s">
        <v>53</v>
      </c>
      <c r="X135" t="s">
        <v>37</v>
      </c>
      <c r="Y135" s="6" t="s">
        <v>49</v>
      </c>
    </row>
    <row r="136" spans="2:25" x14ac:dyDescent="0.3">
      <c r="B136" s="5" t="s">
        <v>72</v>
      </c>
      <c r="C136" s="5" t="str">
        <f>VLOOKUP(B136,[1]물질정보!B:C,2,0)</f>
        <v>205-25-4</v>
      </c>
      <c r="D136" t="str">
        <f>VLOOKUP(B136,[1]물질정보!B:D,3,0)</f>
        <v xml:space="preserve">7H-Benzo[c]carbazole </v>
      </c>
      <c r="E136" t="str">
        <f>VLOOKUP(B136,[1]물질정보!B:E,4,0)</f>
        <v>C16H11N</v>
      </c>
      <c r="F136" t="str">
        <f>VLOOKUP(B136,[1]물질정보!B:F,5,0)</f>
        <v>217.26 g/mol</v>
      </c>
      <c r="G136" s="5" t="str">
        <f>VLOOKUP(B136,[1]물질정보!B:G,6,0)</f>
        <v>C1=CC=C2C(=C1)C=CC3=C2C4=CC=CC=C4N3</v>
      </c>
      <c r="H136" t="s">
        <v>26</v>
      </c>
      <c r="I136" t="s">
        <v>51</v>
      </c>
      <c r="J136" t="s">
        <v>49</v>
      </c>
      <c r="K136">
        <v>1.041949</v>
      </c>
      <c r="L136" t="s">
        <v>39</v>
      </c>
      <c r="M136" t="s">
        <v>29</v>
      </c>
      <c r="N136" t="s">
        <v>29</v>
      </c>
      <c r="O136" t="s">
        <v>29</v>
      </c>
      <c r="P136">
        <v>96</v>
      </c>
      <c r="Q136" t="s">
        <v>31</v>
      </c>
      <c r="R136" t="s">
        <v>32</v>
      </c>
      <c r="S136" t="s">
        <v>29</v>
      </c>
      <c r="T136" t="s">
        <v>40</v>
      </c>
      <c r="U136" t="s">
        <v>52</v>
      </c>
      <c r="V136" s="6" t="s">
        <v>35</v>
      </c>
      <c r="W136" t="s">
        <v>53</v>
      </c>
      <c r="X136" t="s">
        <v>37</v>
      </c>
      <c r="Y136" s="6" t="s">
        <v>49</v>
      </c>
    </row>
    <row r="137" spans="2:25" x14ac:dyDescent="0.3">
      <c r="B137" s="5" t="s">
        <v>72</v>
      </c>
      <c r="C137" s="5" t="str">
        <f>VLOOKUP(B137,[1]물질정보!B:C,2,0)</f>
        <v>205-25-4</v>
      </c>
      <c r="D137" t="str">
        <f>VLOOKUP(B137,[1]물질정보!B:D,3,0)</f>
        <v xml:space="preserve">7H-Benzo[c]carbazole </v>
      </c>
      <c r="E137" t="str">
        <f>VLOOKUP(B137,[1]물질정보!B:E,4,0)</f>
        <v>C16H11N</v>
      </c>
      <c r="F137" t="str">
        <f>VLOOKUP(B137,[1]물질정보!B:F,5,0)</f>
        <v>217.26 g/mol</v>
      </c>
      <c r="G137" s="5" t="str">
        <f>VLOOKUP(B137,[1]물질정보!B:G,6,0)</f>
        <v>C1=CC=C2C(=C1)C=CC3=C2C4=CC=CC=C4N3</v>
      </c>
      <c r="H137" t="s">
        <v>26</v>
      </c>
      <c r="I137" t="s">
        <v>51</v>
      </c>
      <c r="J137" t="s">
        <v>49</v>
      </c>
      <c r="K137">
        <v>1.571393882</v>
      </c>
      <c r="L137" t="s">
        <v>39</v>
      </c>
      <c r="M137" t="s">
        <v>29</v>
      </c>
      <c r="N137" t="s">
        <v>29</v>
      </c>
      <c r="O137" t="s">
        <v>29</v>
      </c>
      <c r="P137">
        <v>96</v>
      </c>
      <c r="Q137" t="s">
        <v>31</v>
      </c>
      <c r="R137" t="s">
        <v>32</v>
      </c>
      <c r="S137" t="s">
        <v>29</v>
      </c>
      <c r="T137" t="s">
        <v>40</v>
      </c>
      <c r="U137" t="s">
        <v>74</v>
      </c>
      <c r="V137" s="6" t="s">
        <v>35</v>
      </c>
      <c r="W137" t="s">
        <v>55</v>
      </c>
      <c r="X137" t="s">
        <v>37</v>
      </c>
      <c r="Y137" s="6" t="s">
        <v>49</v>
      </c>
    </row>
    <row r="138" spans="2:25" x14ac:dyDescent="0.3">
      <c r="B138" s="5" t="s">
        <v>72</v>
      </c>
      <c r="C138" s="5" t="str">
        <f>VLOOKUP(B138,[1]물질정보!B:C,2,0)</f>
        <v>205-25-4</v>
      </c>
      <c r="D138" t="str">
        <f>VLOOKUP(B138,[1]물질정보!B:D,3,0)</f>
        <v xml:space="preserve">7H-Benzo[c]carbazole </v>
      </c>
      <c r="E138" t="str">
        <f>VLOOKUP(B138,[1]물질정보!B:E,4,0)</f>
        <v>C16H11N</v>
      </c>
      <c r="F138" t="str">
        <f>VLOOKUP(B138,[1]물질정보!B:F,5,0)</f>
        <v>217.26 g/mol</v>
      </c>
      <c r="G138" s="5" t="str">
        <f>VLOOKUP(B138,[1]물질정보!B:G,6,0)</f>
        <v>C1=CC=C2C(=C1)C=CC3=C2C4=CC=CC=C4N3</v>
      </c>
      <c r="H138" t="s">
        <v>26</v>
      </c>
      <c r="I138" t="s">
        <v>51</v>
      </c>
      <c r="J138" t="s">
        <v>49</v>
      </c>
      <c r="K138">
        <v>1.2303463290000001</v>
      </c>
      <c r="L138" t="s">
        <v>39</v>
      </c>
      <c r="M138" t="s">
        <v>29</v>
      </c>
      <c r="N138" t="s">
        <v>29</v>
      </c>
      <c r="O138" t="s">
        <v>29</v>
      </c>
      <c r="P138">
        <v>96</v>
      </c>
      <c r="Q138" t="s">
        <v>31</v>
      </c>
      <c r="R138" t="s">
        <v>32</v>
      </c>
      <c r="S138" t="s">
        <v>29</v>
      </c>
      <c r="T138" t="s">
        <v>40</v>
      </c>
      <c r="U138" t="s">
        <v>75</v>
      </c>
      <c r="V138" s="6" t="s">
        <v>35</v>
      </c>
      <c r="W138" t="s">
        <v>57</v>
      </c>
      <c r="X138" t="s">
        <v>37</v>
      </c>
      <c r="Y138" s="6" t="s">
        <v>49</v>
      </c>
    </row>
    <row r="139" spans="2:25" x14ac:dyDescent="0.3">
      <c r="B139" s="5" t="s">
        <v>72</v>
      </c>
      <c r="C139" s="5" t="str">
        <f>VLOOKUP(B139,[1]물질정보!B:C,2,0)</f>
        <v>205-25-4</v>
      </c>
      <c r="D139" t="str">
        <f>VLOOKUP(B139,[1]물질정보!B:D,3,0)</f>
        <v xml:space="preserve">7H-Benzo[c]carbazole </v>
      </c>
      <c r="E139" t="str">
        <f>VLOOKUP(B139,[1]물질정보!B:E,4,0)</f>
        <v>C16H11N</v>
      </c>
      <c r="F139" t="str">
        <f>VLOOKUP(B139,[1]물질정보!B:F,5,0)</f>
        <v>217.26 g/mol</v>
      </c>
      <c r="G139" s="5" t="str">
        <f>VLOOKUP(B139,[1]물질정보!B:G,6,0)</f>
        <v>C1=CC=C2C(=C1)C=CC3=C2C4=CC=CC=C4N3</v>
      </c>
      <c r="H139" t="s">
        <v>26</v>
      </c>
      <c r="I139" t="s">
        <v>51</v>
      </c>
      <c r="J139" t="s">
        <v>49</v>
      </c>
      <c r="K139">
        <v>1.571393882</v>
      </c>
      <c r="L139" t="s">
        <v>39</v>
      </c>
      <c r="M139" t="s">
        <v>29</v>
      </c>
      <c r="N139" t="s">
        <v>29</v>
      </c>
      <c r="O139" t="s">
        <v>29</v>
      </c>
      <c r="P139">
        <v>96</v>
      </c>
      <c r="Q139" t="s">
        <v>31</v>
      </c>
      <c r="R139" t="s">
        <v>32</v>
      </c>
      <c r="S139" t="s">
        <v>29</v>
      </c>
      <c r="T139" t="s">
        <v>40</v>
      </c>
      <c r="U139" t="s">
        <v>74</v>
      </c>
      <c r="V139" s="6" t="s">
        <v>35</v>
      </c>
      <c r="W139" t="s">
        <v>55</v>
      </c>
      <c r="X139" t="s">
        <v>37</v>
      </c>
      <c r="Y139" s="6" t="s">
        <v>49</v>
      </c>
    </row>
    <row r="140" spans="2:25" x14ac:dyDescent="0.3">
      <c r="B140" s="5" t="s">
        <v>72</v>
      </c>
      <c r="C140" s="5" t="str">
        <f>VLOOKUP(B140,[1]물질정보!B:C,2,0)</f>
        <v>205-25-4</v>
      </c>
      <c r="D140" t="str">
        <f>VLOOKUP(B140,[1]물질정보!B:D,3,0)</f>
        <v xml:space="preserve">7H-Benzo[c]carbazole </v>
      </c>
      <c r="E140" t="str">
        <f>VLOOKUP(B140,[1]물질정보!B:E,4,0)</f>
        <v>C16H11N</v>
      </c>
      <c r="F140" t="str">
        <f>VLOOKUP(B140,[1]물질정보!B:F,5,0)</f>
        <v>217.26 g/mol</v>
      </c>
      <c r="G140" s="5" t="str">
        <f>VLOOKUP(B140,[1]물질정보!B:G,6,0)</f>
        <v>C1=CC=C2C(=C1)C=CC3=C2C4=CC=CC=C4N3</v>
      </c>
      <c r="H140" t="s">
        <v>26</v>
      </c>
      <c r="I140" t="s">
        <v>51</v>
      </c>
      <c r="J140" t="s">
        <v>49</v>
      </c>
      <c r="K140">
        <v>1.2303463290000001</v>
      </c>
      <c r="L140" t="s">
        <v>39</v>
      </c>
      <c r="M140" t="s">
        <v>29</v>
      </c>
      <c r="N140" t="s">
        <v>29</v>
      </c>
      <c r="O140" t="s">
        <v>29</v>
      </c>
      <c r="P140">
        <v>96</v>
      </c>
      <c r="Q140" t="s">
        <v>31</v>
      </c>
      <c r="R140" t="s">
        <v>32</v>
      </c>
      <c r="S140" t="s">
        <v>29</v>
      </c>
      <c r="T140" t="s">
        <v>40</v>
      </c>
      <c r="U140" t="s">
        <v>75</v>
      </c>
      <c r="V140" s="6" t="s">
        <v>35</v>
      </c>
      <c r="W140" t="s">
        <v>57</v>
      </c>
      <c r="X140" t="s">
        <v>37</v>
      </c>
      <c r="Y140" s="6" t="s">
        <v>49</v>
      </c>
    </row>
    <row r="141" spans="2:25" x14ac:dyDescent="0.3">
      <c r="B141" s="5" t="s">
        <v>72</v>
      </c>
      <c r="C141" s="5" t="str">
        <f>VLOOKUP(B141,[1]물질정보!B:C,2,0)</f>
        <v>205-25-4</v>
      </c>
      <c r="D141" t="str">
        <f>VLOOKUP(B141,[1]물질정보!B:D,3,0)</f>
        <v xml:space="preserve">7H-Benzo[c]carbazole </v>
      </c>
      <c r="E141" t="str">
        <f>VLOOKUP(B141,[1]물질정보!B:E,4,0)</f>
        <v>C16H11N</v>
      </c>
      <c r="F141" t="str">
        <f>VLOOKUP(B141,[1]물질정보!B:F,5,0)</f>
        <v>217.26 g/mol</v>
      </c>
      <c r="G141" s="5" t="str">
        <f>VLOOKUP(B141,[1]물질정보!B:G,6,0)</f>
        <v>C1=CC=C2C(=C1)C=CC3=C2C4=CC=CC=C4N3</v>
      </c>
      <c r="H141" t="s">
        <v>26</v>
      </c>
      <c r="I141" t="s">
        <v>27</v>
      </c>
      <c r="J141" t="s">
        <v>28</v>
      </c>
      <c r="K141">
        <v>1.628874025</v>
      </c>
      <c r="L141" t="s">
        <v>39</v>
      </c>
      <c r="M141" t="s">
        <v>29</v>
      </c>
      <c r="N141" t="s">
        <v>29</v>
      </c>
      <c r="O141" t="s">
        <v>29</v>
      </c>
      <c r="P141">
        <v>96</v>
      </c>
      <c r="Q141" t="s">
        <v>31</v>
      </c>
      <c r="R141" t="s">
        <v>32</v>
      </c>
      <c r="S141" t="s">
        <v>29</v>
      </c>
      <c r="T141" t="s">
        <v>40</v>
      </c>
      <c r="U141" t="s">
        <v>76</v>
      </c>
      <c r="V141" s="6" t="s">
        <v>35</v>
      </c>
      <c r="W141" t="s">
        <v>36</v>
      </c>
      <c r="X141" t="s">
        <v>37</v>
      </c>
      <c r="Y141" s="6" t="s">
        <v>28</v>
      </c>
    </row>
    <row r="142" spans="2:25" x14ac:dyDescent="0.3">
      <c r="B142" s="5" t="s">
        <v>72</v>
      </c>
      <c r="C142" s="5" t="str">
        <f>VLOOKUP(B142,[1]물질정보!B:C,2,0)</f>
        <v>205-25-4</v>
      </c>
      <c r="D142" t="str">
        <f>VLOOKUP(B142,[1]물질정보!B:D,3,0)</f>
        <v xml:space="preserve">7H-Benzo[c]carbazole </v>
      </c>
      <c r="E142" t="str">
        <f>VLOOKUP(B142,[1]물질정보!B:E,4,0)</f>
        <v>C16H11N</v>
      </c>
      <c r="F142" t="str">
        <f>VLOOKUP(B142,[1]물질정보!B:F,5,0)</f>
        <v>217.26 g/mol</v>
      </c>
      <c r="G142" s="5" t="str">
        <f>VLOOKUP(B142,[1]물질정보!B:G,6,0)</f>
        <v>C1=CC=C2C(=C1)C=CC3=C2C4=CC=CC=C4N3</v>
      </c>
      <c r="H142" t="s">
        <v>26</v>
      </c>
      <c r="I142" t="s">
        <v>27</v>
      </c>
      <c r="J142" t="s">
        <v>28</v>
      </c>
      <c r="K142">
        <v>1.628874025</v>
      </c>
      <c r="L142" t="s">
        <v>39</v>
      </c>
      <c r="M142" t="s">
        <v>29</v>
      </c>
      <c r="N142" t="s">
        <v>29</v>
      </c>
      <c r="O142" t="s">
        <v>29</v>
      </c>
      <c r="P142">
        <v>96</v>
      </c>
      <c r="Q142" t="s">
        <v>31</v>
      </c>
      <c r="R142" t="s">
        <v>32</v>
      </c>
      <c r="S142" t="s">
        <v>29</v>
      </c>
      <c r="T142" t="s">
        <v>40</v>
      </c>
      <c r="U142" t="s">
        <v>76</v>
      </c>
      <c r="V142" s="6" t="s">
        <v>35</v>
      </c>
      <c r="W142" t="s">
        <v>36</v>
      </c>
      <c r="X142" t="s">
        <v>37</v>
      </c>
      <c r="Y142" s="6" t="s">
        <v>28</v>
      </c>
    </row>
    <row r="143" spans="2:25" x14ac:dyDescent="0.3">
      <c r="B143" s="5" t="s">
        <v>77</v>
      </c>
      <c r="C143" s="5" t="str">
        <f>VLOOKUP(B143,[1]물질정보!B:C,2,0)</f>
        <v>140-88-5</v>
      </c>
      <c r="D143" t="str">
        <f>VLOOKUP(B143,[1]물질정보!B:D,3,0)</f>
        <v>ethyl acrylate</v>
      </c>
      <c r="E143" t="str">
        <f>VLOOKUP(B143,[1]물질정보!B:E,4,0)</f>
        <v>C5H8O2</v>
      </c>
      <c r="F143" t="str">
        <f>VLOOKUP(B143,[1]물질정보!B:F,5,0)</f>
        <v>100.12 g/mol</v>
      </c>
      <c r="G143" s="5" t="str">
        <f>VLOOKUP(B143,[1]물질정보!B:G,6,0)</f>
        <v>CCOC(=O)C=C</v>
      </c>
      <c r="H143" t="s">
        <v>26</v>
      </c>
      <c r="I143" t="s">
        <v>27</v>
      </c>
      <c r="J143" t="s">
        <v>28</v>
      </c>
      <c r="K143" t="s">
        <v>29</v>
      </c>
      <c r="L143" t="s">
        <v>39</v>
      </c>
      <c r="M143" t="s">
        <v>29</v>
      </c>
      <c r="N143" t="s">
        <v>29</v>
      </c>
      <c r="O143" t="s">
        <v>29</v>
      </c>
      <c r="P143">
        <v>72</v>
      </c>
      <c r="Q143" t="s">
        <v>31</v>
      </c>
      <c r="R143" t="s">
        <v>32</v>
      </c>
      <c r="S143" t="s">
        <v>29</v>
      </c>
      <c r="T143" t="s">
        <v>66</v>
      </c>
      <c r="U143" t="s">
        <v>41</v>
      </c>
      <c r="V143" s="6" t="s">
        <v>35</v>
      </c>
      <c r="W143" t="s">
        <v>43</v>
      </c>
      <c r="X143" t="s">
        <v>44</v>
      </c>
      <c r="Y143" s="6" t="s">
        <v>28</v>
      </c>
    </row>
    <row r="144" spans="2:25" x14ac:dyDescent="0.3">
      <c r="B144" s="5" t="s">
        <v>77</v>
      </c>
      <c r="C144" s="5" t="str">
        <f>VLOOKUP(B144,[1]물질정보!B:C,2,0)</f>
        <v>140-88-5</v>
      </c>
      <c r="D144" t="str">
        <f>VLOOKUP(B144,[1]물질정보!B:D,3,0)</f>
        <v>ethyl acrylate</v>
      </c>
      <c r="E144" t="str">
        <f>VLOOKUP(B144,[1]물질정보!B:E,4,0)</f>
        <v>C5H8O2</v>
      </c>
      <c r="F144" t="str">
        <f>VLOOKUP(B144,[1]물질정보!B:F,5,0)</f>
        <v>100.12 g/mol</v>
      </c>
      <c r="G144" s="5" t="str">
        <f>VLOOKUP(B144,[1]물질정보!B:G,6,0)</f>
        <v>CCOC(=O)C=C</v>
      </c>
      <c r="H144" t="s">
        <v>26</v>
      </c>
      <c r="I144" t="s">
        <v>27</v>
      </c>
      <c r="J144" t="s">
        <v>28</v>
      </c>
      <c r="K144" t="s">
        <v>29</v>
      </c>
      <c r="L144" t="s">
        <v>39</v>
      </c>
      <c r="M144" t="s">
        <v>29</v>
      </c>
      <c r="N144" t="s">
        <v>29</v>
      </c>
      <c r="O144" t="s">
        <v>29</v>
      </c>
      <c r="P144">
        <v>72</v>
      </c>
      <c r="Q144" t="s">
        <v>31</v>
      </c>
      <c r="R144" t="s">
        <v>32</v>
      </c>
      <c r="S144" t="s">
        <v>29</v>
      </c>
      <c r="T144" t="s">
        <v>66</v>
      </c>
      <c r="U144" t="s">
        <v>41</v>
      </c>
      <c r="V144" s="6" t="s">
        <v>35</v>
      </c>
      <c r="W144" t="s">
        <v>43</v>
      </c>
      <c r="X144" t="s">
        <v>44</v>
      </c>
      <c r="Y144" s="6" t="s">
        <v>28</v>
      </c>
    </row>
    <row r="145" spans="2:25" x14ac:dyDescent="0.3">
      <c r="B145" s="5" t="s">
        <v>77</v>
      </c>
      <c r="C145" s="5" t="str">
        <f>VLOOKUP(B145,[1]물질정보!B:C,2,0)</f>
        <v>140-88-5</v>
      </c>
      <c r="D145" t="str">
        <f>VLOOKUP(B145,[1]물질정보!B:D,3,0)</f>
        <v>ethyl acrylate</v>
      </c>
      <c r="E145" t="str">
        <f>VLOOKUP(B145,[1]물질정보!B:E,4,0)</f>
        <v>C5H8O2</v>
      </c>
      <c r="F145" t="str">
        <f>VLOOKUP(B145,[1]물질정보!B:F,5,0)</f>
        <v>100.12 g/mol</v>
      </c>
      <c r="G145" s="5" t="str">
        <f>VLOOKUP(B145,[1]물질정보!B:G,6,0)</f>
        <v>CCOC(=O)C=C</v>
      </c>
      <c r="H145" t="s">
        <v>26</v>
      </c>
      <c r="I145" t="s">
        <v>45</v>
      </c>
      <c r="J145" t="s">
        <v>28</v>
      </c>
      <c r="K145" t="s">
        <v>29</v>
      </c>
      <c r="L145" t="s">
        <v>39</v>
      </c>
      <c r="M145" t="s">
        <v>29</v>
      </c>
      <c r="N145" t="s">
        <v>29</v>
      </c>
      <c r="O145" t="s">
        <v>29</v>
      </c>
      <c r="P145">
        <v>48</v>
      </c>
      <c r="Q145" t="s">
        <v>31</v>
      </c>
      <c r="R145" t="s">
        <v>32</v>
      </c>
      <c r="S145" t="s">
        <v>29</v>
      </c>
      <c r="T145" t="s">
        <v>66</v>
      </c>
      <c r="U145" t="s">
        <v>46</v>
      </c>
      <c r="V145" s="6" t="s">
        <v>35</v>
      </c>
      <c r="W145" t="s">
        <v>47</v>
      </c>
      <c r="X145" t="s">
        <v>48</v>
      </c>
      <c r="Y145" s="6" t="s">
        <v>28</v>
      </c>
    </row>
    <row r="146" spans="2:25" x14ac:dyDescent="0.3">
      <c r="B146" s="5" t="s">
        <v>77</v>
      </c>
      <c r="C146" s="5" t="str">
        <f>VLOOKUP(B146,[1]물질정보!B:C,2,0)</f>
        <v>140-88-5</v>
      </c>
      <c r="D146" t="str">
        <f>VLOOKUP(B146,[1]물질정보!B:D,3,0)</f>
        <v>ethyl acrylate</v>
      </c>
      <c r="E146" t="str">
        <f>VLOOKUP(B146,[1]물질정보!B:E,4,0)</f>
        <v>C5H8O2</v>
      </c>
      <c r="F146" t="str">
        <f>VLOOKUP(B146,[1]물질정보!B:F,5,0)</f>
        <v>100.12 g/mol</v>
      </c>
      <c r="G146" s="5" t="str">
        <f>VLOOKUP(B146,[1]물질정보!B:G,6,0)</f>
        <v>CCOC(=O)C=C</v>
      </c>
      <c r="H146" t="s">
        <v>26</v>
      </c>
      <c r="I146" t="s">
        <v>45</v>
      </c>
      <c r="J146" t="s">
        <v>28</v>
      </c>
      <c r="K146" t="s">
        <v>29</v>
      </c>
      <c r="L146" t="s">
        <v>39</v>
      </c>
      <c r="M146" t="s">
        <v>29</v>
      </c>
      <c r="N146" t="s">
        <v>29</v>
      </c>
      <c r="O146" t="s">
        <v>29</v>
      </c>
      <c r="P146">
        <v>48</v>
      </c>
      <c r="Q146" t="s">
        <v>31</v>
      </c>
      <c r="R146" t="s">
        <v>32</v>
      </c>
      <c r="S146" t="s">
        <v>29</v>
      </c>
      <c r="T146" t="s">
        <v>66</v>
      </c>
      <c r="U146" t="s">
        <v>46</v>
      </c>
      <c r="V146" s="6" t="s">
        <v>35</v>
      </c>
      <c r="W146" t="s">
        <v>47</v>
      </c>
      <c r="X146" t="s">
        <v>48</v>
      </c>
      <c r="Y146" s="6" t="s">
        <v>28</v>
      </c>
    </row>
    <row r="147" spans="2:25" x14ac:dyDescent="0.3">
      <c r="B147" s="5" t="s">
        <v>77</v>
      </c>
      <c r="C147" s="5" t="str">
        <f>VLOOKUP(B147,[1]물질정보!B:C,2,0)</f>
        <v>140-88-5</v>
      </c>
      <c r="D147" t="str">
        <f>VLOOKUP(B147,[1]물질정보!B:D,3,0)</f>
        <v>ethyl acrylate</v>
      </c>
      <c r="E147" t="str">
        <f>VLOOKUP(B147,[1]물질정보!B:E,4,0)</f>
        <v>C5H8O2</v>
      </c>
      <c r="F147" t="str">
        <f>VLOOKUP(B147,[1]물질정보!B:F,5,0)</f>
        <v>100.12 g/mol</v>
      </c>
      <c r="G147" s="5" t="str">
        <f>VLOOKUP(B147,[1]물질정보!B:G,6,0)</f>
        <v>CCOC(=O)C=C</v>
      </c>
      <c r="H147" t="s">
        <v>26</v>
      </c>
      <c r="I147" t="s">
        <v>45</v>
      </c>
      <c r="J147" t="s">
        <v>49</v>
      </c>
      <c r="K147">
        <v>5.8024217379999996</v>
      </c>
      <c r="L147" t="s">
        <v>39</v>
      </c>
      <c r="M147" t="s">
        <v>29</v>
      </c>
      <c r="N147" t="s">
        <v>29</v>
      </c>
      <c r="O147" t="s">
        <v>29</v>
      </c>
      <c r="P147">
        <v>48</v>
      </c>
      <c r="Q147" t="s">
        <v>31</v>
      </c>
      <c r="R147" t="s">
        <v>32</v>
      </c>
      <c r="S147" t="s">
        <v>29</v>
      </c>
      <c r="T147" t="s">
        <v>40</v>
      </c>
      <c r="U147" t="s">
        <v>60</v>
      </c>
      <c r="V147" s="6" t="s">
        <v>35</v>
      </c>
      <c r="W147" t="s">
        <v>47</v>
      </c>
      <c r="X147" t="s">
        <v>48</v>
      </c>
      <c r="Y147" s="6" t="s">
        <v>49</v>
      </c>
    </row>
    <row r="148" spans="2:25" x14ac:dyDescent="0.3">
      <c r="B148" s="5" t="s">
        <v>77</v>
      </c>
      <c r="C148" s="5" t="str">
        <f>VLOOKUP(B148,[1]물질정보!B:C,2,0)</f>
        <v>140-88-5</v>
      </c>
      <c r="D148" t="str">
        <f>VLOOKUP(B148,[1]물질정보!B:D,3,0)</f>
        <v>ethyl acrylate</v>
      </c>
      <c r="E148" t="str">
        <f>VLOOKUP(B148,[1]물질정보!B:E,4,0)</f>
        <v>C5H8O2</v>
      </c>
      <c r="F148" t="str">
        <f>VLOOKUP(B148,[1]물질정보!B:F,5,0)</f>
        <v>100.12 g/mol</v>
      </c>
      <c r="G148" s="5" t="str">
        <f>VLOOKUP(B148,[1]물질정보!B:G,6,0)</f>
        <v>CCOC(=O)C=C</v>
      </c>
      <c r="H148" t="s">
        <v>26</v>
      </c>
      <c r="I148" t="s">
        <v>45</v>
      </c>
      <c r="J148" t="s">
        <v>49</v>
      </c>
      <c r="K148">
        <v>5.8024217379999996</v>
      </c>
      <c r="L148" t="s">
        <v>39</v>
      </c>
      <c r="M148" t="s">
        <v>29</v>
      </c>
      <c r="N148" t="s">
        <v>29</v>
      </c>
      <c r="O148" t="s">
        <v>29</v>
      </c>
      <c r="P148">
        <v>48</v>
      </c>
      <c r="Q148" t="s">
        <v>31</v>
      </c>
      <c r="R148" t="s">
        <v>32</v>
      </c>
      <c r="S148" t="s">
        <v>29</v>
      </c>
      <c r="T148" t="s">
        <v>40</v>
      </c>
      <c r="U148" t="s">
        <v>60</v>
      </c>
      <c r="V148" s="6" t="s">
        <v>35</v>
      </c>
      <c r="W148" t="s">
        <v>47</v>
      </c>
      <c r="X148" t="s">
        <v>48</v>
      </c>
      <c r="Y148" s="6" t="s">
        <v>49</v>
      </c>
    </row>
    <row r="149" spans="2:25" x14ac:dyDescent="0.3">
      <c r="B149" s="5" t="s">
        <v>77</v>
      </c>
      <c r="C149" s="5" t="str">
        <f>VLOOKUP(B149,[1]물질정보!B:C,2,0)</f>
        <v>140-88-5</v>
      </c>
      <c r="D149" t="str">
        <f>VLOOKUP(B149,[1]물질정보!B:D,3,0)</f>
        <v>ethyl acrylate</v>
      </c>
      <c r="E149" t="str">
        <f>VLOOKUP(B149,[1]물질정보!B:E,4,0)</f>
        <v>C5H8O2</v>
      </c>
      <c r="F149" t="str">
        <f>VLOOKUP(B149,[1]물질정보!B:F,5,0)</f>
        <v>100.12 g/mol</v>
      </c>
      <c r="G149" s="5" t="str">
        <f>VLOOKUP(B149,[1]물질정보!B:G,6,0)</f>
        <v>CCOC(=O)C=C</v>
      </c>
      <c r="H149" t="s">
        <v>26</v>
      </c>
      <c r="I149" t="s">
        <v>51</v>
      </c>
      <c r="J149" t="s">
        <v>49</v>
      </c>
      <c r="K149" t="s">
        <v>29</v>
      </c>
      <c r="L149" t="s">
        <v>39</v>
      </c>
      <c r="M149" t="s">
        <v>29</v>
      </c>
      <c r="N149" t="s">
        <v>29</v>
      </c>
      <c r="O149" t="s">
        <v>29</v>
      </c>
      <c r="P149">
        <v>96</v>
      </c>
      <c r="Q149" t="s">
        <v>31</v>
      </c>
      <c r="R149" t="s">
        <v>32</v>
      </c>
      <c r="S149" t="s">
        <v>29</v>
      </c>
      <c r="T149" t="s">
        <v>66</v>
      </c>
      <c r="U149" t="s">
        <v>52</v>
      </c>
      <c r="V149" s="6" t="s">
        <v>35</v>
      </c>
      <c r="W149" t="s">
        <v>53</v>
      </c>
      <c r="X149" t="s">
        <v>37</v>
      </c>
      <c r="Y149" s="6" t="s">
        <v>49</v>
      </c>
    </row>
    <row r="150" spans="2:25" x14ac:dyDescent="0.3">
      <c r="B150" s="5" t="s">
        <v>77</v>
      </c>
      <c r="C150" s="5" t="str">
        <f>VLOOKUP(B150,[1]물질정보!B:C,2,0)</f>
        <v>140-88-5</v>
      </c>
      <c r="D150" t="str">
        <f>VLOOKUP(B150,[1]물질정보!B:D,3,0)</f>
        <v>ethyl acrylate</v>
      </c>
      <c r="E150" t="str">
        <f>VLOOKUP(B150,[1]물질정보!B:E,4,0)</f>
        <v>C5H8O2</v>
      </c>
      <c r="F150" t="str">
        <f>VLOOKUP(B150,[1]물질정보!B:F,5,0)</f>
        <v>100.12 g/mol</v>
      </c>
      <c r="G150" s="5" t="str">
        <f>VLOOKUP(B150,[1]물질정보!B:G,6,0)</f>
        <v>CCOC(=O)C=C</v>
      </c>
      <c r="H150" t="s">
        <v>26</v>
      </c>
      <c r="I150" t="s">
        <v>51</v>
      </c>
      <c r="J150" t="s">
        <v>49</v>
      </c>
      <c r="K150" t="s">
        <v>29</v>
      </c>
      <c r="L150" t="s">
        <v>39</v>
      </c>
      <c r="M150" t="s">
        <v>29</v>
      </c>
      <c r="N150" t="s">
        <v>29</v>
      </c>
      <c r="O150" t="s">
        <v>29</v>
      </c>
      <c r="P150">
        <v>96</v>
      </c>
      <c r="Q150" t="s">
        <v>31</v>
      </c>
      <c r="R150" t="s">
        <v>32</v>
      </c>
      <c r="S150" t="s">
        <v>29</v>
      </c>
      <c r="T150" t="s">
        <v>66</v>
      </c>
      <c r="U150" t="s">
        <v>52</v>
      </c>
      <c r="V150" s="6" t="s">
        <v>35</v>
      </c>
      <c r="W150" t="s">
        <v>53</v>
      </c>
      <c r="X150" t="s">
        <v>37</v>
      </c>
      <c r="Y150" s="6" t="s">
        <v>49</v>
      </c>
    </row>
    <row r="151" spans="2:25" x14ac:dyDescent="0.3">
      <c r="B151" s="5" t="s">
        <v>77</v>
      </c>
      <c r="C151" s="5" t="str">
        <f>VLOOKUP(B151,[1]물질정보!B:C,2,0)</f>
        <v>140-88-5</v>
      </c>
      <c r="D151" t="str">
        <f>VLOOKUP(B151,[1]물질정보!B:D,3,0)</f>
        <v>ethyl acrylate</v>
      </c>
      <c r="E151" t="str">
        <f>VLOOKUP(B151,[1]물질정보!B:E,4,0)</f>
        <v>C5H8O2</v>
      </c>
      <c r="F151" t="str">
        <f>VLOOKUP(B151,[1]물질정보!B:F,5,0)</f>
        <v>100.12 g/mol</v>
      </c>
      <c r="G151" s="5" t="str">
        <f>VLOOKUP(B151,[1]물질정보!B:G,6,0)</f>
        <v>CCOC(=O)C=C</v>
      </c>
      <c r="H151" t="s">
        <v>26</v>
      </c>
      <c r="I151" t="s">
        <v>51</v>
      </c>
      <c r="J151" t="s">
        <v>49</v>
      </c>
      <c r="K151">
        <v>1.0434576360000001</v>
      </c>
      <c r="L151" t="s">
        <v>39</v>
      </c>
      <c r="M151" t="s">
        <v>29</v>
      </c>
      <c r="N151" t="s">
        <v>29</v>
      </c>
      <c r="O151" t="s">
        <v>29</v>
      </c>
      <c r="P151">
        <v>96</v>
      </c>
      <c r="Q151" t="s">
        <v>31</v>
      </c>
      <c r="R151" t="s">
        <v>32</v>
      </c>
      <c r="S151" t="s">
        <v>29</v>
      </c>
      <c r="T151" t="s">
        <v>40</v>
      </c>
      <c r="U151" t="s">
        <v>61</v>
      </c>
      <c r="V151" s="6" t="s">
        <v>35</v>
      </c>
      <c r="W151" t="s">
        <v>55</v>
      </c>
      <c r="X151" t="s">
        <v>37</v>
      </c>
      <c r="Y151" s="6" t="s">
        <v>49</v>
      </c>
    </row>
    <row r="152" spans="2:25" x14ac:dyDescent="0.3">
      <c r="B152" s="5" t="s">
        <v>77</v>
      </c>
      <c r="C152" s="5" t="str">
        <f>VLOOKUP(B152,[1]물질정보!B:C,2,0)</f>
        <v>140-88-5</v>
      </c>
      <c r="D152" t="str">
        <f>VLOOKUP(B152,[1]물질정보!B:D,3,0)</f>
        <v>ethyl acrylate</v>
      </c>
      <c r="E152" t="str">
        <f>VLOOKUP(B152,[1]물질정보!B:E,4,0)</f>
        <v>C5H8O2</v>
      </c>
      <c r="F152" t="str">
        <f>VLOOKUP(B152,[1]물질정보!B:F,5,0)</f>
        <v>100.12 g/mol</v>
      </c>
      <c r="G152" s="5" t="str">
        <f>VLOOKUP(B152,[1]물질정보!B:G,6,0)</f>
        <v>CCOC(=O)C=C</v>
      </c>
      <c r="H152" t="s">
        <v>26</v>
      </c>
      <c r="I152" t="s">
        <v>51</v>
      </c>
      <c r="J152" t="s">
        <v>49</v>
      </c>
      <c r="K152">
        <v>2.1977117060000002</v>
      </c>
      <c r="L152" t="s">
        <v>39</v>
      </c>
      <c r="M152" t="s">
        <v>29</v>
      </c>
      <c r="N152" t="s">
        <v>29</v>
      </c>
      <c r="O152" t="s">
        <v>29</v>
      </c>
      <c r="P152">
        <v>96</v>
      </c>
      <c r="Q152" t="s">
        <v>31</v>
      </c>
      <c r="R152" t="s">
        <v>32</v>
      </c>
      <c r="S152" t="s">
        <v>29</v>
      </c>
      <c r="T152" t="s">
        <v>40</v>
      </c>
      <c r="U152" t="s">
        <v>62</v>
      </c>
      <c r="V152" s="6" t="s">
        <v>35</v>
      </c>
      <c r="W152" t="s">
        <v>57</v>
      </c>
      <c r="X152" t="s">
        <v>37</v>
      </c>
      <c r="Y152" s="6" t="s">
        <v>49</v>
      </c>
    </row>
    <row r="153" spans="2:25" x14ac:dyDescent="0.3">
      <c r="B153" s="5" t="s">
        <v>77</v>
      </c>
      <c r="C153" s="5" t="str">
        <f>VLOOKUP(B153,[1]물질정보!B:C,2,0)</f>
        <v>140-88-5</v>
      </c>
      <c r="D153" t="str">
        <f>VLOOKUP(B153,[1]물질정보!B:D,3,0)</f>
        <v>ethyl acrylate</v>
      </c>
      <c r="E153" t="str">
        <f>VLOOKUP(B153,[1]물질정보!B:E,4,0)</f>
        <v>C5H8O2</v>
      </c>
      <c r="F153" t="str">
        <f>VLOOKUP(B153,[1]물질정보!B:F,5,0)</f>
        <v>100.12 g/mol</v>
      </c>
      <c r="G153" s="5" t="str">
        <f>VLOOKUP(B153,[1]물질정보!B:G,6,0)</f>
        <v>CCOC(=O)C=C</v>
      </c>
      <c r="H153" t="s">
        <v>26</v>
      </c>
      <c r="I153" t="s">
        <v>51</v>
      </c>
      <c r="J153" t="s">
        <v>49</v>
      </c>
      <c r="K153">
        <v>1.0434576360000001</v>
      </c>
      <c r="L153" t="s">
        <v>39</v>
      </c>
      <c r="M153" t="s">
        <v>29</v>
      </c>
      <c r="N153" t="s">
        <v>29</v>
      </c>
      <c r="O153" t="s">
        <v>29</v>
      </c>
      <c r="P153">
        <v>96</v>
      </c>
      <c r="Q153" t="s">
        <v>31</v>
      </c>
      <c r="R153" t="s">
        <v>32</v>
      </c>
      <c r="S153" t="s">
        <v>29</v>
      </c>
      <c r="T153" t="s">
        <v>40</v>
      </c>
      <c r="U153" t="s">
        <v>61</v>
      </c>
      <c r="V153" s="6" t="s">
        <v>35</v>
      </c>
      <c r="W153" t="s">
        <v>55</v>
      </c>
      <c r="X153" t="s">
        <v>37</v>
      </c>
      <c r="Y153" s="6" t="s">
        <v>49</v>
      </c>
    </row>
    <row r="154" spans="2:25" x14ac:dyDescent="0.3">
      <c r="B154" s="5" t="s">
        <v>77</v>
      </c>
      <c r="C154" s="5" t="str">
        <f>VLOOKUP(B154,[1]물질정보!B:C,2,0)</f>
        <v>140-88-5</v>
      </c>
      <c r="D154" t="str">
        <f>VLOOKUP(B154,[1]물질정보!B:D,3,0)</f>
        <v>ethyl acrylate</v>
      </c>
      <c r="E154" t="str">
        <f>VLOOKUP(B154,[1]물질정보!B:E,4,0)</f>
        <v>C5H8O2</v>
      </c>
      <c r="F154" t="str">
        <f>VLOOKUP(B154,[1]물질정보!B:F,5,0)</f>
        <v>100.12 g/mol</v>
      </c>
      <c r="G154" s="5" t="str">
        <f>VLOOKUP(B154,[1]물질정보!B:G,6,0)</f>
        <v>CCOC(=O)C=C</v>
      </c>
      <c r="H154" t="s">
        <v>26</v>
      </c>
      <c r="I154" t="s">
        <v>51</v>
      </c>
      <c r="J154" t="s">
        <v>49</v>
      </c>
      <c r="K154">
        <v>2.1977117060000002</v>
      </c>
      <c r="L154" t="s">
        <v>39</v>
      </c>
      <c r="M154" t="s">
        <v>29</v>
      </c>
      <c r="N154" t="s">
        <v>29</v>
      </c>
      <c r="O154" t="s">
        <v>29</v>
      </c>
      <c r="P154">
        <v>96</v>
      </c>
      <c r="Q154" t="s">
        <v>31</v>
      </c>
      <c r="R154" t="s">
        <v>32</v>
      </c>
      <c r="S154" t="s">
        <v>29</v>
      </c>
      <c r="T154" t="s">
        <v>40</v>
      </c>
      <c r="U154" t="s">
        <v>62</v>
      </c>
      <c r="V154" s="6" t="s">
        <v>35</v>
      </c>
      <c r="W154" t="s">
        <v>57</v>
      </c>
      <c r="X154" t="s">
        <v>37</v>
      </c>
      <c r="Y154" s="6" t="s">
        <v>49</v>
      </c>
    </row>
    <row r="155" spans="2:25" x14ac:dyDescent="0.3">
      <c r="B155" s="5" t="s">
        <v>77</v>
      </c>
      <c r="C155" s="5" t="str">
        <f>VLOOKUP(B155,[1]물질정보!B:C,2,0)</f>
        <v>140-88-5</v>
      </c>
      <c r="D155" t="str">
        <f>VLOOKUP(B155,[1]물질정보!B:D,3,0)</f>
        <v>ethyl acrylate</v>
      </c>
      <c r="E155" t="str">
        <f>VLOOKUP(B155,[1]물질정보!B:E,4,0)</f>
        <v>C5H8O2</v>
      </c>
      <c r="F155" t="str">
        <f>VLOOKUP(B155,[1]물질정보!B:F,5,0)</f>
        <v>100.12 g/mol</v>
      </c>
      <c r="G155" s="5" t="str">
        <f>VLOOKUP(B155,[1]물질정보!B:G,6,0)</f>
        <v>CCOC(=O)C=C</v>
      </c>
      <c r="H155" t="s">
        <v>26</v>
      </c>
      <c r="I155" t="s">
        <v>27</v>
      </c>
      <c r="J155" t="s">
        <v>28</v>
      </c>
      <c r="K155">
        <v>0.58052198499999996</v>
      </c>
      <c r="L155" t="s">
        <v>39</v>
      </c>
      <c r="M155" t="s">
        <v>29</v>
      </c>
      <c r="N155" t="s">
        <v>29</v>
      </c>
      <c r="O155" t="s">
        <v>29</v>
      </c>
      <c r="P155">
        <v>96</v>
      </c>
      <c r="Q155" t="s">
        <v>31</v>
      </c>
      <c r="R155" t="s">
        <v>32</v>
      </c>
      <c r="S155" t="s">
        <v>29</v>
      </c>
      <c r="T155" t="s">
        <v>40</v>
      </c>
      <c r="U155" t="s">
        <v>63</v>
      </c>
      <c r="V155" s="6" t="s">
        <v>35</v>
      </c>
      <c r="W155" t="s">
        <v>36</v>
      </c>
      <c r="X155" t="s">
        <v>37</v>
      </c>
      <c r="Y155" s="6" t="s">
        <v>28</v>
      </c>
    </row>
    <row r="156" spans="2:25" x14ac:dyDescent="0.3">
      <c r="B156" s="5" t="s">
        <v>77</v>
      </c>
      <c r="C156" s="5" t="str">
        <f>VLOOKUP(B156,[1]물질정보!B:C,2,0)</f>
        <v>140-88-5</v>
      </c>
      <c r="D156" t="str">
        <f>VLOOKUP(B156,[1]물질정보!B:D,3,0)</f>
        <v>ethyl acrylate</v>
      </c>
      <c r="E156" t="str">
        <f>VLOOKUP(B156,[1]물질정보!B:E,4,0)</f>
        <v>C5H8O2</v>
      </c>
      <c r="F156" t="str">
        <f>VLOOKUP(B156,[1]물질정보!B:F,5,0)</f>
        <v>100.12 g/mol</v>
      </c>
      <c r="G156" s="5" t="str">
        <f>VLOOKUP(B156,[1]물질정보!B:G,6,0)</f>
        <v>CCOC(=O)C=C</v>
      </c>
      <c r="H156" t="s">
        <v>26</v>
      </c>
      <c r="I156" t="s">
        <v>27</v>
      </c>
      <c r="J156" t="s">
        <v>28</v>
      </c>
      <c r="K156">
        <v>0.58052198499999996</v>
      </c>
      <c r="L156" t="s">
        <v>39</v>
      </c>
      <c r="M156" t="s">
        <v>29</v>
      </c>
      <c r="N156" t="s">
        <v>29</v>
      </c>
      <c r="O156" t="s">
        <v>29</v>
      </c>
      <c r="P156">
        <v>96</v>
      </c>
      <c r="Q156" t="s">
        <v>31</v>
      </c>
      <c r="R156" t="s">
        <v>32</v>
      </c>
      <c r="S156" t="s">
        <v>29</v>
      </c>
      <c r="T156" t="s">
        <v>40</v>
      </c>
      <c r="U156" t="s">
        <v>63</v>
      </c>
      <c r="V156" s="6" t="s">
        <v>35</v>
      </c>
      <c r="W156" t="s">
        <v>36</v>
      </c>
      <c r="X156" t="s">
        <v>37</v>
      </c>
      <c r="Y156" s="6" t="s">
        <v>28</v>
      </c>
    </row>
    <row r="157" spans="2:25" x14ac:dyDescent="0.3">
      <c r="B157" s="5" t="s">
        <v>78</v>
      </c>
      <c r="C157" s="5" t="str">
        <f>VLOOKUP(B157,[1]물질정보!B:C,2,0)</f>
        <v>-</v>
      </c>
      <c r="D157" t="str">
        <f>VLOOKUP(B157,[1]물질정보!B:D,3,0)</f>
        <v xml:space="preserve">9-(9H-Carbazol-9-yl)-7H-benzo[c]carbazole </v>
      </c>
      <c r="E157" t="str">
        <f>VLOOKUP(B157,[1]물질정보!B:E,4,0)</f>
        <v>C28H18N2</v>
      </c>
      <c r="F157" t="str">
        <f>VLOOKUP(B157,[1]물질정보!B:F,5,0)</f>
        <v>382.5 g/mol</v>
      </c>
      <c r="G157" s="5" t="str">
        <f>VLOOKUP(B157,[1]물질정보!B:G,6,0)</f>
        <v>C1=CC=C2C(=C1)C=CC3=C2C4=C(N3)C=C(C=C4)N5C6=CC=CC=C6C7=CC=CC=C75</v>
      </c>
      <c r="H157" t="s">
        <v>26</v>
      </c>
      <c r="I157" t="s">
        <v>45</v>
      </c>
      <c r="J157" t="s">
        <v>49</v>
      </c>
      <c r="K157">
        <v>4.0812000000000001E-3</v>
      </c>
      <c r="L157" t="s">
        <v>39</v>
      </c>
      <c r="M157" t="s">
        <v>29</v>
      </c>
      <c r="N157" t="s">
        <v>29</v>
      </c>
      <c r="O157" t="s">
        <v>29</v>
      </c>
      <c r="P157">
        <v>48</v>
      </c>
      <c r="Q157" t="s">
        <v>31</v>
      </c>
      <c r="R157" t="s">
        <v>32</v>
      </c>
      <c r="S157" t="s">
        <v>29</v>
      </c>
      <c r="T157" t="s">
        <v>66</v>
      </c>
      <c r="U157" t="s">
        <v>73</v>
      </c>
      <c r="V157" s="6" t="s">
        <v>35</v>
      </c>
      <c r="W157" t="s">
        <v>47</v>
      </c>
      <c r="X157" t="s">
        <v>48</v>
      </c>
      <c r="Y157" s="6" t="s">
        <v>49</v>
      </c>
    </row>
    <row r="158" spans="2:25" x14ac:dyDescent="0.3">
      <c r="B158" s="5" t="s">
        <v>78</v>
      </c>
      <c r="C158" s="5" t="str">
        <f>VLOOKUP(B158,[1]물질정보!B:C,2,0)</f>
        <v>-</v>
      </c>
      <c r="D158" t="str">
        <f>VLOOKUP(B158,[1]물질정보!B:D,3,0)</f>
        <v xml:space="preserve">9-(9H-Carbazol-9-yl)-7H-benzo[c]carbazole </v>
      </c>
      <c r="E158" t="str">
        <f>VLOOKUP(B158,[1]물질정보!B:E,4,0)</f>
        <v>C28H18N2</v>
      </c>
      <c r="F158" t="str">
        <f>VLOOKUP(B158,[1]물질정보!B:F,5,0)</f>
        <v>382.5 g/mol</v>
      </c>
      <c r="G158" s="5" t="str">
        <f>VLOOKUP(B158,[1]물질정보!B:G,6,0)</f>
        <v>C1=CC=C2C(=C1)C=CC3=C2C4=C(N3)C=C(C=C4)N5C6=CC=CC=C6C7=CC=CC=C75</v>
      </c>
      <c r="H158" t="s">
        <v>26</v>
      </c>
      <c r="I158" t="s">
        <v>51</v>
      </c>
      <c r="J158" t="s">
        <v>49</v>
      </c>
      <c r="K158">
        <v>5.6723800000000003E-3</v>
      </c>
      <c r="L158" t="s">
        <v>39</v>
      </c>
      <c r="M158" t="s">
        <v>29</v>
      </c>
      <c r="N158" t="s">
        <v>29</v>
      </c>
      <c r="O158" t="s">
        <v>29</v>
      </c>
      <c r="P158">
        <v>96</v>
      </c>
      <c r="Q158" t="s">
        <v>31</v>
      </c>
      <c r="R158" t="s">
        <v>32</v>
      </c>
      <c r="S158" t="s">
        <v>29</v>
      </c>
      <c r="T158" t="s">
        <v>66</v>
      </c>
      <c r="U158" t="s">
        <v>74</v>
      </c>
      <c r="V158" s="6" t="s">
        <v>35</v>
      </c>
      <c r="W158" t="s">
        <v>55</v>
      </c>
      <c r="X158" t="s">
        <v>37</v>
      </c>
      <c r="Y158" s="6" t="s">
        <v>49</v>
      </c>
    </row>
    <row r="159" spans="2:25" x14ac:dyDescent="0.3">
      <c r="B159" s="5" t="s">
        <v>78</v>
      </c>
      <c r="C159" s="5" t="str">
        <f>VLOOKUP(B159,[1]물질정보!B:C,2,0)</f>
        <v>-</v>
      </c>
      <c r="D159" t="str">
        <f>VLOOKUP(B159,[1]물질정보!B:D,3,0)</f>
        <v xml:space="preserve">9-(9H-Carbazol-9-yl)-7H-benzo[c]carbazole </v>
      </c>
      <c r="E159" t="str">
        <f>VLOOKUP(B159,[1]물질정보!B:E,4,0)</f>
        <v>C28H18N2</v>
      </c>
      <c r="F159" t="str">
        <f>VLOOKUP(B159,[1]물질정보!B:F,5,0)</f>
        <v>382.5 g/mol</v>
      </c>
      <c r="G159" s="5" t="str">
        <f>VLOOKUP(B159,[1]물질정보!B:G,6,0)</f>
        <v>C1=CC=C2C(=C1)C=CC3=C2C4=C(N3)C=C(C=C4)N5C6=CC=CC=C6C7=CC=CC=C75</v>
      </c>
      <c r="H159" t="s">
        <v>26</v>
      </c>
      <c r="I159" t="s">
        <v>51</v>
      </c>
      <c r="J159" t="s">
        <v>49</v>
      </c>
      <c r="K159">
        <v>4.3621739999999999E-3</v>
      </c>
      <c r="L159" t="s">
        <v>39</v>
      </c>
      <c r="M159" t="s">
        <v>29</v>
      </c>
      <c r="N159" t="s">
        <v>29</v>
      </c>
      <c r="O159" t="s">
        <v>29</v>
      </c>
      <c r="P159">
        <v>96</v>
      </c>
      <c r="Q159" t="s">
        <v>31</v>
      </c>
      <c r="R159" t="s">
        <v>32</v>
      </c>
      <c r="S159" t="s">
        <v>29</v>
      </c>
      <c r="T159" t="s">
        <v>66</v>
      </c>
      <c r="U159" t="s">
        <v>75</v>
      </c>
      <c r="V159" s="6" t="s">
        <v>35</v>
      </c>
      <c r="W159" t="s">
        <v>57</v>
      </c>
      <c r="X159" t="s">
        <v>37</v>
      </c>
      <c r="Y159" s="6" t="s">
        <v>49</v>
      </c>
    </row>
    <row r="160" spans="2:25" x14ac:dyDescent="0.3">
      <c r="B160" s="5" t="s">
        <v>78</v>
      </c>
      <c r="C160" s="5" t="str">
        <f>VLOOKUP(B160,[1]물질정보!B:C,2,0)</f>
        <v>-</v>
      </c>
      <c r="D160" t="str">
        <f>VLOOKUP(B160,[1]물질정보!B:D,3,0)</f>
        <v xml:space="preserve">9-(9H-Carbazol-9-yl)-7H-benzo[c]carbazole </v>
      </c>
      <c r="E160" t="str">
        <f>VLOOKUP(B160,[1]물질정보!B:E,4,0)</f>
        <v>C28H18N2</v>
      </c>
      <c r="F160" t="str">
        <f>VLOOKUP(B160,[1]물질정보!B:F,5,0)</f>
        <v>382.5 g/mol</v>
      </c>
      <c r="G160" s="5" t="str">
        <f>VLOOKUP(B160,[1]물질정보!B:G,6,0)</f>
        <v>C1=CC=C2C(=C1)C=CC3=C2C4=C(N3)C=C(C=C4)N5C6=CC=CC=C6C7=CC=CC=C75</v>
      </c>
      <c r="H160" t="s">
        <v>26</v>
      </c>
      <c r="I160" t="s">
        <v>27</v>
      </c>
      <c r="J160" t="s">
        <v>28</v>
      </c>
      <c r="K160">
        <v>2.3968105E-2</v>
      </c>
      <c r="L160" t="s">
        <v>39</v>
      </c>
      <c r="M160" t="s">
        <v>29</v>
      </c>
      <c r="N160" t="s">
        <v>29</v>
      </c>
      <c r="O160" t="s">
        <v>29</v>
      </c>
      <c r="P160">
        <v>96</v>
      </c>
      <c r="Q160" t="s">
        <v>31</v>
      </c>
      <c r="R160" t="s">
        <v>32</v>
      </c>
      <c r="S160" t="s">
        <v>29</v>
      </c>
      <c r="T160" t="s">
        <v>66</v>
      </c>
      <c r="U160" t="s">
        <v>76</v>
      </c>
      <c r="V160" s="6" t="s">
        <v>35</v>
      </c>
      <c r="W160" t="s">
        <v>36</v>
      </c>
      <c r="X160" t="s">
        <v>37</v>
      </c>
      <c r="Y160" s="6" t="s">
        <v>28</v>
      </c>
    </row>
    <row r="161" spans="2:25" x14ac:dyDescent="0.3">
      <c r="B161" s="5" t="s">
        <v>25</v>
      </c>
      <c r="C161" s="5" t="str">
        <f>VLOOKUP(B161,[1]물질정보!B:C,2,0)</f>
        <v>97-88-1</v>
      </c>
      <c r="D161" t="str">
        <f>VLOOKUP(B161,[1]물질정보!B:D,3,0)</f>
        <v>butyl methacrylate</v>
      </c>
      <c r="E161" t="str">
        <f>VLOOKUP(B161,[1]물질정보!B:E,4,0)</f>
        <v>C8H14O2</v>
      </c>
      <c r="F161" t="str">
        <f>VLOOKUP(B161,[1]물질정보!B:F,5,0)</f>
        <v>142.2 g/mol</v>
      </c>
      <c r="G161" s="5" t="str">
        <f>VLOOKUP(B161,[1]물질정보!B:G,6,0)</f>
        <v>CCCCOC(=O)C(=C)C</v>
      </c>
      <c r="H161" t="s">
        <v>79</v>
      </c>
      <c r="I161" t="s">
        <v>80</v>
      </c>
      <c r="J161" t="s">
        <v>81</v>
      </c>
      <c r="K161" t="s">
        <v>29</v>
      </c>
      <c r="L161" t="s">
        <v>82</v>
      </c>
      <c r="M161" t="s">
        <v>83</v>
      </c>
      <c r="N161" t="s">
        <v>29</v>
      </c>
      <c r="O161" t="s">
        <v>29</v>
      </c>
      <c r="P161">
        <v>48</v>
      </c>
      <c r="Q161" t="s">
        <v>31</v>
      </c>
      <c r="R161" t="s">
        <v>32</v>
      </c>
      <c r="S161" t="s">
        <v>29</v>
      </c>
      <c r="T161" t="s">
        <v>66</v>
      </c>
      <c r="U161" t="s">
        <v>84</v>
      </c>
      <c r="V161" s="6" t="s">
        <v>35</v>
      </c>
      <c r="W161" t="s">
        <v>83</v>
      </c>
      <c r="X161" t="s">
        <v>29</v>
      </c>
      <c r="Y161" s="6" t="s">
        <v>81</v>
      </c>
    </row>
    <row r="162" spans="2:25" x14ac:dyDescent="0.3">
      <c r="B162" s="5" t="s">
        <v>25</v>
      </c>
      <c r="C162" s="5" t="str">
        <f>VLOOKUP(B162,[1]물질정보!B:C,2,0)</f>
        <v>97-88-1</v>
      </c>
      <c r="D162" t="str">
        <f>VLOOKUP(B162,[1]물질정보!B:D,3,0)</f>
        <v>butyl methacrylate</v>
      </c>
      <c r="E162" t="str">
        <f>VLOOKUP(B162,[1]물질정보!B:E,4,0)</f>
        <v>C8H14O2</v>
      </c>
      <c r="F162" t="str">
        <f>VLOOKUP(B162,[1]물질정보!B:F,5,0)</f>
        <v>142.2 g/mol</v>
      </c>
      <c r="G162" s="5" t="str">
        <f>VLOOKUP(B162,[1]물질정보!B:G,6,0)</f>
        <v>CCCCOC(=O)C(=C)C</v>
      </c>
      <c r="H162" t="s">
        <v>79</v>
      </c>
      <c r="I162" t="s">
        <v>80</v>
      </c>
      <c r="J162" t="s">
        <v>81</v>
      </c>
      <c r="K162">
        <v>6400</v>
      </c>
      <c r="L162" t="s">
        <v>85</v>
      </c>
      <c r="M162" t="s">
        <v>86</v>
      </c>
      <c r="N162" t="s">
        <v>29</v>
      </c>
      <c r="O162" t="s">
        <v>29</v>
      </c>
      <c r="P162">
        <v>48</v>
      </c>
      <c r="Q162" t="s">
        <v>31</v>
      </c>
      <c r="R162" t="s">
        <v>32</v>
      </c>
      <c r="S162" t="s">
        <v>29</v>
      </c>
      <c r="T162" t="s">
        <v>40</v>
      </c>
      <c r="U162" t="s">
        <v>87</v>
      </c>
      <c r="V162" s="6" t="s">
        <v>35</v>
      </c>
      <c r="W162" t="s">
        <v>86</v>
      </c>
      <c r="X162" t="s">
        <v>29</v>
      </c>
      <c r="Y162" s="6" t="s">
        <v>81</v>
      </c>
    </row>
    <row r="163" spans="2:25" x14ac:dyDescent="0.3">
      <c r="B163" s="5" t="s">
        <v>25</v>
      </c>
      <c r="C163" s="5" t="str">
        <f>VLOOKUP(B163,[1]물질정보!B:C,2,0)</f>
        <v>97-88-1</v>
      </c>
      <c r="D163" t="str">
        <f>VLOOKUP(B163,[1]물질정보!B:D,3,0)</f>
        <v>butyl methacrylate</v>
      </c>
      <c r="E163" t="str">
        <f>VLOOKUP(B163,[1]물질정보!B:E,4,0)</f>
        <v>C8H14O2</v>
      </c>
      <c r="F163" t="str">
        <f>VLOOKUP(B163,[1]물질정보!B:F,5,0)</f>
        <v>142.2 g/mol</v>
      </c>
      <c r="G163" s="5" t="str">
        <f>VLOOKUP(B163,[1]물질정보!B:G,6,0)</f>
        <v>CCCCOC(=O)C(=C)C</v>
      </c>
      <c r="H163" t="s">
        <v>79</v>
      </c>
      <c r="I163" t="s">
        <v>88</v>
      </c>
      <c r="J163" t="s">
        <v>89</v>
      </c>
      <c r="K163" t="s">
        <v>90</v>
      </c>
      <c r="L163" t="s">
        <v>29</v>
      </c>
      <c r="M163" t="s">
        <v>91</v>
      </c>
      <c r="N163" t="s">
        <v>29</v>
      </c>
      <c r="O163" t="s">
        <v>29</v>
      </c>
      <c r="P163" t="s">
        <v>29</v>
      </c>
      <c r="Q163" t="s">
        <v>29</v>
      </c>
      <c r="R163" t="s">
        <v>32</v>
      </c>
      <c r="S163" t="s">
        <v>29</v>
      </c>
      <c r="T163" t="s">
        <v>40</v>
      </c>
      <c r="U163" t="s">
        <v>92</v>
      </c>
      <c r="V163" s="6" t="s">
        <v>35</v>
      </c>
      <c r="W163" t="s">
        <v>93</v>
      </c>
      <c r="X163" t="s">
        <v>29</v>
      </c>
      <c r="Y163" s="6" t="s">
        <v>89</v>
      </c>
    </row>
    <row r="164" spans="2:25" x14ac:dyDescent="0.3">
      <c r="B164" s="5" t="s">
        <v>25</v>
      </c>
      <c r="C164" s="5" t="str">
        <f>VLOOKUP(B164,[1]물질정보!B:C,2,0)</f>
        <v>97-88-1</v>
      </c>
      <c r="D164" t="str">
        <f>VLOOKUP(B164,[1]물질정보!B:D,3,0)</f>
        <v>butyl methacrylate</v>
      </c>
      <c r="E164" t="str">
        <f>VLOOKUP(B164,[1]물질정보!B:E,4,0)</f>
        <v>C8H14O2</v>
      </c>
      <c r="F164" t="str">
        <f>VLOOKUP(B164,[1]물질정보!B:F,5,0)</f>
        <v>142.2 g/mol</v>
      </c>
      <c r="G164" s="5" t="str">
        <f>VLOOKUP(B164,[1]물질정보!B:G,6,0)</f>
        <v>CCCCOC(=O)C(=C)C</v>
      </c>
      <c r="H164" t="s">
        <v>79</v>
      </c>
      <c r="I164" t="s">
        <v>88</v>
      </c>
      <c r="J164" t="s">
        <v>89</v>
      </c>
      <c r="K164" t="s">
        <v>90</v>
      </c>
      <c r="L164" t="s">
        <v>29</v>
      </c>
      <c r="M164" t="s">
        <v>91</v>
      </c>
      <c r="N164" t="s">
        <v>29</v>
      </c>
      <c r="O164" t="s">
        <v>29</v>
      </c>
      <c r="P164" t="s">
        <v>29</v>
      </c>
      <c r="Q164" t="s">
        <v>29</v>
      </c>
      <c r="R164" t="s">
        <v>32</v>
      </c>
      <c r="S164" t="s">
        <v>29</v>
      </c>
      <c r="T164" t="s">
        <v>40</v>
      </c>
      <c r="U164" t="s">
        <v>94</v>
      </c>
      <c r="V164" s="6" t="s">
        <v>35</v>
      </c>
      <c r="W164" t="s">
        <v>93</v>
      </c>
      <c r="X164" t="s">
        <v>29</v>
      </c>
      <c r="Y164" s="6" t="s">
        <v>89</v>
      </c>
    </row>
    <row r="165" spans="2:25" x14ac:dyDescent="0.3">
      <c r="B165" s="5" t="s">
        <v>25</v>
      </c>
      <c r="C165" s="5" t="str">
        <f>VLOOKUP(B165,[1]물질정보!B:C,2,0)</f>
        <v>97-88-1</v>
      </c>
      <c r="D165" t="str">
        <f>VLOOKUP(B165,[1]물질정보!B:D,3,0)</f>
        <v>butyl methacrylate</v>
      </c>
      <c r="E165" t="str">
        <f>VLOOKUP(B165,[1]물질정보!B:E,4,0)</f>
        <v>C8H14O2</v>
      </c>
      <c r="F165" t="str">
        <f>VLOOKUP(B165,[1]물질정보!B:F,5,0)</f>
        <v>142.2 g/mol</v>
      </c>
      <c r="G165" s="5" t="str">
        <f>VLOOKUP(B165,[1]물질정보!B:G,6,0)</f>
        <v>CCCCOC(=O)C(=C)C</v>
      </c>
      <c r="H165" t="s">
        <v>79</v>
      </c>
      <c r="I165" t="s">
        <v>88</v>
      </c>
      <c r="J165" t="s">
        <v>89</v>
      </c>
      <c r="K165" t="s">
        <v>90</v>
      </c>
      <c r="L165" t="s">
        <v>29</v>
      </c>
      <c r="M165" t="s">
        <v>91</v>
      </c>
      <c r="N165" t="s">
        <v>29</v>
      </c>
      <c r="O165" t="s">
        <v>29</v>
      </c>
      <c r="P165" t="s">
        <v>29</v>
      </c>
      <c r="Q165" t="s">
        <v>29</v>
      </c>
      <c r="R165" t="s">
        <v>32</v>
      </c>
      <c r="S165" t="s">
        <v>29</v>
      </c>
      <c r="T165" t="s">
        <v>40</v>
      </c>
      <c r="U165" t="s">
        <v>95</v>
      </c>
      <c r="V165" s="6" t="s">
        <v>35</v>
      </c>
      <c r="W165" t="s">
        <v>93</v>
      </c>
      <c r="X165" t="s">
        <v>29</v>
      </c>
      <c r="Y165" s="6" t="s">
        <v>89</v>
      </c>
    </row>
    <row r="166" spans="2:25" x14ac:dyDescent="0.3">
      <c r="B166" s="5" t="s">
        <v>25</v>
      </c>
      <c r="C166" s="5" t="str">
        <f>VLOOKUP(B166,[1]물질정보!B:C,2,0)</f>
        <v>97-88-1</v>
      </c>
      <c r="D166" t="str">
        <f>VLOOKUP(B166,[1]물질정보!B:D,3,0)</f>
        <v>butyl methacrylate</v>
      </c>
      <c r="E166" t="str">
        <f>VLOOKUP(B166,[1]물질정보!B:E,4,0)</f>
        <v>C8H14O2</v>
      </c>
      <c r="F166" t="str">
        <f>VLOOKUP(B166,[1]물질정보!B:F,5,0)</f>
        <v>142.2 g/mol</v>
      </c>
      <c r="G166" s="5" t="str">
        <f>VLOOKUP(B166,[1]물질정보!B:G,6,0)</f>
        <v>CCCCOC(=O)C(=C)C</v>
      </c>
      <c r="H166" t="s">
        <v>79</v>
      </c>
      <c r="I166" t="s">
        <v>88</v>
      </c>
      <c r="J166" t="s">
        <v>89</v>
      </c>
      <c r="K166" t="s">
        <v>90</v>
      </c>
      <c r="L166" t="s">
        <v>29</v>
      </c>
      <c r="M166" t="s">
        <v>91</v>
      </c>
      <c r="N166" t="s">
        <v>29</v>
      </c>
      <c r="O166" t="s">
        <v>29</v>
      </c>
      <c r="P166" t="s">
        <v>29</v>
      </c>
      <c r="Q166" t="s">
        <v>29</v>
      </c>
      <c r="R166" t="s">
        <v>32</v>
      </c>
      <c r="S166" t="s">
        <v>29</v>
      </c>
      <c r="T166" t="s">
        <v>40</v>
      </c>
      <c r="U166" t="s">
        <v>96</v>
      </c>
      <c r="V166" s="6" t="s">
        <v>35</v>
      </c>
      <c r="W166" t="s">
        <v>93</v>
      </c>
      <c r="X166" t="s">
        <v>29</v>
      </c>
      <c r="Y166" s="6" t="s">
        <v>89</v>
      </c>
    </row>
    <row r="167" spans="2:25" x14ac:dyDescent="0.3">
      <c r="B167" s="5" t="s">
        <v>25</v>
      </c>
      <c r="C167" s="5" t="str">
        <f>VLOOKUP(B167,[1]물질정보!B:C,2,0)</f>
        <v>97-88-1</v>
      </c>
      <c r="D167" t="str">
        <f>VLOOKUP(B167,[1]물질정보!B:D,3,0)</f>
        <v>butyl methacrylate</v>
      </c>
      <c r="E167" t="str">
        <f>VLOOKUP(B167,[1]물질정보!B:E,4,0)</f>
        <v>C8H14O2</v>
      </c>
      <c r="F167" t="str">
        <f>VLOOKUP(B167,[1]물질정보!B:F,5,0)</f>
        <v>142.2 g/mol</v>
      </c>
      <c r="G167" s="5" t="str">
        <f>VLOOKUP(B167,[1]물질정보!B:G,6,0)</f>
        <v>CCCCOC(=O)C(=C)C</v>
      </c>
      <c r="H167" t="s">
        <v>79</v>
      </c>
      <c r="I167" t="s">
        <v>97</v>
      </c>
      <c r="J167" t="s">
        <v>98</v>
      </c>
      <c r="K167" t="s">
        <v>99</v>
      </c>
      <c r="L167" t="s">
        <v>29</v>
      </c>
      <c r="M167" t="s">
        <v>100</v>
      </c>
      <c r="N167" t="s">
        <v>101</v>
      </c>
      <c r="O167" t="s">
        <v>29</v>
      </c>
      <c r="P167" t="s">
        <v>29</v>
      </c>
      <c r="Q167" t="s">
        <v>29</v>
      </c>
      <c r="R167" t="s">
        <v>32</v>
      </c>
      <c r="S167" t="s">
        <v>29</v>
      </c>
      <c r="T167" t="s">
        <v>40</v>
      </c>
      <c r="U167" t="s">
        <v>102</v>
      </c>
      <c r="V167" s="6" t="s">
        <v>35</v>
      </c>
      <c r="W167" t="s">
        <v>101</v>
      </c>
      <c r="X167" t="s">
        <v>29</v>
      </c>
      <c r="Y167" s="6" t="s">
        <v>98</v>
      </c>
    </row>
    <row r="168" spans="2:25" x14ac:dyDescent="0.3">
      <c r="B168" s="5" t="s">
        <v>25</v>
      </c>
      <c r="C168" s="5" t="str">
        <f>VLOOKUP(B168,[1]물질정보!B:C,2,0)</f>
        <v>97-88-1</v>
      </c>
      <c r="D168" t="str">
        <f>VLOOKUP(B168,[1]물질정보!B:D,3,0)</f>
        <v>butyl methacrylate</v>
      </c>
      <c r="E168" t="str">
        <f>VLOOKUP(B168,[1]물질정보!B:E,4,0)</f>
        <v>C8H14O2</v>
      </c>
      <c r="F168" t="str">
        <f>VLOOKUP(B168,[1]물질정보!B:F,5,0)</f>
        <v>142.2 g/mol</v>
      </c>
      <c r="G168" s="5" t="str">
        <f>VLOOKUP(B168,[1]물질정보!B:G,6,0)</f>
        <v>CCCCOC(=O)C(=C)C</v>
      </c>
      <c r="H168" t="s">
        <v>79</v>
      </c>
      <c r="I168" t="s">
        <v>97</v>
      </c>
      <c r="J168" t="s">
        <v>98</v>
      </c>
      <c r="K168" t="s">
        <v>99</v>
      </c>
      <c r="L168" t="s">
        <v>29</v>
      </c>
      <c r="M168" t="s">
        <v>100</v>
      </c>
      <c r="N168" t="s">
        <v>101</v>
      </c>
      <c r="O168" t="s">
        <v>29</v>
      </c>
      <c r="P168" t="s">
        <v>29</v>
      </c>
      <c r="Q168" t="s">
        <v>29</v>
      </c>
      <c r="R168" t="s">
        <v>32</v>
      </c>
      <c r="S168" t="s">
        <v>29</v>
      </c>
      <c r="T168" t="s">
        <v>40</v>
      </c>
      <c r="U168" t="s">
        <v>103</v>
      </c>
      <c r="V168" s="6" t="s">
        <v>35</v>
      </c>
      <c r="W168" t="s">
        <v>101</v>
      </c>
      <c r="X168" t="s">
        <v>29</v>
      </c>
      <c r="Y168" s="6" t="s">
        <v>98</v>
      </c>
    </row>
    <row r="169" spans="2:25" x14ac:dyDescent="0.3">
      <c r="B169" s="5" t="s">
        <v>25</v>
      </c>
      <c r="C169" s="5" t="str">
        <f>VLOOKUP(B169,[1]물질정보!B:C,2,0)</f>
        <v>97-88-1</v>
      </c>
      <c r="D169" t="str">
        <f>VLOOKUP(B169,[1]물질정보!B:D,3,0)</f>
        <v>butyl methacrylate</v>
      </c>
      <c r="E169" t="str">
        <f>VLOOKUP(B169,[1]물질정보!B:E,4,0)</f>
        <v>C8H14O2</v>
      </c>
      <c r="F169" t="str">
        <f>VLOOKUP(B169,[1]물질정보!B:F,5,0)</f>
        <v>142.2 g/mol</v>
      </c>
      <c r="G169" s="5" t="str">
        <f>VLOOKUP(B169,[1]물질정보!B:G,6,0)</f>
        <v>CCCCOC(=O)C(=C)C</v>
      </c>
      <c r="H169" t="s">
        <v>79</v>
      </c>
      <c r="I169" t="s">
        <v>97</v>
      </c>
      <c r="J169" t="s">
        <v>98</v>
      </c>
      <c r="K169" t="s">
        <v>99</v>
      </c>
      <c r="L169" t="s">
        <v>29</v>
      </c>
      <c r="M169" t="s">
        <v>100</v>
      </c>
      <c r="N169" t="s">
        <v>101</v>
      </c>
      <c r="O169" t="s">
        <v>29</v>
      </c>
      <c r="P169" t="s">
        <v>29</v>
      </c>
      <c r="Q169" t="s">
        <v>29</v>
      </c>
      <c r="R169" t="s">
        <v>32</v>
      </c>
      <c r="S169" t="s">
        <v>29</v>
      </c>
      <c r="T169" t="s">
        <v>40</v>
      </c>
      <c r="U169" t="s">
        <v>104</v>
      </c>
      <c r="V169" s="6" t="s">
        <v>35</v>
      </c>
      <c r="W169" t="s">
        <v>101</v>
      </c>
      <c r="X169" t="s">
        <v>29</v>
      </c>
      <c r="Y169" s="6" t="s">
        <v>98</v>
      </c>
    </row>
    <row r="170" spans="2:25" x14ac:dyDescent="0.3">
      <c r="B170" s="5" t="s">
        <v>25</v>
      </c>
      <c r="C170" s="5" t="str">
        <f>VLOOKUP(B170,[1]물질정보!B:C,2,0)</f>
        <v>97-88-1</v>
      </c>
      <c r="D170" t="str">
        <f>VLOOKUP(B170,[1]물질정보!B:D,3,0)</f>
        <v>butyl methacrylate</v>
      </c>
      <c r="E170" t="str">
        <f>VLOOKUP(B170,[1]물질정보!B:E,4,0)</f>
        <v>C8H14O2</v>
      </c>
      <c r="F170" t="str">
        <f>VLOOKUP(B170,[1]물질정보!B:F,5,0)</f>
        <v>142.2 g/mol</v>
      </c>
      <c r="G170" s="5" t="str">
        <f>VLOOKUP(B170,[1]물질정보!B:G,6,0)</f>
        <v>CCCCOC(=O)C(=C)C</v>
      </c>
      <c r="H170" t="s">
        <v>79</v>
      </c>
      <c r="I170" t="s">
        <v>97</v>
      </c>
      <c r="J170" t="s">
        <v>98</v>
      </c>
      <c r="K170" t="s">
        <v>29</v>
      </c>
      <c r="L170" t="s">
        <v>29</v>
      </c>
      <c r="M170" t="s">
        <v>100</v>
      </c>
      <c r="N170" t="s">
        <v>101</v>
      </c>
      <c r="O170" t="s">
        <v>29</v>
      </c>
      <c r="P170" t="s">
        <v>29</v>
      </c>
      <c r="Q170" t="s">
        <v>29</v>
      </c>
      <c r="R170" t="s">
        <v>32</v>
      </c>
      <c r="S170" t="s">
        <v>29</v>
      </c>
      <c r="T170" t="s">
        <v>66</v>
      </c>
      <c r="U170" t="s">
        <v>105</v>
      </c>
      <c r="V170" s="6" t="s">
        <v>35</v>
      </c>
      <c r="W170" t="s">
        <v>101</v>
      </c>
      <c r="X170" t="s">
        <v>29</v>
      </c>
      <c r="Y170" s="6" t="s">
        <v>98</v>
      </c>
    </row>
    <row r="171" spans="2:25" x14ac:dyDescent="0.3">
      <c r="B171" s="5" t="s">
        <v>25</v>
      </c>
      <c r="C171" s="5" t="str">
        <f>VLOOKUP(B171,[1]물질정보!B:C,2,0)</f>
        <v>97-88-1</v>
      </c>
      <c r="D171" t="str">
        <f>VLOOKUP(B171,[1]물질정보!B:D,3,0)</f>
        <v>butyl methacrylate</v>
      </c>
      <c r="E171" t="str">
        <f>VLOOKUP(B171,[1]물질정보!B:E,4,0)</f>
        <v>C8H14O2</v>
      </c>
      <c r="F171" t="str">
        <f>VLOOKUP(B171,[1]물질정보!B:F,5,0)</f>
        <v>142.2 g/mol</v>
      </c>
      <c r="G171" s="5" t="str">
        <f>VLOOKUP(B171,[1]물질정보!B:G,6,0)</f>
        <v>CCCCOC(=O)C(=C)C</v>
      </c>
      <c r="H171" t="s">
        <v>79</v>
      </c>
      <c r="I171" t="s">
        <v>97</v>
      </c>
      <c r="J171" t="s">
        <v>98</v>
      </c>
      <c r="K171" t="s">
        <v>99</v>
      </c>
      <c r="L171" t="s">
        <v>29</v>
      </c>
      <c r="M171" t="s">
        <v>100</v>
      </c>
      <c r="N171" t="s">
        <v>106</v>
      </c>
      <c r="O171" t="s">
        <v>29</v>
      </c>
      <c r="P171" t="s">
        <v>29</v>
      </c>
      <c r="Q171" t="s">
        <v>29</v>
      </c>
      <c r="R171" t="s">
        <v>32</v>
      </c>
      <c r="S171" t="s">
        <v>29</v>
      </c>
      <c r="T171" t="s">
        <v>40</v>
      </c>
      <c r="U171" t="s">
        <v>107</v>
      </c>
      <c r="V171" s="6" t="s">
        <v>35</v>
      </c>
      <c r="W171" t="s">
        <v>106</v>
      </c>
      <c r="X171" t="s">
        <v>29</v>
      </c>
      <c r="Y171" s="6" t="s">
        <v>98</v>
      </c>
    </row>
    <row r="172" spans="2:25" x14ac:dyDescent="0.3">
      <c r="B172" s="5" t="s">
        <v>25</v>
      </c>
      <c r="C172" s="5" t="str">
        <f>VLOOKUP(B172,[1]물질정보!B:C,2,0)</f>
        <v>97-88-1</v>
      </c>
      <c r="D172" t="str">
        <f>VLOOKUP(B172,[1]물질정보!B:D,3,0)</f>
        <v>butyl methacrylate</v>
      </c>
      <c r="E172" t="str">
        <f>VLOOKUP(B172,[1]물질정보!B:E,4,0)</f>
        <v>C8H14O2</v>
      </c>
      <c r="F172" t="str">
        <f>VLOOKUP(B172,[1]물질정보!B:F,5,0)</f>
        <v>142.2 g/mol</v>
      </c>
      <c r="G172" s="5" t="str">
        <f>VLOOKUP(B172,[1]물질정보!B:G,6,0)</f>
        <v>CCCCOC(=O)C(=C)C</v>
      </c>
      <c r="H172" t="s">
        <v>79</v>
      </c>
      <c r="I172" t="s">
        <v>97</v>
      </c>
      <c r="J172" t="s">
        <v>98</v>
      </c>
      <c r="K172" t="s">
        <v>99</v>
      </c>
      <c r="L172" t="s">
        <v>29</v>
      </c>
      <c r="M172" t="s">
        <v>100</v>
      </c>
      <c r="N172" t="s">
        <v>106</v>
      </c>
      <c r="O172" t="s">
        <v>29</v>
      </c>
      <c r="P172" t="s">
        <v>29</v>
      </c>
      <c r="Q172" t="s">
        <v>29</v>
      </c>
      <c r="R172" t="s">
        <v>32</v>
      </c>
      <c r="S172" t="s">
        <v>29</v>
      </c>
      <c r="T172" t="s">
        <v>40</v>
      </c>
      <c r="U172" t="s">
        <v>108</v>
      </c>
      <c r="V172" s="6" t="s">
        <v>35</v>
      </c>
      <c r="W172" t="s">
        <v>106</v>
      </c>
      <c r="X172" t="s">
        <v>29</v>
      </c>
      <c r="Y172" s="6" t="s">
        <v>98</v>
      </c>
    </row>
    <row r="173" spans="2:25" x14ac:dyDescent="0.3">
      <c r="B173" s="5" t="s">
        <v>25</v>
      </c>
      <c r="C173" s="5" t="str">
        <f>VLOOKUP(B173,[1]물질정보!B:C,2,0)</f>
        <v>97-88-1</v>
      </c>
      <c r="D173" t="str">
        <f>VLOOKUP(B173,[1]물질정보!B:D,3,0)</f>
        <v>butyl methacrylate</v>
      </c>
      <c r="E173" t="str">
        <f>VLOOKUP(B173,[1]물질정보!B:E,4,0)</f>
        <v>C8H14O2</v>
      </c>
      <c r="F173" t="str">
        <f>VLOOKUP(B173,[1]물질정보!B:F,5,0)</f>
        <v>142.2 g/mol</v>
      </c>
      <c r="G173" s="5" t="str">
        <f>VLOOKUP(B173,[1]물질정보!B:G,6,0)</f>
        <v>CCCCOC(=O)C(=C)C</v>
      </c>
      <c r="H173" t="s">
        <v>79</v>
      </c>
      <c r="I173" t="s">
        <v>97</v>
      </c>
      <c r="J173" t="s">
        <v>98</v>
      </c>
      <c r="K173" t="s">
        <v>99</v>
      </c>
      <c r="L173" t="s">
        <v>29</v>
      </c>
      <c r="M173" t="s">
        <v>100</v>
      </c>
      <c r="N173" t="s">
        <v>106</v>
      </c>
      <c r="O173" t="s">
        <v>29</v>
      </c>
      <c r="P173" t="s">
        <v>29</v>
      </c>
      <c r="Q173" t="s">
        <v>29</v>
      </c>
      <c r="R173" t="s">
        <v>32</v>
      </c>
      <c r="S173" t="s">
        <v>29</v>
      </c>
      <c r="T173" t="s">
        <v>40</v>
      </c>
      <c r="U173" t="s">
        <v>109</v>
      </c>
      <c r="V173" s="6" t="s">
        <v>35</v>
      </c>
      <c r="W173" t="s">
        <v>106</v>
      </c>
      <c r="X173" t="s">
        <v>29</v>
      </c>
      <c r="Y173" s="6" t="s">
        <v>98</v>
      </c>
    </row>
    <row r="174" spans="2:25" x14ac:dyDescent="0.3">
      <c r="B174" s="5" t="s">
        <v>25</v>
      </c>
      <c r="C174" s="5" t="str">
        <f>VLOOKUP(B174,[1]물질정보!B:C,2,0)</f>
        <v>97-88-1</v>
      </c>
      <c r="D174" t="str">
        <f>VLOOKUP(B174,[1]물질정보!B:D,3,0)</f>
        <v>butyl methacrylate</v>
      </c>
      <c r="E174" t="str">
        <f>VLOOKUP(B174,[1]물질정보!B:E,4,0)</f>
        <v>C8H14O2</v>
      </c>
      <c r="F174" t="str">
        <f>VLOOKUP(B174,[1]물질정보!B:F,5,0)</f>
        <v>142.2 g/mol</v>
      </c>
      <c r="G174" s="5" t="str">
        <f>VLOOKUP(B174,[1]물질정보!B:G,6,0)</f>
        <v>CCCCOC(=O)C(=C)C</v>
      </c>
      <c r="H174" t="s">
        <v>79</v>
      </c>
      <c r="I174" t="s">
        <v>97</v>
      </c>
      <c r="J174" t="s">
        <v>98</v>
      </c>
      <c r="K174" t="s">
        <v>99</v>
      </c>
      <c r="L174" t="s">
        <v>29</v>
      </c>
      <c r="M174" t="s">
        <v>100</v>
      </c>
      <c r="N174" t="s">
        <v>106</v>
      </c>
      <c r="O174" t="s">
        <v>29</v>
      </c>
      <c r="P174" t="s">
        <v>29</v>
      </c>
      <c r="Q174" t="s">
        <v>29</v>
      </c>
      <c r="R174" t="s">
        <v>32</v>
      </c>
      <c r="S174" t="s">
        <v>29</v>
      </c>
      <c r="T174" t="s">
        <v>40</v>
      </c>
      <c r="U174" t="s">
        <v>110</v>
      </c>
      <c r="V174" s="6" t="s">
        <v>35</v>
      </c>
      <c r="W174" t="s">
        <v>106</v>
      </c>
      <c r="X174" t="s">
        <v>29</v>
      </c>
      <c r="Y174" s="6" t="s">
        <v>98</v>
      </c>
    </row>
    <row r="175" spans="2:25" x14ac:dyDescent="0.3">
      <c r="B175" s="5" t="s">
        <v>25</v>
      </c>
      <c r="C175" s="5" t="str">
        <f>VLOOKUP(B175,[1]물질정보!B:C,2,0)</f>
        <v>97-88-1</v>
      </c>
      <c r="D175" t="str">
        <f>VLOOKUP(B175,[1]물질정보!B:D,3,0)</f>
        <v>butyl methacrylate</v>
      </c>
      <c r="E175" t="str">
        <f>VLOOKUP(B175,[1]물질정보!B:E,4,0)</f>
        <v>C8H14O2</v>
      </c>
      <c r="F175" t="str">
        <f>VLOOKUP(B175,[1]물질정보!B:F,5,0)</f>
        <v>142.2 g/mol</v>
      </c>
      <c r="G175" s="5" t="str">
        <f>VLOOKUP(B175,[1]물질정보!B:G,6,0)</f>
        <v>CCCCOC(=O)C(=C)C</v>
      </c>
      <c r="H175" t="s">
        <v>79</v>
      </c>
      <c r="I175" t="s">
        <v>111</v>
      </c>
      <c r="J175" t="s">
        <v>824</v>
      </c>
      <c r="K175" t="s">
        <v>90</v>
      </c>
      <c r="L175" t="s">
        <v>29</v>
      </c>
      <c r="M175" t="s">
        <v>112</v>
      </c>
      <c r="N175" t="s">
        <v>29</v>
      </c>
      <c r="O175" t="s">
        <v>29</v>
      </c>
      <c r="P175" t="s">
        <v>29</v>
      </c>
      <c r="Q175" t="s">
        <v>29</v>
      </c>
      <c r="R175" t="s">
        <v>32</v>
      </c>
      <c r="S175" t="s">
        <v>29</v>
      </c>
      <c r="T175" t="s">
        <v>40</v>
      </c>
      <c r="U175" t="s">
        <v>113</v>
      </c>
      <c r="V175" s="6" t="s">
        <v>35</v>
      </c>
      <c r="W175" t="s">
        <v>112</v>
      </c>
      <c r="X175" t="s">
        <v>29</v>
      </c>
      <c r="Y175" s="6" t="s">
        <v>753</v>
      </c>
    </row>
    <row r="176" spans="2:25" x14ac:dyDescent="0.3">
      <c r="B176" s="5" t="s">
        <v>25</v>
      </c>
      <c r="C176" s="5" t="str">
        <f>VLOOKUP(B176,[1]물질정보!B:C,2,0)</f>
        <v>97-88-1</v>
      </c>
      <c r="D176" t="str">
        <f>VLOOKUP(B176,[1]물질정보!B:D,3,0)</f>
        <v>butyl methacrylate</v>
      </c>
      <c r="E176" t="str">
        <f>VLOOKUP(B176,[1]물질정보!B:E,4,0)</f>
        <v>C8H14O2</v>
      </c>
      <c r="F176" t="str">
        <f>VLOOKUP(B176,[1]물질정보!B:F,5,0)</f>
        <v>142.2 g/mol</v>
      </c>
      <c r="G176" s="5" t="str">
        <f>VLOOKUP(B176,[1]물질정보!B:G,6,0)</f>
        <v>CCCCOC(=O)C(=C)C</v>
      </c>
      <c r="H176" t="s">
        <v>79</v>
      </c>
      <c r="I176" t="s">
        <v>111</v>
      </c>
      <c r="J176" t="s">
        <v>824</v>
      </c>
      <c r="K176" t="s">
        <v>90</v>
      </c>
      <c r="L176" t="s">
        <v>29</v>
      </c>
      <c r="M176" t="s">
        <v>112</v>
      </c>
      <c r="N176" t="s">
        <v>29</v>
      </c>
      <c r="O176" t="s">
        <v>29</v>
      </c>
      <c r="P176" t="s">
        <v>29</v>
      </c>
      <c r="Q176" t="s">
        <v>29</v>
      </c>
      <c r="R176" t="s">
        <v>32</v>
      </c>
      <c r="S176" t="s">
        <v>29</v>
      </c>
      <c r="T176" t="s">
        <v>40</v>
      </c>
      <c r="U176" t="s">
        <v>114</v>
      </c>
      <c r="V176" s="6" t="s">
        <v>35</v>
      </c>
      <c r="W176" t="s">
        <v>112</v>
      </c>
      <c r="X176" t="s">
        <v>29</v>
      </c>
      <c r="Y176" s="6" t="s">
        <v>753</v>
      </c>
    </row>
    <row r="177" spans="2:25" x14ac:dyDescent="0.3">
      <c r="B177" s="5" t="s">
        <v>25</v>
      </c>
      <c r="C177" s="5" t="str">
        <f>VLOOKUP(B177,[1]물질정보!B:C,2,0)</f>
        <v>97-88-1</v>
      </c>
      <c r="D177" t="str">
        <f>VLOOKUP(B177,[1]물질정보!B:D,3,0)</f>
        <v>butyl methacrylate</v>
      </c>
      <c r="E177" t="str">
        <f>VLOOKUP(B177,[1]물질정보!B:E,4,0)</f>
        <v>C8H14O2</v>
      </c>
      <c r="F177" t="str">
        <f>VLOOKUP(B177,[1]물질정보!B:F,5,0)</f>
        <v>142.2 g/mol</v>
      </c>
      <c r="G177" s="5" t="str">
        <f>VLOOKUP(B177,[1]물질정보!B:G,6,0)</f>
        <v>CCCCOC(=O)C(=C)C</v>
      </c>
      <c r="H177" t="s">
        <v>79</v>
      </c>
      <c r="I177" t="s">
        <v>111</v>
      </c>
      <c r="J177" t="s">
        <v>824</v>
      </c>
      <c r="K177" t="s">
        <v>90</v>
      </c>
      <c r="L177" t="s">
        <v>29</v>
      </c>
      <c r="M177" t="s">
        <v>112</v>
      </c>
      <c r="N177" t="s">
        <v>29</v>
      </c>
      <c r="O177" t="s">
        <v>29</v>
      </c>
      <c r="P177" t="s">
        <v>29</v>
      </c>
      <c r="Q177" t="s">
        <v>29</v>
      </c>
      <c r="R177" t="s">
        <v>32</v>
      </c>
      <c r="S177" t="s">
        <v>29</v>
      </c>
      <c r="T177" t="s">
        <v>40</v>
      </c>
      <c r="U177" t="s">
        <v>115</v>
      </c>
      <c r="V177" s="6" t="s">
        <v>35</v>
      </c>
      <c r="W177" t="s">
        <v>112</v>
      </c>
      <c r="X177" t="s">
        <v>29</v>
      </c>
      <c r="Y177" s="6" t="s">
        <v>753</v>
      </c>
    </row>
    <row r="178" spans="2:25" x14ac:dyDescent="0.3">
      <c r="B178" s="5" t="s">
        <v>25</v>
      </c>
      <c r="C178" s="5" t="str">
        <f>VLOOKUP(B178,[1]물질정보!B:C,2,0)</f>
        <v>97-88-1</v>
      </c>
      <c r="D178" t="str">
        <f>VLOOKUP(B178,[1]물질정보!B:D,3,0)</f>
        <v>butyl methacrylate</v>
      </c>
      <c r="E178" t="str">
        <f>VLOOKUP(B178,[1]물질정보!B:E,4,0)</f>
        <v>C8H14O2</v>
      </c>
      <c r="F178" t="str">
        <f>VLOOKUP(B178,[1]물질정보!B:F,5,0)</f>
        <v>142.2 g/mol</v>
      </c>
      <c r="G178" s="5" t="str">
        <f>VLOOKUP(B178,[1]물질정보!B:G,6,0)</f>
        <v>CCCCOC(=O)C(=C)C</v>
      </c>
      <c r="H178" t="s">
        <v>79</v>
      </c>
      <c r="I178" t="s">
        <v>111</v>
      </c>
      <c r="J178" t="s">
        <v>824</v>
      </c>
      <c r="K178" t="s">
        <v>90</v>
      </c>
      <c r="L178" t="s">
        <v>29</v>
      </c>
      <c r="M178" t="s">
        <v>112</v>
      </c>
      <c r="N178" t="s">
        <v>29</v>
      </c>
      <c r="O178" t="s">
        <v>29</v>
      </c>
      <c r="P178" t="s">
        <v>29</v>
      </c>
      <c r="Q178" t="s">
        <v>29</v>
      </c>
      <c r="R178" t="s">
        <v>32</v>
      </c>
      <c r="S178" t="s">
        <v>29</v>
      </c>
      <c r="T178" t="s">
        <v>40</v>
      </c>
      <c r="U178" t="s">
        <v>116</v>
      </c>
      <c r="V178" s="6" t="s">
        <v>35</v>
      </c>
      <c r="W178" t="s">
        <v>112</v>
      </c>
      <c r="X178" t="s">
        <v>29</v>
      </c>
      <c r="Y178" s="6" t="s">
        <v>753</v>
      </c>
    </row>
    <row r="179" spans="2:25" x14ac:dyDescent="0.3">
      <c r="B179" s="5" t="s">
        <v>25</v>
      </c>
      <c r="C179" s="5" t="str">
        <f>VLOOKUP(B179,[1]물질정보!B:C,2,0)</f>
        <v>97-88-1</v>
      </c>
      <c r="D179" t="str">
        <f>VLOOKUP(B179,[1]물질정보!B:D,3,0)</f>
        <v>butyl methacrylate</v>
      </c>
      <c r="E179" t="str">
        <f>VLOOKUP(B179,[1]물질정보!B:E,4,0)</f>
        <v>C8H14O2</v>
      </c>
      <c r="F179" t="str">
        <f>VLOOKUP(B179,[1]물질정보!B:F,5,0)</f>
        <v>142.2 g/mol</v>
      </c>
      <c r="G179" s="5" t="str">
        <f>VLOOKUP(B179,[1]물질정보!B:G,6,0)</f>
        <v>CCCCOC(=O)C(=C)C</v>
      </c>
      <c r="H179" t="s">
        <v>79</v>
      </c>
      <c r="I179" t="s">
        <v>685</v>
      </c>
      <c r="J179" t="s">
        <v>117</v>
      </c>
      <c r="K179" t="s">
        <v>118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29</v>
      </c>
      <c r="R179" t="s">
        <v>32</v>
      </c>
      <c r="S179" t="s">
        <v>29</v>
      </c>
      <c r="T179" t="s">
        <v>29</v>
      </c>
      <c r="U179" t="s">
        <v>682</v>
      </c>
      <c r="V179" s="6" t="s">
        <v>35</v>
      </c>
      <c r="W179" t="s">
        <v>120</v>
      </c>
      <c r="X179" t="s">
        <v>29</v>
      </c>
      <c r="Y179" s="6" t="s">
        <v>117</v>
      </c>
    </row>
    <row r="180" spans="2:25" x14ac:dyDescent="0.3">
      <c r="B180" s="5" t="s">
        <v>59</v>
      </c>
      <c r="C180" s="5" t="str">
        <f>VLOOKUP(B180,[1]물질정보!B:C,2,0)</f>
        <v>2499-95-8</v>
      </c>
      <c r="D180" t="str">
        <f>VLOOKUP(B180,[1]물질정보!B:D,3,0)</f>
        <v>hexyl acrylate</v>
      </c>
      <c r="E180" t="str">
        <f>VLOOKUP(B180,[1]물질정보!B:E,4,0)</f>
        <v>C9H16O2</v>
      </c>
      <c r="F180" t="str">
        <f>VLOOKUP(B180,[1]물질정보!B:F,5,0)</f>
        <v>156.22 g/mol</v>
      </c>
      <c r="G180" s="5" t="str">
        <f>VLOOKUP(B180,[1]물질정보!B:G,6,0)</f>
        <v>CCCCCCOC(=O)C=C</v>
      </c>
      <c r="H180" t="s">
        <v>79</v>
      </c>
      <c r="I180" t="s">
        <v>80</v>
      </c>
      <c r="J180" t="s">
        <v>81</v>
      </c>
      <c r="K180" t="s">
        <v>29</v>
      </c>
      <c r="L180" t="s">
        <v>82</v>
      </c>
      <c r="M180" t="s">
        <v>83</v>
      </c>
      <c r="N180" t="s">
        <v>29</v>
      </c>
      <c r="O180" t="s">
        <v>29</v>
      </c>
      <c r="P180">
        <v>48</v>
      </c>
      <c r="Q180" t="s">
        <v>31</v>
      </c>
      <c r="R180" t="s">
        <v>32</v>
      </c>
      <c r="S180" t="s">
        <v>29</v>
      </c>
      <c r="T180" t="s">
        <v>66</v>
      </c>
      <c r="U180" t="s">
        <v>84</v>
      </c>
      <c r="V180" s="6" t="s">
        <v>35</v>
      </c>
      <c r="W180" t="s">
        <v>83</v>
      </c>
      <c r="X180" t="s">
        <v>29</v>
      </c>
      <c r="Y180" s="6" t="s">
        <v>81</v>
      </c>
    </row>
    <row r="181" spans="2:25" x14ac:dyDescent="0.3">
      <c r="B181" s="5" t="s">
        <v>59</v>
      </c>
      <c r="C181" s="5" t="str">
        <f>VLOOKUP(B181,[1]물질정보!B:C,2,0)</f>
        <v>2499-95-8</v>
      </c>
      <c r="D181" t="str">
        <f>VLOOKUP(B181,[1]물질정보!B:D,3,0)</f>
        <v>hexyl acrylate</v>
      </c>
      <c r="E181" t="str">
        <f>VLOOKUP(B181,[1]물질정보!B:E,4,0)</f>
        <v>C9H16O2</v>
      </c>
      <c r="F181" t="str">
        <f>VLOOKUP(B181,[1]물질정보!B:F,5,0)</f>
        <v>156.22 g/mol</v>
      </c>
      <c r="G181" s="5" t="str">
        <f>VLOOKUP(B181,[1]물질정보!B:G,6,0)</f>
        <v>CCCCCCOC(=O)C=C</v>
      </c>
      <c r="H181" t="s">
        <v>79</v>
      </c>
      <c r="I181" t="s">
        <v>80</v>
      </c>
      <c r="J181" t="s">
        <v>81</v>
      </c>
      <c r="K181" t="s">
        <v>29</v>
      </c>
      <c r="L181" t="s">
        <v>82</v>
      </c>
      <c r="M181" t="s">
        <v>86</v>
      </c>
      <c r="N181" t="s">
        <v>29</v>
      </c>
      <c r="O181" t="s">
        <v>29</v>
      </c>
      <c r="P181">
        <v>48</v>
      </c>
      <c r="Q181" t="s">
        <v>31</v>
      </c>
      <c r="R181" t="s">
        <v>32</v>
      </c>
      <c r="S181" t="s">
        <v>29</v>
      </c>
      <c r="T181" t="s">
        <v>66</v>
      </c>
      <c r="U181" t="s">
        <v>87</v>
      </c>
      <c r="V181" s="6" t="s">
        <v>35</v>
      </c>
      <c r="W181" t="s">
        <v>86</v>
      </c>
      <c r="X181" t="s">
        <v>29</v>
      </c>
      <c r="Y181" s="6" t="s">
        <v>81</v>
      </c>
    </row>
    <row r="182" spans="2:25" x14ac:dyDescent="0.3">
      <c r="B182" s="5" t="s">
        <v>59</v>
      </c>
      <c r="C182" s="5" t="str">
        <f>VLOOKUP(B182,[1]물질정보!B:C,2,0)</f>
        <v>2499-95-8</v>
      </c>
      <c r="D182" t="str">
        <f>VLOOKUP(B182,[1]물질정보!B:D,3,0)</f>
        <v>hexyl acrylate</v>
      </c>
      <c r="E182" t="str">
        <f>VLOOKUP(B182,[1]물질정보!B:E,4,0)</f>
        <v>C9H16O2</v>
      </c>
      <c r="F182" t="str">
        <f>VLOOKUP(B182,[1]물질정보!B:F,5,0)</f>
        <v>156.22 g/mol</v>
      </c>
      <c r="G182" s="5" t="str">
        <f>VLOOKUP(B182,[1]물질정보!B:G,6,0)</f>
        <v>CCCCCCOC(=O)C=C</v>
      </c>
      <c r="H182" t="s">
        <v>79</v>
      </c>
      <c r="I182" t="s">
        <v>88</v>
      </c>
      <c r="J182" t="s">
        <v>89</v>
      </c>
      <c r="K182" t="s">
        <v>90</v>
      </c>
      <c r="L182" t="s">
        <v>29</v>
      </c>
      <c r="M182" t="s">
        <v>91</v>
      </c>
      <c r="N182" t="s">
        <v>29</v>
      </c>
      <c r="O182" t="s">
        <v>29</v>
      </c>
      <c r="P182" t="s">
        <v>29</v>
      </c>
      <c r="Q182" t="s">
        <v>29</v>
      </c>
      <c r="R182" t="s">
        <v>32</v>
      </c>
      <c r="S182" t="s">
        <v>29</v>
      </c>
      <c r="T182" t="s">
        <v>40</v>
      </c>
      <c r="U182" t="s">
        <v>92</v>
      </c>
      <c r="V182" s="6" t="s">
        <v>35</v>
      </c>
      <c r="W182" t="s">
        <v>93</v>
      </c>
      <c r="X182" t="s">
        <v>29</v>
      </c>
      <c r="Y182" s="6" t="s">
        <v>89</v>
      </c>
    </row>
    <row r="183" spans="2:25" x14ac:dyDescent="0.3">
      <c r="B183" s="5" t="s">
        <v>59</v>
      </c>
      <c r="C183" s="5" t="str">
        <f>VLOOKUP(B183,[1]물질정보!B:C,2,0)</f>
        <v>2499-95-8</v>
      </c>
      <c r="D183" t="str">
        <f>VLOOKUP(B183,[1]물질정보!B:D,3,0)</f>
        <v>hexyl acrylate</v>
      </c>
      <c r="E183" t="str">
        <f>VLOOKUP(B183,[1]물질정보!B:E,4,0)</f>
        <v>C9H16O2</v>
      </c>
      <c r="F183" t="str">
        <f>VLOOKUP(B183,[1]물질정보!B:F,5,0)</f>
        <v>156.22 g/mol</v>
      </c>
      <c r="G183" s="5" t="str">
        <f>VLOOKUP(B183,[1]물질정보!B:G,6,0)</f>
        <v>CCCCCCOC(=O)C=C</v>
      </c>
      <c r="H183" t="s">
        <v>79</v>
      </c>
      <c r="I183" t="s">
        <v>88</v>
      </c>
      <c r="J183" t="s">
        <v>89</v>
      </c>
      <c r="K183" t="s">
        <v>90</v>
      </c>
      <c r="L183" t="s">
        <v>29</v>
      </c>
      <c r="M183" t="s">
        <v>91</v>
      </c>
      <c r="N183" t="s">
        <v>29</v>
      </c>
      <c r="O183" t="s">
        <v>29</v>
      </c>
      <c r="P183" t="s">
        <v>29</v>
      </c>
      <c r="Q183" t="s">
        <v>29</v>
      </c>
      <c r="R183" t="s">
        <v>32</v>
      </c>
      <c r="S183" t="s">
        <v>29</v>
      </c>
      <c r="T183" t="s">
        <v>40</v>
      </c>
      <c r="U183" t="s">
        <v>94</v>
      </c>
      <c r="V183" s="6" t="s">
        <v>35</v>
      </c>
      <c r="W183" t="s">
        <v>93</v>
      </c>
      <c r="X183" t="s">
        <v>29</v>
      </c>
      <c r="Y183" s="6" t="s">
        <v>89</v>
      </c>
    </row>
    <row r="184" spans="2:25" x14ac:dyDescent="0.3">
      <c r="B184" s="5" t="s">
        <v>59</v>
      </c>
      <c r="C184" s="5" t="str">
        <f>VLOOKUP(B184,[1]물질정보!B:C,2,0)</f>
        <v>2499-95-8</v>
      </c>
      <c r="D184" t="str">
        <f>VLOOKUP(B184,[1]물질정보!B:D,3,0)</f>
        <v>hexyl acrylate</v>
      </c>
      <c r="E184" t="str">
        <f>VLOOKUP(B184,[1]물질정보!B:E,4,0)</f>
        <v>C9H16O2</v>
      </c>
      <c r="F184" t="str">
        <f>VLOOKUP(B184,[1]물질정보!B:F,5,0)</f>
        <v>156.22 g/mol</v>
      </c>
      <c r="G184" s="5" t="str">
        <f>VLOOKUP(B184,[1]물질정보!B:G,6,0)</f>
        <v>CCCCCCOC(=O)C=C</v>
      </c>
      <c r="H184" t="s">
        <v>79</v>
      </c>
      <c r="I184" t="s">
        <v>88</v>
      </c>
      <c r="J184" t="s">
        <v>89</v>
      </c>
      <c r="K184" t="s">
        <v>90</v>
      </c>
      <c r="L184" t="s">
        <v>29</v>
      </c>
      <c r="M184" t="s">
        <v>91</v>
      </c>
      <c r="N184" t="s">
        <v>29</v>
      </c>
      <c r="O184" t="s">
        <v>29</v>
      </c>
      <c r="P184" t="s">
        <v>29</v>
      </c>
      <c r="Q184" t="s">
        <v>29</v>
      </c>
      <c r="R184" t="s">
        <v>32</v>
      </c>
      <c r="S184" t="s">
        <v>29</v>
      </c>
      <c r="T184" t="s">
        <v>40</v>
      </c>
      <c r="U184" t="s">
        <v>95</v>
      </c>
      <c r="V184" s="6" t="s">
        <v>35</v>
      </c>
      <c r="W184" t="s">
        <v>93</v>
      </c>
      <c r="X184" t="s">
        <v>29</v>
      </c>
      <c r="Y184" s="6" t="s">
        <v>89</v>
      </c>
    </row>
    <row r="185" spans="2:25" x14ac:dyDescent="0.3">
      <c r="B185" s="5" t="s">
        <v>59</v>
      </c>
      <c r="C185" s="5" t="str">
        <f>VLOOKUP(B185,[1]물질정보!B:C,2,0)</f>
        <v>2499-95-8</v>
      </c>
      <c r="D185" t="str">
        <f>VLOOKUP(B185,[1]물질정보!B:D,3,0)</f>
        <v>hexyl acrylate</v>
      </c>
      <c r="E185" t="str">
        <f>VLOOKUP(B185,[1]물질정보!B:E,4,0)</f>
        <v>C9H16O2</v>
      </c>
      <c r="F185" t="str">
        <f>VLOOKUP(B185,[1]물질정보!B:F,5,0)</f>
        <v>156.22 g/mol</v>
      </c>
      <c r="G185" s="5" t="str">
        <f>VLOOKUP(B185,[1]물질정보!B:G,6,0)</f>
        <v>CCCCCCOC(=O)C=C</v>
      </c>
      <c r="H185" t="s">
        <v>79</v>
      </c>
      <c r="I185" t="s">
        <v>88</v>
      </c>
      <c r="J185" t="s">
        <v>89</v>
      </c>
      <c r="K185" t="s">
        <v>90</v>
      </c>
      <c r="L185" t="s">
        <v>29</v>
      </c>
      <c r="M185" t="s">
        <v>91</v>
      </c>
      <c r="N185" t="s">
        <v>29</v>
      </c>
      <c r="O185" t="s">
        <v>29</v>
      </c>
      <c r="P185" t="s">
        <v>29</v>
      </c>
      <c r="Q185" t="s">
        <v>29</v>
      </c>
      <c r="R185" t="s">
        <v>32</v>
      </c>
      <c r="S185" t="s">
        <v>29</v>
      </c>
      <c r="T185" t="s">
        <v>40</v>
      </c>
      <c r="U185" t="s">
        <v>96</v>
      </c>
      <c r="V185" s="6" t="s">
        <v>35</v>
      </c>
      <c r="W185" t="s">
        <v>93</v>
      </c>
      <c r="X185" t="s">
        <v>29</v>
      </c>
      <c r="Y185" s="6" t="s">
        <v>89</v>
      </c>
    </row>
    <row r="186" spans="2:25" x14ac:dyDescent="0.3">
      <c r="B186" s="5" t="s">
        <v>59</v>
      </c>
      <c r="C186" s="5" t="str">
        <f>VLOOKUP(B186,[1]물질정보!B:C,2,0)</f>
        <v>2499-95-8</v>
      </c>
      <c r="D186" t="str">
        <f>VLOOKUP(B186,[1]물질정보!B:D,3,0)</f>
        <v>hexyl acrylate</v>
      </c>
      <c r="E186" t="str">
        <f>VLOOKUP(B186,[1]물질정보!B:E,4,0)</f>
        <v>C9H16O2</v>
      </c>
      <c r="F186" t="str">
        <f>VLOOKUP(B186,[1]물질정보!B:F,5,0)</f>
        <v>156.22 g/mol</v>
      </c>
      <c r="G186" s="5" t="str">
        <f>VLOOKUP(B186,[1]물질정보!B:G,6,0)</f>
        <v>CCCCCCOC(=O)C=C</v>
      </c>
      <c r="H186" t="s">
        <v>79</v>
      </c>
      <c r="I186" t="s">
        <v>97</v>
      </c>
      <c r="J186" t="s">
        <v>98</v>
      </c>
      <c r="K186" t="s">
        <v>99</v>
      </c>
      <c r="L186" t="s">
        <v>29</v>
      </c>
      <c r="M186" t="s">
        <v>100</v>
      </c>
      <c r="N186" t="s">
        <v>101</v>
      </c>
      <c r="O186" t="s">
        <v>29</v>
      </c>
      <c r="P186" t="s">
        <v>29</v>
      </c>
      <c r="Q186" t="s">
        <v>29</v>
      </c>
      <c r="R186" t="s">
        <v>32</v>
      </c>
      <c r="S186" t="s">
        <v>29</v>
      </c>
      <c r="T186" t="s">
        <v>40</v>
      </c>
      <c r="U186" t="s">
        <v>102</v>
      </c>
      <c r="V186" s="6" t="s">
        <v>35</v>
      </c>
      <c r="W186" t="s">
        <v>101</v>
      </c>
      <c r="X186" t="s">
        <v>29</v>
      </c>
      <c r="Y186" s="6" t="s">
        <v>98</v>
      </c>
    </row>
    <row r="187" spans="2:25" x14ac:dyDescent="0.3">
      <c r="B187" s="5" t="s">
        <v>59</v>
      </c>
      <c r="C187" s="5" t="str">
        <f>VLOOKUP(B187,[1]물질정보!B:C,2,0)</f>
        <v>2499-95-8</v>
      </c>
      <c r="D187" t="str">
        <f>VLOOKUP(B187,[1]물질정보!B:D,3,0)</f>
        <v>hexyl acrylate</v>
      </c>
      <c r="E187" t="str">
        <f>VLOOKUP(B187,[1]물질정보!B:E,4,0)</f>
        <v>C9H16O2</v>
      </c>
      <c r="F187" t="str">
        <f>VLOOKUP(B187,[1]물질정보!B:F,5,0)</f>
        <v>156.22 g/mol</v>
      </c>
      <c r="G187" s="5" t="str">
        <f>VLOOKUP(B187,[1]물질정보!B:G,6,0)</f>
        <v>CCCCCCOC(=O)C=C</v>
      </c>
      <c r="H187" t="s">
        <v>79</v>
      </c>
      <c r="I187" t="s">
        <v>97</v>
      </c>
      <c r="J187" t="s">
        <v>98</v>
      </c>
      <c r="K187" t="s">
        <v>99</v>
      </c>
      <c r="L187" t="s">
        <v>29</v>
      </c>
      <c r="M187" t="s">
        <v>100</v>
      </c>
      <c r="N187" t="s">
        <v>101</v>
      </c>
      <c r="O187" t="s">
        <v>29</v>
      </c>
      <c r="P187" t="s">
        <v>29</v>
      </c>
      <c r="Q187" t="s">
        <v>29</v>
      </c>
      <c r="R187" t="s">
        <v>32</v>
      </c>
      <c r="S187" t="s">
        <v>29</v>
      </c>
      <c r="T187" t="s">
        <v>40</v>
      </c>
      <c r="U187" t="s">
        <v>103</v>
      </c>
      <c r="V187" s="6" t="s">
        <v>35</v>
      </c>
      <c r="W187" t="s">
        <v>101</v>
      </c>
      <c r="X187" t="s">
        <v>29</v>
      </c>
      <c r="Y187" s="6" t="s">
        <v>98</v>
      </c>
    </row>
    <row r="188" spans="2:25" x14ac:dyDescent="0.3">
      <c r="B188" s="5" t="s">
        <v>59</v>
      </c>
      <c r="C188" s="5" t="str">
        <f>VLOOKUP(B188,[1]물질정보!B:C,2,0)</f>
        <v>2499-95-8</v>
      </c>
      <c r="D188" t="str">
        <f>VLOOKUP(B188,[1]물질정보!B:D,3,0)</f>
        <v>hexyl acrylate</v>
      </c>
      <c r="E188" t="str">
        <f>VLOOKUP(B188,[1]물질정보!B:E,4,0)</f>
        <v>C9H16O2</v>
      </c>
      <c r="F188" t="str">
        <f>VLOOKUP(B188,[1]물질정보!B:F,5,0)</f>
        <v>156.22 g/mol</v>
      </c>
      <c r="G188" s="5" t="str">
        <f>VLOOKUP(B188,[1]물질정보!B:G,6,0)</f>
        <v>CCCCCCOC(=O)C=C</v>
      </c>
      <c r="H188" t="s">
        <v>79</v>
      </c>
      <c r="I188" t="s">
        <v>97</v>
      </c>
      <c r="J188" t="s">
        <v>98</v>
      </c>
      <c r="K188" t="s">
        <v>99</v>
      </c>
      <c r="L188" t="s">
        <v>29</v>
      </c>
      <c r="M188" t="s">
        <v>100</v>
      </c>
      <c r="N188" t="s">
        <v>101</v>
      </c>
      <c r="O188" t="s">
        <v>29</v>
      </c>
      <c r="P188" t="s">
        <v>29</v>
      </c>
      <c r="Q188" t="s">
        <v>29</v>
      </c>
      <c r="R188" t="s">
        <v>32</v>
      </c>
      <c r="S188" t="s">
        <v>29</v>
      </c>
      <c r="T188" t="s">
        <v>40</v>
      </c>
      <c r="U188" t="s">
        <v>104</v>
      </c>
      <c r="V188" s="6" t="s">
        <v>35</v>
      </c>
      <c r="W188" t="s">
        <v>101</v>
      </c>
      <c r="X188" t="s">
        <v>29</v>
      </c>
      <c r="Y188" s="6" t="s">
        <v>98</v>
      </c>
    </row>
    <row r="189" spans="2:25" x14ac:dyDescent="0.3">
      <c r="B189" s="5" t="s">
        <v>59</v>
      </c>
      <c r="C189" s="5" t="str">
        <f>VLOOKUP(B189,[1]물질정보!B:C,2,0)</f>
        <v>2499-95-8</v>
      </c>
      <c r="D189" t="str">
        <f>VLOOKUP(B189,[1]물질정보!B:D,3,0)</f>
        <v>hexyl acrylate</v>
      </c>
      <c r="E189" t="str">
        <f>VLOOKUP(B189,[1]물질정보!B:E,4,0)</f>
        <v>C9H16O2</v>
      </c>
      <c r="F189" t="str">
        <f>VLOOKUP(B189,[1]물질정보!B:F,5,0)</f>
        <v>156.22 g/mol</v>
      </c>
      <c r="G189" s="5" t="str">
        <f>VLOOKUP(B189,[1]물질정보!B:G,6,0)</f>
        <v>CCCCCCOC(=O)C=C</v>
      </c>
      <c r="H189" t="s">
        <v>79</v>
      </c>
      <c r="I189" t="s">
        <v>97</v>
      </c>
      <c r="J189" t="s">
        <v>98</v>
      </c>
      <c r="K189" t="s">
        <v>29</v>
      </c>
      <c r="L189" t="s">
        <v>29</v>
      </c>
      <c r="M189" t="s">
        <v>100</v>
      </c>
      <c r="N189" t="s">
        <v>101</v>
      </c>
      <c r="O189" t="s">
        <v>29</v>
      </c>
      <c r="P189" t="s">
        <v>29</v>
      </c>
      <c r="Q189" t="s">
        <v>29</v>
      </c>
      <c r="R189" t="s">
        <v>32</v>
      </c>
      <c r="S189" t="s">
        <v>29</v>
      </c>
      <c r="T189" t="s">
        <v>66</v>
      </c>
      <c r="U189" t="s">
        <v>105</v>
      </c>
      <c r="V189" s="6" t="s">
        <v>35</v>
      </c>
      <c r="W189" t="s">
        <v>101</v>
      </c>
      <c r="X189" t="s">
        <v>29</v>
      </c>
      <c r="Y189" s="6" t="s">
        <v>98</v>
      </c>
    </row>
    <row r="190" spans="2:25" x14ac:dyDescent="0.3">
      <c r="B190" s="5" t="s">
        <v>59</v>
      </c>
      <c r="C190" s="5" t="str">
        <f>VLOOKUP(B190,[1]물질정보!B:C,2,0)</f>
        <v>2499-95-8</v>
      </c>
      <c r="D190" t="str">
        <f>VLOOKUP(B190,[1]물질정보!B:D,3,0)</f>
        <v>hexyl acrylate</v>
      </c>
      <c r="E190" t="str">
        <f>VLOOKUP(B190,[1]물질정보!B:E,4,0)</f>
        <v>C9H16O2</v>
      </c>
      <c r="F190" t="str">
        <f>VLOOKUP(B190,[1]물질정보!B:F,5,0)</f>
        <v>156.22 g/mol</v>
      </c>
      <c r="G190" s="5" t="str">
        <f>VLOOKUP(B190,[1]물질정보!B:G,6,0)</f>
        <v>CCCCCCOC(=O)C=C</v>
      </c>
      <c r="H190" t="s">
        <v>79</v>
      </c>
      <c r="I190" t="s">
        <v>97</v>
      </c>
      <c r="J190" t="s">
        <v>98</v>
      </c>
      <c r="K190" t="s">
        <v>99</v>
      </c>
      <c r="L190" t="s">
        <v>29</v>
      </c>
      <c r="M190" t="s">
        <v>100</v>
      </c>
      <c r="N190" t="s">
        <v>106</v>
      </c>
      <c r="O190" t="s">
        <v>29</v>
      </c>
      <c r="P190" t="s">
        <v>29</v>
      </c>
      <c r="Q190" t="s">
        <v>29</v>
      </c>
      <c r="R190" t="s">
        <v>32</v>
      </c>
      <c r="S190" t="s">
        <v>29</v>
      </c>
      <c r="T190" t="s">
        <v>40</v>
      </c>
      <c r="U190" t="s">
        <v>107</v>
      </c>
      <c r="V190" s="6" t="s">
        <v>35</v>
      </c>
      <c r="W190" t="s">
        <v>106</v>
      </c>
      <c r="X190" t="s">
        <v>29</v>
      </c>
      <c r="Y190" s="6" t="s">
        <v>98</v>
      </c>
    </row>
    <row r="191" spans="2:25" x14ac:dyDescent="0.3">
      <c r="B191" s="5" t="s">
        <v>59</v>
      </c>
      <c r="C191" s="5" t="str">
        <f>VLOOKUP(B191,[1]물질정보!B:C,2,0)</f>
        <v>2499-95-8</v>
      </c>
      <c r="D191" t="str">
        <f>VLOOKUP(B191,[1]물질정보!B:D,3,0)</f>
        <v>hexyl acrylate</v>
      </c>
      <c r="E191" t="str">
        <f>VLOOKUP(B191,[1]물질정보!B:E,4,0)</f>
        <v>C9H16O2</v>
      </c>
      <c r="F191" t="str">
        <f>VLOOKUP(B191,[1]물질정보!B:F,5,0)</f>
        <v>156.22 g/mol</v>
      </c>
      <c r="G191" s="5" t="str">
        <f>VLOOKUP(B191,[1]물질정보!B:G,6,0)</f>
        <v>CCCCCCOC(=O)C=C</v>
      </c>
      <c r="H191" t="s">
        <v>79</v>
      </c>
      <c r="I191" t="s">
        <v>97</v>
      </c>
      <c r="J191" t="s">
        <v>98</v>
      </c>
      <c r="K191" t="s">
        <v>99</v>
      </c>
      <c r="L191" t="s">
        <v>29</v>
      </c>
      <c r="M191" t="s">
        <v>100</v>
      </c>
      <c r="N191" t="s">
        <v>106</v>
      </c>
      <c r="O191" t="s">
        <v>29</v>
      </c>
      <c r="P191" t="s">
        <v>29</v>
      </c>
      <c r="Q191" t="s">
        <v>29</v>
      </c>
      <c r="R191" t="s">
        <v>32</v>
      </c>
      <c r="S191" t="s">
        <v>29</v>
      </c>
      <c r="T191" t="s">
        <v>40</v>
      </c>
      <c r="U191" t="s">
        <v>108</v>
      </c>
      <c r="V191" s="6" t="s">
        <v>35</v>
      </c>
      <c r="W191" t="s">
        <v>106</v>
      </c>
      <c r="X191" t="s">
        <v>29</v>
      </c>
      <c r="Y191" s="6" t="s">
        <v>98</v>
      </c>
    </row>
    <row r="192" spans="2:25" x14ac:dyDescent="0.3">
      <c r="B192" s="5" t="s">
        <v>59</v>
      </c>
      <c r="C192" s="5" t="str">
        <f>VLOOKUP(B192,[1]물질정보!B:C,2,0)</f>
        <v>2499-95-8</v>
      </c>
      <c r="D192" t="str">
        <f>VLOOKUP(B192,[1]물질정보!B:D,3,0)</f>
        <v>hexyl acrylate</v>
      </c>
      <c r="E192" t="str">
        <f>VLOOKUP(B192,[1]물질정보!B:E,4,0)</f>
        <v>C9H16O2</v>
      </c>
      <c r="F192" t="str">
        <f>VLOOKUP(B192,[1]물질정보!B:F,5,0)</f>
        <v>156.22 g/mol</v>
      </c>
      <c r="G192" s="5" t="str">
        <f>VLOOKUP(B192,[1]물질정보!B:G,6,0)</f>
        <v>CCCCCCOC(=O)C=C</v>
      </c>
      <c r="H192" t="s">
        <v>79</v>
      </c>
      <c r="I192" t="s">
        <v>97</v>
      </c>
      <c r="J192" t="s">
        <v>98</v>
      </c>
      <c r="K192" t="s">
        <v>99</v>
      </c>
      <c r="L192" t="s">
        <v>29</v>
      </c>
      <c r="M192" t="s">
        <v>100</v>
      </c>
      <c r="N192" t="s">
        <v>106</v>
      </c>
      <c r="O192" t="s">
        <v>29</v>
      </c>
      <c r="P192" t="s">
        <v>29</v>
      </c>
      <c r="Q192" t="s">
        <v>29</v>
      </c>
      <c r="R192" t="s">
        <v>32</v>
      </c>
      <c r="S192" t="s">
        <v>29</v>
      </c>
      <c r="T192" t="s">
        <v>40</v>
      </c>
      <c r="U192" t="s">
        <v>109</v>
      </c>
      <c r="V192" s="6" t="s">
        <v>35</v>
      </c>
      <c r="W192" t="s">
        <v>106</v>
      </c>
      <c r="X192" t="s">
        <v>29</v>
      </c>
      <c r="Y192" s="6" t="s">
        <v>98</v>
      </c>
    </row>
    <row r="193" spans="2:25" x14ac:dyDescent="0.3">
      <c r="B193" s="5" t="s">
        <v>59</v>
      </c>
      <c r="C193" s="5" t="str">
        <f>VLOOKUP(B193,[1]물질정보!B:C,2,0)</f>
        <v>2499-95-8</v>
      </c>
      <c r="D193" t="str">
        <f>VLOOKUP(B193,[1]물질정보!B:D,3,0)</f>
        <v>hexyl acrylate</v>
      </c>
      <c r="E193" t="str">
        <f>VLOOKUP(B193,[1]물질정보!B:E,4,0)</f>
        <v>C9H16O2</v>
      </c>
      <c r="F193" t="str">
        <f>VLOOKUP(B193,[1]물질정보!B:F,5,0)</f>
        <v>156.22 g/mol</v>
      </c>
      <c r="G193" s="5" t="str">
        <f>VLOOKUP(B193,[1]물질정보!B:G,6,0)</f>
        <v>CCCCCCOC(=O)C=C</v>
      </c>
      <c r="H193" t="s">
        <v>79</v>
      </c>
      <c r="I193" t="s">
        <v>97</v>
      </c>
      <c r="J193" t="s">
        <v>98</v>
      </c>
      <c r="K193" t="s">
        <v>90</v>
      </c>
      <c r="L193" t="s">
        <v>29</v>
      </c>
      <c r="M193" t="s">
        <v>100</v>
      </c>
      <c r="N193" t="s">
        <v>106</v>
      </c>
      <c r="O193" t="s">
        <v>29</v>
      </c>
      <c r="P193" t="s">
        <v>29</v>
      </c>
      <c r="Q193" t="s">
        <v>29</v>
      </c>
      <c r="R193" t="s">
        <v>32</v>
      </c>
      <c r="S193" t="s">
        <v>29</v>
      </c>
      <c r="T193" t="s">
        <v>40</v>
      </c>
      <c r="U193" t="s">
        <v>110</v>
      </c>
      <c r="V193" s="6" t="s">
        <v>35</v>
      </c>
      <c r="W193" t="s">
        <v>106</v>
      </c>
      <c r="X193" t="s">
        <v>29</v>
      </c>
      <c r="Y193" s="6" t="s">
        <v>98</v>
      </c>
    </row>
    <row r="194" spans="2:25" x14ac:dyDescent="0.3">
      <c r="B194" s="5" t="s">
        <v>59</v>
      </c>
      <c r="C194" s="5" t="str">
        <f>VLOOKUP(B194,[1]물질정보!B:C,2,0)</f>
        <v>2499-95-8</v>
      </c>
      <c r="D194" t="str">
        <f>VLOOKUP(B194,[1]물질정보!B:D,3,0)</f>
        <v>hexyl acrylate</v>
      </c>
      <c r="E194" t="str">
        <f>VLOOKUP(B194,[1]물질정보!B:E,4,0)</f>
        <v>C9H16O2</v>
      </c>
      <c r="F194" t="str">
        <f>VLOOKUP(B194,[1]물질정보!B:F,5,0)</f>
        <v>156.22 g/mol</v>
      </c>
      <c r="G194" s="5" t="str">
        <f>VLOOKUP(B194,[1]물질정보!B:G,6,0)</f>
        <v>CCCCCCOC(=O)C=C</v>
      </c>
      <c r="H194" t="s">
        <v>79</v>
      </c>
      <c r="I194" t="s">
        <v>111</v>
      </c>
      <c r="J194" t="s">
        <v>824</v>
      </c>
      <c r="K194" t="s">
        <v>90</v>
      </c>
      <c r="L194" t="s">
        <v>29</v>
      </c>
      <c r="M194" t="s">
        <v>112</v>
      </c>
      <c r="N194" t="s">
        <v>29</v>
      </c>
      <c r="O194" t="s">
        <v>29</v>
      </c>
      <c r="P194" t="s">
        <v>29</v>
      </c>
      <c r="Q194" t="s">
        <v>29</v>
      </c>
      <c r="R194" t="s">
        <v>32</v>
      </c>
      <c r="S194" t="s">
        <v>29</v>
      </c>
      <c r="T194" t="s">
        <v>40</v>
      </c>
      <c r="U194" t="s">
        <v>121</v>
      </c>
      <c r="V194" s="6" t="s">
        <v>35</v>
      </c>
      <c r="W194" t="s">
        <v>112</v>
      </c>
      <c r="X194" t="s">
        <v>29</v>
      </c>
      <c r="Y194" s="6" t="s">
        <v>753</v>
      </c>
    </row>
    <row r="195" spans="2:25" x14ac:dyDescent="0.3">
      <c r="B195" s="5" t="s">
        <v>59</v>
      </c>
      <c r="C195" s="5" t="str">
        <f>VLOOKUP(B195,[1]물질정보!B:C,2,0)</f>
        <v>2499-95-8</v>
      </c>
      <c r="D195" t="str">
        <f>VLOOKUP(B195,[1]물질정보!B:D,3,0)</f>
        <v>hexyl acrylate</v>
      </c>
      <c r="E195" t="str">
        <f>VLOOKUP(B195,[1]물질정보!B:E,4,0)</f>
        <v>C9H16O2</v>
      </c>
      <c r="F195" t="str">
        <f>VLOOKUP(B195,[1]물질정보!B:F,5,0)</f>
        <v>156.22 g/mol</v>
      </c>
      <c r="G195" s="5" t="str">
        <f>VLOOKUP(B195,[1]물질정보!B:G,6,0)</f>
        <v>CCCCCCOC(=O)C=C</v>
      </c>
      <c r="H195" t="s">
        <v>79</v>
      </c>
      <c r="I195" t="s">
        <v>111</v>
      </c>
      <c r="J195" t="s">
        <v>824</v>
      </c>
      <c r="K195" t="s">
        <v>90</v>
      </c>
      <c r="L195" t="s">
        <v>29</v>
      </c>
      <c r="M195" t="s">
        <v>112</v>
      </c>
      <c r="N195" t="s">
        <v>29</v>
      </c>
      <c r="O195" t="s">
        <v>29</v>
      </c>
      <c r="P195" t="s">
        <v>29</v>
      </c>
      <c r="Q195" t="s">
        <v>29</v>
      </c>
      <c r="R195" t="s">
        <v>32</v>
      </c>
      <c r="S195" t="s">
        <v>29</v>
      </c>
      <c r="T195" t="s">
        <v>40</v>
      </c>
      <c r="U195" t="s">
        <v>114</v>
      </c>
      <c r="V195" s="6" t="s">
        <v>35</v>
      </c>
      <c r="W195" t="s">
        <v>112</v>
      </c>
      <c r="X195" t="s">
        <v>29</v>
      </c>
      <c r="Y195" s="6" t="s">
        <v>753</v>
      </c>
    </row>
    <row r="196" spans="2:25" x14ac:dyDescent="0.3">
      <c r="B196" s="5" t="s">
        <v>59</v>
      </c>
      <c r="C196" s="5" t="str">
        <f>VLOOKUP(B196,[1]물질정보!B:C,2,0)</f>
        <v>2499-95-8</v>
      </c>
      <c r="D196" t="str">
        <f>VLOOKUP(B196,[1]물질정보!B:D,3,0)</f>
        <v>hexyl acrylate</v>
      </c>
      <c r="E196" t="str">
        <f>VLOOKUP(B196,[1]물질정보!B:E,4,0)</f>
        <v>C9H16O2</v>
      </c>
      <c r="F196" t="str">
        <f>VLOOKUP(B196,[1]물질정보!B:F,5,0)</f>
        <v>156.22 g/mol</v>
      </c>
      <c r="G196" s="5" t="str">
        <f>VLOOKUP(B196,[1]물질정보!B:G,6,0)</f>
        <v>CCCCCCOC(=O)C=C</v>
      </c>
      <c r="H196" t="s">
        <v>79</v>
      </c>
      <c r="I196" t="s">
        <v>111</v>
      </c>
      <c r="J196" t="s">
        <v>824</v>
      </c>
      <c r="K196" t="s">
        <v>90</v>
      </c>
      <c r="L196" t="s">
        <v>29</v>
      </c>
      <c r="M196" t="s">
        <v>112</v>
      </c>
      <c r="N196" t="s">
        <v>29</v>
      </c>
      <c r="O196" t="s">
        <v>29</v>
      </c>
      <c r="P196" t="s">
        <v>29</v>
      </c>
      <c r="Q196" t="s">
        <v>29</v>
      </c>
      <c r="R196" t="s">
        <v>32</v>
      </c>
      <c r="S196" t="s">
        <v>29</v>
      </c>
      <c r="T196" t="s">
        <v>40</v>
      </c>
      <c r="U196" t="s">
        <v>115</v>
      </c>
      <c r="V196" s="6" t="s">
        <v>35</v>
      </c>
      <c r="W196" t="s">
        <v>112</v>
      </c>
      <c r="X196" t="s">
        <v>29</v>
      </c>
      <c r="Y196" s="6" t="s">
        <v>753</v>
      </c>
    </row>
    <row r="197" spans="2:25" x14ac:dyDescent="0.3">
      <c r="B197" s="5" t="s">
        <v>59</v>
      </c>
      <c r="C197" s="5" t="str">
        <f>VLOOKUP(B197,[1]물질정보!B:C,2,0)</f>
        <v>2499-95-8</v>
      </c>
      <c r="D197" t="str">
        <f>VLOOKUP(B197,[1]물질정보!B:D,3,0)</f>
        <v>hexyl acrylate</v>
      </c>
      <c r="E197" t="str">
        <f>VLOOKUP(B197,[1]물질정보!B:E,4,0)</f>
        <v>C9H16O2</v>
      </c>
      <c r="F197" t="str">
        <f>VLOOKUP(B197,[1]물질정보!B:F,5,0)</f>
        <v>156.22 g/mol</v>
      </c>
      <c r="G197" s="5" t="str">
        <f>VLOOKUP(B197,[1]물질정보!B:G,6,0)</f>
        <v>CCCCCCOC(=O)C=C</v>
      </c>
      <c r="H197" t="s">
        <v>79</v>
      </c>
      <c r="I197" t="s">
        <v>111</v>
      </c>
      <c r="J197" t="s">
        <v>824</v>
      </c>
      <c r="K197" t="s">
        <v>90</v>
      </c>
      <c r="L197" t="s">
        <v>29</v>
      </c>
      <c r="M197" t="s">
        <v>112</v>
      </c>
      <c r="N197" t="s">
        <v>29</v>
      </c>
      <c r="O197" t="s">
        <v>29</v>
      </c>
      <c r="P197" t="s">
        <v>29</v>
      </c>
      <c r="Q197" t="s">
        <v>29</v>
      </c>
      <c r="R197" t="s">
        <v>32</v>
      </c>
      <c r="S197" t="s">
        <v>29</v>
      </c>
      <c r="T197" t="s">
        <v>40</v>
      </c>
      <c r="U197" t="s">
        <v>116</v>
      </c>
      <c r="V197" s="6" t="s">
        <v>35</v>
      </c>
      <c r="W197" t="s">
        <v>112</v>
      </c>
      <c r="X197" t="s">
        <v>29</v>
      </c>
      <c r="Y197" s="6" t="s">
        <v>753</v>
      </c>
    </row>
    <row r="198" spans="2:25" x14ac:dyDescent="0.3">
      <c r="B198" s="5" t="s">
        <v>59</v>
      </c>
      <c r="C198" s="5" t="str">
        <f>VLOOKUP(B198,[1]물질정보!B:C,2,0)</f>
        <v>2499-95-8</v>
      </c>
      <c r="D198" t="str">
        <f>VLOOKUP(B198,[1]물질정보!B:D,3,0)</f>
        <v>hexyl acrylate</v>
      </c>
      <c r="E198" t="str">
        <f>VLOOKUP(B198,[1]물질정보!B:E,4,0)</f>
        <v>C9H16O2</v>
      </c>
      <c r="F198" t="str">
        <f>VLOOKUP(B198,[1]물질정보!B:F,5,0)</f>
        <v>156.22 g/mol</v>
      </c>
      <c r="G198" s="5" t="str">
        <f>VLOOKUP(B198,[1]물질정보!B:G,6,0)</f>
        <v>CCCCCCOC(=O)C=C</v>
      </c>
      <c r="H198" t="s">
        <v>79</v>
      </c>
      <c r="I198" t="s">
        <v>685</v>
      </c>
      <c r="J198" t="s">
        <v>117</v>
      </c>
      <c r="K198" t="s">
        <v>118</v>
      </c>
      <c r="L198" t="s">
        <v>29</v>
      </c>
      <c r="M198" t="s">
        <v>29</v>
      </c>
      <c r="N198" t="s">
        <v>29</v>
      </c>
      <c r="O198" t="s">
        <v>29</v>
      </c>
      <c r="P198" t="s">
        <v>29</v>
      </c>
      <c r="Q198" t="s">
        <v>29</v>
      </c>
      <c r="R198" t="s">
        <v>32</v>
      </c>
      <c r="S198" t="s">
        <v>29</v>
      </c>
      <c r="T198" t="s">
        <v>29</v>
      </c>
      <c r="U198" t="s">
        <v>119</v>
      </c>
      <c r="V198" s="6" t="s">
        <v>35</v>
      </c>
      <c r="W198" t="s">
        <v>120</v>
      </c>
      <c r="X198" t="s">
        <v>29</v>
      </c>
      <c r="Y198" s="6" t="s">
        <v>117</v>
      </c>
    </row>
    <row r="199" spans="2:25" x14ac:dyDescent="0.3">
      <c r="B199" s="5" t="s">
        <v>64</v>
      </c>
      <c r="C199" s="5" t="str">
        <f>VLOOKUP(B199,[1]물질정보!B:C,2,0)</f>
        <v>2478-10-6</v>
      </c>
      <c r="D199" t="str">
        <f>VLOOKUP(B199,[1]물질정보!B:D,3,0)</f>
        <v>4-hydroxybutyl acrylate</v>
      </c>
      <c r="E199" t="str">
        <f>VLOOKUP(B199,[1]물질정보!B:E,4,0)</f>
        <v>C7H12O3</v>
      </c>
      <c r="F199" t="str">
        <f>VLOOKUP(B199,[1]물질정보!B:F,5,0)</f>
        <v>144.17 g/mol</v>
      </c>
      <c r="G199" s="5" t="str">
        <f>VLOOKUP(B199,[1]물질정보!B:G,6,0)</f>
        <v>C=CC(=O)OCCCCO</v>
      </c>
      <c r="H199" t="s">
        <v>79</v>
      </c>
      <c r="I199" t="s">
        <v>80</v>
      </c>
      <c r="J199" t="s">
        <v>81</v>
      </c>
      <c r="K199" t="s">
        <v>29</v>
      </c>
      <c r="L199" t="s">
        <v>82</v>
      </c>
      <c r="M199" t="s">
        <v>83</v>
      </c>
      <c r="N199" t="s">
        <v>29</v>
      </c>
      <c r="O199" t="s">
        <v>29</v>
      </c>
      <c r="P199">
        <v>48</v>
      </c>
      <c r="Q199" t="s">
        <v>31</v>
      </c>
      <c r="R199" t="s">
        <v>32</v>
      </c>
      <c r="S199" t="s">
        <v>29</v>
      </c>
      <c r="T199" t="s">
        <v>66</v>
      </c>
      <c r="U199" t="s">
        <v>84</v>
      </c>
      <c r="V199" s="6" t="s">
        <v>35</v>
      </c>
      <c r="W199" t="s">
        <v>83</v>
      </c>
      <c r="X199" t="s">
        <v>29</v>
      </c>
      <c r="Y199" s="6" t="s">
        <v>81</v>
      </c>
    </row>
    <row r="200" spans="2:25" x14ac:dyDescent="0.3">
      <c r="B200" s="5" t="s">
        <v>64</v>
      </c>
      <c r="C200" s="5" t="str">
        <f>VLOOKUP(B200,[1]물질정보!B:C,2,0)</f>
        <v>2478-10-6</v>
      </c>
      <c r="D200" t="str">
        <f>VLOOKUP(B200,[1]물질정보!B:D,3,0)</f>
        <v>4-hydroxybutyl acrylate</v>
      </c>
      <c r="E200" t="str">
        <f>VLOOKUP(B200,[1]물질정보!B:E,4,0)</f>
        <v>C7H12O3</v>
      </c>
      <c r="F200" t="str">
        <f>VLOOKUP(B200,[1]물질정보!B:F,5,0)</f>
        <v>144.17 g/mol</v>
      </c>
      <c r="G200" s="5" t="str">
        <f>VLOOKUP(B200,[1]물질정보!B:G,6,0)</f>
        <v>C=CC(=O)OCCCCO</v>
      </c>
      <c r="H200" t="s">
        <v>79</v>
      </c>
      <c r="I200" t="s">
        <v>80</v>
      </c>
      <c r="J200" t="s">
        <v>81</v>
      </c>
      <c r="K200">
        <v>770</v>
      </c>
      <c r="L200" t="s">
        <v>85</v>
      </c>
      <c r="M200" t="s">
        <v>86</v>
      </c>
      <c r="N200" t="s">
        <v>29</v>
      </c>
      <c r="O200" t="s">
        <v>29</v>
      </c>
      <c r="P200">
        <v>48</v>
      </c>
      <c r="Q200" t="s">
        <v>31</v>
      </c>
      <c r="R200" t="s">
        <v>32</v>
      </c>
      <c r="S200" t="s">
        <v>29</v>
      </c>
      <c r="T200" t="s">
        <v>40</v>
      </c>
      <c r="U200" t="s">
        <v>87</v>
      </c>
      <c r="V200" s="6" t="s">
        <v>35</v>
      </c>
      <c r="W200" t="s">
        <v>86</v>
      </c>
      <c r="X200" t="s">
        <v>29</v>
      </c>
      <c r="Y200" s="6" t="s">
        <v>81</v>
      </c>
    </row>
    <row r="201" spans="2:25" x14ac:dyDescent="0.3">
      <c r="B201" s="5" t="s">
        <v>64</v>
      </c>
      <c r="C201" s="5" t="str">
        <f>VLOOKUP(B201,[1]물질정보!B:C,2,0)</f>
        <v>2478-10-6</v>
      </c>
      <c r="D201" t="str">
        <f>VLOOKUP(B201,[1]물질정보!B:D,3,0)</f>
        <v>4-hydroxybutyl acrylate</v>
      </c>
      <c r="E201" t="str">
        <f>VLOOKUP(B201,[1]물질정보!B:E,4,0)</f>
        <v>C7H12O3</v>
      </c>
      <c r="F201" t="str">
        <f>VLOOKUP(B201,[1]물질정보!B:F,5,0)</f>
        <v>144.17 g/mol</v>
      </c>
      <c r="G201" s="5" t="str">
        <f>VLOOKUP(B201,[1]물질정보!B:G,6,0)</f>
        <v>C=CC(=O)OCCCCO</v>
      </c>
      <c r="H201" t="s">
        <v>79</v>
      </c>
      <c r="I201" t="s">
        <v>88</v>
      </c>
      <c r="J201" t="s">
        <v>89</v>
      </c>
      <c r="K201" t="s">
        <v>90</v>
      </c>
      <c r="L201" t="s">
        <v>29</v>
      </c>
      <c r="M201" t="s">
        <v>91</v>
      </c>
      <c r="N201" t="s">
        <v>29</v>
      </c>
      <c r="O201" t="s">
        <v>29</v>
      </c>
      <c r="P201" t="s">
        <v>29</v>
      </c>
      <c r="Q201" t="s">
        <v>29</v>
      </c>
      <c r="R201" t="s">
        <v>32</v>
      </c>
      <c r="S201" t="s">
        <v>29</v>
      </c>
      <c r="T201" t="s">
        <v>40</v>
      </c>
      <c r="U201" t="s">
        <v>92</v>
      </c>
      <c r="V201" s="6" t="s">
        <v>35</v>
      </c>
      <c r="W201" t="s">
        <v>93</v>
      </c>
      <c r="X201" t="s">
        <v>29</v>
      </c>
      <c r="Y201" s="6" t="s">
        <v>89</v>
      </c>
    </row>
    <row r="202" spans="2:25" x14ac:dyDescent="0.3">
      <c r="B202" s="5" t="s">
        <v>64</v>
      </c>
      <c r="C202" s="5" t="str">
        <f>VLOOKUP(B202,[1]물질정보!B:C,2,0)</f>
        <v>2478-10-6</v>
      </c>
      <c r="D202" t="str">
        <f>VLOOKUP(B202,[1]물질정보!B:D,3,0)</f>
        <v>4-hydroxybutyl acrylate</v>
      </c>
      <c r="E202" t="str">
        <f>VLOOKUP(B202,[1]물질정보!B:E,4,0)</f>
        <v>C7H12O3</v>
      </c>
      <c r="F202" t="str">
        <f>VLOOKUP(B202,[1]물질정보!B:F,5,0)</f>
        <v>144.17 g/mol</v>
      </c>
      <c r="G202" s="5" t="str">
        <f>VLOOKUP(B202,[1]물질정보!B:G,6,0)</f>
        <v>C=CC(=O)OCCCCO</v>
      </c>
      <c r="H202" t="s">
        <v>79</v>
      </c>
      <c r="I202" t="s">
        <v>88</v>
      </c>
      <c r="J202" t="s">
        <v>89</v>
      </c>
      <c r="K202" t="s">
        <v>90</v>
      </c>
      <c r="L202" t="s">
        <v>29</v>
      </c>
      <c r="M202" t="s">
        <v>91</v>
      </c>
      <c r="N202" t="s">
        <v>29</v>
      </c>
      <c r="O202" t="s">
        <v>29</v>
      </c>
      <c r="P202" t="s">
        <v>29</v>
      </c>
      <c r="Q202" t="s">
        <v>29</v>
      </c>
      <c r="R202" t="s">
        <v>32</v>
      </c>
      <c r="S202" t="s">
        <v>29</v>
      </c>
      <c r="T202" t="s">
        <v>40</v>
      </c>
      <c r="U202" t="s">
        <v>94</v>
      </c>
      <c r="V202" s="6" t="s">
        <v>35</v>
      </c>
      <c r="W202" t="s">
        <v>93</v>
      </c>
      <c r="X202" t="s">
        <v>29</v>
      </c>
      <c r="Y202" s="6" t="s">
        <v>89</v>
      </c>
    </row>
    <row r="203" spans="2:25" x14ac:dyDescent="0.3">
      <c r="B203" s="5" t="s">
        <v>64</v>
      </c>
      <c r="C203" s="5" t="str">
        <f>VLOOKUP(B203,[1]물질정보!B:C,2,0)</f>
        <v>2478-10-6</v>
      </c>
      <c r="D203" t="str">
        <f>VLOOKUP(B203,[1]물질정보!B:D,3,0)</f>
        <v>4-hydroxybutyl acrylate</v>
      </c>
      <c r="E203" t="str">
        <f>VLOOKUP(B203,[1]물질정보!B:E,4,0)</f>
        <v>C7H12O3</v>
      </c>
      <c r="F203" t="str">
        <f>VLOOKUP(B203,[1]물질정보!B:F,5,0)</f>
        <v>144.17 g/mol</v>
      </c>
      <c r="G203" s="5" t="str">
        <f>VLOOKUP(B203,[1]물질정보!B:G,6,0)</f>
        <v>C=CC(=O)OCCCCO</v>
      </c>
      <c r="H203" t="s">
        <v>79</v>
      </c>
      <c r="I203" t="s">
        <v>88</v>
      </c>
      <c r="J203" t="s">
        <v>89</v>
      </c>
      <c r="K203" t="s">
        <v>90</v>
      </c>
      <c r="L203" t="s">
        <v>29</v>
      </c>
      <c r="M203" t="s">
        <v>91</v>
      </c>
      <c r="N203" t="s">
        <v>29</v>
      </c>
      <c r="O203" t="s">
        <v>29</v>
      </c>
      <c r="P203" t="s">
        <v>29</v>
      </c>
      <c r="Q203" t="s">
        <v>29</v>
      </c>
      <c r="R203" t="s">
        <v>32</v>
      </c>
      <c r="S203" t="s">
        <v>29</v>
      </c>
      <c r="T203" t="s">
        <v>40</v>
      </c>
      <c r="U203" t="s">
        <v>95</v>
      </c>
      <c r="V203" s="6" t="s">
        <v>35</v>
      </c>
      <c r="W203" t="s">
        <v>93</v>
      </c>
      <c r="X203" t="s">
        <v>29</v>
      </c>
      <c r="Y203" s="6" t="s">
        <v>89</v>
      </c>
    </row>
    <row r="204" spans="2:25" x14ac:dyDescent="0.3">
      <c r="B204" s="5" t="s">
        <v>64</v>
      </c>
      <c r="C204" s="5" t="str">
        <f>VLOOKUP(B204,[1]물질정보!B:C,2,0)</f>
        <v>2478-10-6</v>
      </c>
      <c r="D204" t="str">
        <f>VLOOKUP(B204,[1]물질정보!B:D,3,0)</f>
        <v>4-hydroxybutyl acrylate</v>
      </c>
      <c r="E204" t="str">
        <f>VLOOKUP(B204,[1]물질정보!B:E,4,0)</f>
        <v>C7H12O3</v>
      </c>
      <c r="F204" t="str">
        <f>VLOOKUP(B204,[1]물질정보!B:F,5,0)</f>
        <v>144.17 g/mol</v>
      </c>
      <c r="G204" s="5" t="str">
        <f>VLOOKUP(B204,[1]물질정보!B:G,6,0)</f>
        <v>C=CC(=O)OCCCCO</v>
      </c>
      <c r="H204" t="s">
        <v>79</v>
      </c>
      <c r="I204" t="s">
        <v>88</v>
      </c>
      <c r="J204" t="s">
        <v>89</v>
      </c>
      <c r="K204" t="s">
        <v>90</v>
      </c>
      <c r="L204" t="s">
        <v>29</v>
      </c>
      <c r="M204" t="s">
        <v>91</v>
      </c>
      <c r="N204" t="s">
        <v>29</v>
      </c>
      <c r="O204" t="s">
        <v>29</v>
      </c>
      <c r="P204" t="s">
        <v>29</v>
      </c>
      <c r="Q204" t="s">
        <v>29</v>
      </c>
      <c r="R204" t="s">
        <v>32</v>
      </c>
      <c r="S204" t="s">
        <v>29</v>
      </c>
      <c r="T204" t="s">
        <v>40</v>
      </c>
      <c r="U204" t="s">
        <v>96</v>
      </c>
      <c r="V204" s="6" t="s">
        <v>35</v>
      </c>
      <c r="W204" t="s">
        <v>93</v>
      </c>
      <c r="X204" t="s">
        <v>29</v>
      </c>
      <c r="Y204" s="6" t="s">
        <v>89</v>
      </c>
    </row>
    <row r="205" spans="2:25" x14ac:dyDescent="0.3">
      <c r="B205" s="5" t="s">
        <v>64</v>
      </c>
      <c r="C205" s="5" t="str">
        <f>VLOOKUP(B205,[1]물질정보!B:C,2,0)</f>
        <v>2478-10-6</v>
      </c>
      <c r="D205" t="str">
        <f>VLOOKUP(B205,[1]물질정보!B:D,3,0)</f>
        <v>4-hydroxybutyl acrylate</v>
      </c>
      <c r="E205" t="str">
        <f>VLOOKUP(B205,[1]물질정보!B:E,4,0)</f>
        <v>C7H12O3</v>
      </c>
      <c r="F205" t="str">
        <f>VLOOKUP(B205,[1]물질정보!B:F,5,0)</f>
        <v>144.17 g/mol</v>
      </c>
      <c r="G205" s="5" t="str">
        <f>VLOOKUP(B205,[1]물질정보!B:G,6,0)</f>
        <v>C=CC(=O)OCCCCO</v>
      </c>
      <c r="H205" t="s">
        <v>79</v>
      </c>
      <c r="I205" t="s">
        <v>97</v>
      </c>
      <c r="J205" t="s">
        <v>98</v>
      </c>
      <c r="K205" t="s">
        <v>99</v>
      </c>
      <c r="L205" t="s">
        <v>29</v>
      </c>
      <c r="M205" t="s">
        <v>100</v>
      </c>
      <c r="N205" t="s">
        <v>101</v>
      </c>
      <c r="O205" t="s">
        <v>29</v>
      </c>
      <c r="P205" t="s">
        <v>29</v>
      </c>
      <c r="Q205" t="s">
        <v>29</v>
      </c>
      <c r="R205" t="s">
        <v>32</v>
      </c>
      <c r="S205" t="s">
        <v>29</v>
      </c>
      <c r="T205" t="s">
        <v>40</v>
      </c>
      <c r="U205" t="s">
        <v>102</v>
      </c>
      <c r="V205" s="6" t="s">
        <v>35</v>
      </c>
      <c r="W205" t="s">
        <v>101</v>
      </c>
      <c r="X205" t="s">
        <v>29</v>
      </c>
      <c r="Y205" s="6" t="s">
        <v>98</v>
      </c>
    </row>
    <row r="206" spans="2:25" x14ac:dyDescent="0.3">
      <c r="B206" s="5" t="s">
        <v>64</v>
      </c>
      <c r="C206" s="5" t="str">
        <f>VLOOKUP(B206,[1]물질정보!B:C,2,0)</f>
        <v>2478-10-6</v>
      </c>
      <c r="D206" t="str">
        <f>VLOOKUP(B206,[1]물질정보!B:D,3,0)</f>
        <v>4-hydroxybutyl acrylate</v>
      </c>
      <c r="E206" t="str">
        <f>VLOOKUP(B206,[1]물질정보!B:E,4,0)</f>
        <v>C7H12O3</v>
      </c>
      <c r="F206" t="str">
        <f>VLOOKUP(B206,[1]물질정보!B:F,5,0)</f>
        <v>144.17 g/mol</v>
      </c>
      <c r="G206" s="5" t="str">
        <f>VLOOKUP(B206,[1]물질정보!B:G,6,0)</f>
        <v>C=CC(=O)OCCCCO</v>
      </c>
      <c r="H206" t="s">
        <v>79</v>
      </c>
      <c r="I206" t="s">
        <v>97</v>
      </c>
      <c r="J206" t="s">
        <v>98</v>
      </c>
      <c r="K206" t="s">
        <v>99</v>
      </c>
      <c r="L206" t="s">
        <v>29</v>
      </c>
      <c r="M206" t="s">
        <v>100</v>
      </c>
      <c r="N206" t="s">
        <v>101</v>
      </c>
      <c r="O206" t="s">
        <v>29</v>
      </c>
      <c r="P206" t="s">
        <v>29</v>
      </c>
      <c r="Q206" t="s">
        <v>29</v>
      </c>
      <c r="R206" t="s">
        <v>32</v>
      </c>
      <c r="S206" t="s">
        <v>29</v>
      </c>
      <c r="T206" t="s">
        <v>40</v>
      </c>
      <c r="U206" t="s">
        <v>103</v>
      </c>
      <c r="V206" s="6" t="s">
        <v>35</v>
      </c>
      <c r="W206" t="s">
        <v>101</v>
      </c>
      <c r="X206" t="s">
        <v>29</v>
      </c>
      <c r="Y206" s="6" t="s">
        <v>98</v>
      </c>
    </row>
    <row r="207" spans="2:25" x14ac:dyDescent="0.3">
      <c r="B207" s="5" t="s">
        <v>64</v>
      </c>
      <c r="C207" s="5" t="str">
        <f>VLOOKUP(B207,[1]물질정보!B:C,2,0)</f>
        <v>2478-10-6</v>
      </c>
      <c r="D207" t="str">
        <f>VLOOKUP(B207,[1]물질정보!B:D,3,0)</f>
        <v>4-hydroxybutyl acrylate</v>
      </c>
      <c r="E207" t="str">
        <f>VLOOKUP(B207,[1]물질정보!B:E,4,0)</f>
        <v>C7H12O3</v>
      </c>
      <c r="F207" t="str">
        <f>VLOOKUP(B207,[1]물질정보!B:F,5,0)</f>
        <v>144.17 g/mol</v>
      </c>
      <c r="G207" s="5" t="str">
        <f>VLOOKUP(B207,[1]물질정보!B:G,6,0)</f>
        <v>C=CC(=O)OCCCCO</v>
      </c>
      <c r="H207" t="s">
        <v>79</v>
      </c>
      <c r="I207" t="s">
        <v>97</v>
      </c>
      <c r="J207" t="s">
        <v>98</v>
      </c>
      <c r="K207" t="s">
        <v>99</v>
      </c>
      <c r="L207" t="s">
        <v>29</v>
      </c>
      <c r="M207" t="s">
        <v>100</v>
      </c>
      <c r="N207" t="s">
        <v>101</v>
      </c>
      <c r="O207" t="s">
        <v>29</v>
      </c>
      <c r="P207" t="s">
        <v>29</v>
      </c>
      <c r="Q207" t="s">
        <v>29</v>
      </c>
      <c r="R207" t="s">
        <v>32</v>
      </c>
      <c r="S207" t="s">
        <v>29</v>
      </c>
      <c r="T207" t="s">
        <v>40</v>
      </c>
      <c r="U207" t="s">
        <v>104</v>
      </c>
      <c r="V207" s="6" t="s">
        <v>35</v>
      </c>
      <c r="W207" t="s">
        <v>101</v>
      </c>
      <c r="X207" t="s">
        <v>29</v>
      </c>
      <c r="Y207" s="6" t="s">
        <v>98</v>
      </c>
    </row>
    <row r="208" spans="2:25" x14ac:dyDescent="0.3">
      <c r="B208" s="5" t="s">
        <v>64</v>
      </c>
      <c r="C208" s="5" t="str">
        <f>VLOOKUP(B208,[1]물질정보!B:C,2,0)</f>
        <v>2478-10-6</v>
      </c>
      <c r="D208" t="str">
        <f>VLOOKUP(B208,[1]물질정보!B:D,3,0)</f>
        <v>4-hydroxybutyl acrylate</v>
      </c>
      <c r="E208" t="str">
        <f>VLOOKUP(B208,[1]물질정보!B:E,4,0)</f>
        <v>C7H12O3</v>
      </c>
      <c r="F208" t="str">
        <f>VLOOKUP(B208,[1]물질정보!B:F,5,0)</f>
        <v>144.17 g/mol</v>
      </c>
      <c r="G208" s="5" t="str">
        <f>VLOOKUP(B208,[1]물질정보!B:G,6,0)</f>
        <v>C=CC(=O)OCCCCO</v>
      </c>
      <c r="H208" t="s">
        <v>79</v>
      </c>
      <c r="I208" t="s">
        <v>97</v>
      </c>
      <c r="J208" t="s">
        <v>98</v>
      </c>
      <c r="K208" t="s">
        <v>29</v>
      </c>
      <c r="L208" t="s">
        <v>29</v>
      </c>
      <c r="M208" t="s">
        <v>100</v>
      </c>
      <c r="N208" t="s">
        <v>101</v>
      </c>
      <c r="O208" t="s">
        <v>29</v>
      </c>
      <c r="P208" t="s">
        <v>29</v>
      </c>
      <c r="Q208" t="s">
        <v>29</v>
      </c>
      <c r="R208" t="s">
        <v>32</v>
      </c>
      <c r="S208" t="s">
        <v>29</v>
      </c>
      <c r="T208" t="s">
        <v>66</v>
      </c>
      <c r="U208" t="s">
        <v>105</v>
      </c>
      <c r="V208" s="6" t="s">
        <v>35</v>
      </c>
      <c r="W208" t="s">
        <v>101</v>
      </c>
      <c r="X208" t="s">
        <v>29</v>
      </c>
      <c r="Y208" s="6" t="s">
        <v>98</v>
      </c>
    </row>
    <row r="209" spans="2:25" x14ac:dyDescent="0.3">
      <c r="B209" s="5" t="s">
        <v>64</v>
      </c>
      <c r="C209" s="5" t="str">
        <f>VLOOKUP(B209,[1]물질정보!B:C,2,0)</f>
        <v>2478-10-6</v>
      </c>
      <c r="D209" t="str">
        <f>VLOOKUP(B209,[1]물질정보!B:D,3,0)</f>
        <v>4-hydroxybutyl acrylate</v>
      </c>
      <c r="E209" t="str">
        <f>VLOOKUP(B209,[1]물질정보!B:E,4,0)</f>
        <v>C7H12O3</v>
      </c>
      <c r="F209" t="str">
        <f>VLOOKUP(B209,[1]물질정보!B:F,5,0)</f>
        <v>144.17 g/mol</v>
      </c>
      <c r="G209" s="5" t="str">
        <f>VLOOKUP(B209,[1]물질정보!B:G,6,0)</f>
        <v>C=CC(=O)OCCCCO</v>
      </c>
      <c r="H209" t="s">
        <v>79</v>
      </c>
      <c r="I209" t="s">
        <v>97</v>
      </c>
      <c r="J209" t="s">
        <v>98</v>
      </c>
      <c r="K209" t="s">
        <v>99</v>
      </c>
      <c r="L209" t="s">
        <v>29</v>
      </c>
      <c r="M209" t="s">
        <v>100</v>
      </c>
      <c r="N209" t="s">
        <v>106</v>
      </c>
      <c r="O209" t="s">
        <v>29</v>
      </c>
      <c r="P209" t="s">
        <v>29</v>
      </c>
      <c r="Q209" t="s">
        <v>29</v>
      </c>
      <c r="R209" t="s">
        <v>32</v>
      </c>
      <c r="S209" t="s">
        <v>29</v>
      </c>
      <c r="T209" t="s">
        <v>40</v>
      </c>
      <c r="U209" t="s">
        <v>107</v>
      </c>
      <c r="V209" s="6" t="s">
        <v>35</v>
      </c>
      <c r="W209" t="s">
        <v>106</v>
      </c>
      <c r="X209" t="s">
        <v>29</v>
      </c>
      <c r="Y209" s="6" t="s">
        <v>98</v>
      </c>
    </row>
    <row r="210" spans="2:25" x14ac:dyDescent="0.3">
      <c r="B210" s="5" t="s">
        <v>64</v>
      </c>
      <c r="C210" s="5" t="str">
        <f>VLOOKUP(B210,[1]물질정보!B:C,2,0)</f>
        <v>2478-10-6</v>
      </c>
      <c r="D210" t="str">
        <f>VLOOKUP(B210,[1]물질정보!B:D,3,0)</f>
        <v>4-hydroxybutyl acrylate</v>
      </c>
      <c r="E210" t="str">
        <f>VLOOKUP(B210,[1]물질정보!B:E,4,0)</f>
        <v>C7H12O3</v>
      </c>
      <c r="F210" t="str">
        <f>VLOOKUP(B210,[1]물질정보!B:F,5,0)</f>
        <v>144.17 g/mol</v>
      </c>
      <c r="G210" s="5" t="str">
        <f>VLOOKUP(B210,[1]물질정보!B:G,6,0)</f>
        <v>C=CC(=O)OCCCCO</v>
      </c>
      <c r="H210" t="s">
        <v>79</v>
      </c>
      <c r="I210" t="s">
        <v>97</v>
      </c>
      <c r="J210" t="s">
        <v>98</v>
      </c>
      <c r="K210" t="s">
        <v>99</v>
      </c>
      <c r="L210" t="s">
        <v>29</v>
      </c>
      <c r="M210" t="s">
        <v>100</v>
      </c>
      <c r="N210" t="s">
        <v>106</v>
      </c>
      <c r="O210" t="s">
        <v>29</v>
      </c>
      <c r="P210" t="s">
        <v>29</v>
      </c>
      <c r="Q210" t="s">
        <v>29</v>
      </c>
      <c r="R210" t="s">
        <v>32</v>
      </c>
      <c r="S210" t="s">
        <v>29</v>
      </c>
      <c r="T210" t="s">
        <v>40</v>
      </c>
      <c r="U210" t="s">
        <v>108</v>
      </c>
      <c r="V210" s="6" t="s">
        <v>35</v>
      </c>
      <c r="W210" t="s">
        <v>106</v>
      </c>
      <c r="X210" t="s">
        <v>29</v>
      </c>
      <c r="Y210" s="6" t="s">
        <v>98</v>
      </c>
    </row>
    <row r="211" spans="2:25" x14ac:dyDescent="0.3">
      <c r="B211" s="5" t="s">
        <v>64</v>
      </c>
      <c r="C211" s="5" t="str">
        <f>VLOOKUP(B211,[1]물질정보!B:C,2,0)</f>
        <v>2478-10-6</v>
      </c>
      <c r="D211" t="str">
        <f>VLOOKUP(B211,[1]물질정보!B:D,3,0)</f>
        <v>4-hydroxybutyl acrylate</v>
      </c>
      <c r="E211" t="str">
        <f>VLOOKUP(B211,[1]물질정보!B:E,4,0)</f>
        <v>C7H12O3</v>
      </c>
      <c r="F211" t="str">
        <f>VLOOKUP(B211,[1]물질정보!B:F,5,0)</f>
        <v>144.17 g/mol</v>
      </c>
      <c r="G211" s="5" t="str">
        <f>VLOOKUP(B211,[1]물질정보!B:G,6,0)</f>
        <v>C=CC(=O)OCCCCO</v>
      </c>
      <c r="H211" t="s">
        <v>79</v>
      </c>
      <c r="I211" t="s">
        <v>97</v>
      </c>
      <c r="J211" t="s">
        <v>98</v>
      </c>
      <c r="K211" t="s">
        <v>99</v>
      </c>
      <c r="L211" t="s">
        <v>29</v>
      </c>
      <c r="M211" t="s">
        <v>100</v>
      </c>
      <c r="N211" t="s">
        <v>106</v>
      </c>
      <c r="O211" t="s">
        <v>29</v>
      </c>
      <c r="P211" t="s">
        <v>29</v>
      </c>
      <c r="Q211" t="s">
        <v>29</v>
      </c>
      <c r="R211" t="s">
        <v>32</v>
      </c>
      <c r="S211" t="s">
        <v>29</v>
      </c>
      <c r="T211" t="s">
        <v>40</v>
      </c>
      <c r="U211" t="s">
        <v>109</v>
      </c>
      <c r="V211" s="6" t="s">
        <v>35</v>
      </c>
      <c r="W211" t="s">
        <v>106</v>
      </c>
      <c r="X211" t="s">
        <v>29</v>
      </c>
      <c r="Y211" s="6" t="s">
        <v>98</v>
      </c>
    </row>
    <row r="212" spans="2:25" x14ac:dyDescent="0.3">
      <c r="B212" s="5" t="s">
        <v>64</v>
      </c>
      <c r="C212" s="5" t="str">
        <f>VLOOKUP(B212,[1]물질정보!B:C,2,0)</f>
        <v>2478-10-6</v>
      </c>
      <c r="D212" t="str">
        <f>VLOOKUP(B212,[1]물질정보!B:D,3,0)</f>
        <v>4-hydroxybutyl acrylate</v>
      </c>
      <c r="E212" t="str">
        <f>VLOOKUP(B212,[1]물질정보!B:E,4,0)</f>
        <v>C7H12O3</v>
      </c>
      <c r="F212" t="str">
        <f>VLOOKUP(B212,[1]물질정보!B:F,5,0)</f>
        <v>144.17 g/mol</v>
      </c>
      <c r="G212" s="5" t="str">
        <f>VLOOKUP(B212,[1]물질정보!B:G,6,0)</f>
        <v>C=CC(=O)OCCCCO</v>
      </c>
      <c r="H212" t="s">
        <v>79</v>
      </c>
      <c r="I212" t="s">
        <v>97</v>
      </c>
      <c r="J212" t="s">
        <v>98</v>
      </c>
      <c r="K212" t="s">
        <v>99</v>
      </c>
      <c r="L212" t="s">
        <v>29</v>
      </c>
      <c r="M212" t="s">
        <v>100</v>
      </c>
      <c r="N212" t="s">
        <v>106</v>
      </c>
      <c r="O212" t="s">
        <v>29</v>
      </c>
      <c r="P212" t="s">
        <v>29</v>
      </c>
      <c r="Q212" t="s">
        <v>29</v>
      </c>
      <c r="R212" t="s">
        <v>32</v>
      </c>
      <c r="S212" t="s">
        <v>29</v>
      </c>
      <c r="T212" t="s">
        <v>40</v>
      </c>
      <c r="U212" t="s">
        <v>110</v>
      </c>
      <c r="V212" s="6" t="s">
        <v>35</v>
      </c>
      <c r="W212" t="s">
        <v>106</v>
      </c>
      <c r="X212" t="s">
        <v>29</v>
      </c>
      <c r="Y212" s="6" t="s">
        <v>98</v>
      </c>
    </row>
    <row r="213" spans="2:25" x14ac:dyDescent="0.3">
      <c r="B213" s="5" t="s">
        <v>64</v>
      </c>
      <c r="C213" s="5" t="str">
        <f>VLOOKUP(B213,[1]물질정보!B:C,2,0)</f>
        <v>2478-10-6</v>
      </c>
      <c r="D213" t="str">
        <f>VLOOKUP(B213,[1]물질정보!B:D,3,0)</f>
        <v>4-hydroxybutyl acrylate</v>
      </c>
      <c r="E213" t="str">
        <f>VLOOKUP(B213,[1]물질정보!B:E,4,0)</f>
        <v>C7H12O3</v>
      </c>
      <c r="F213" t="str">
        <f>VLOOKUP(B213,[1]물질정보!B:F,5,0)</f>
        <v>144.17 g/mol</v>
      </c>
      <c r="G213" s="5" t="str">
        <f>VLOOKUP(B213,[1]물질정보!B:G,6,0)</f>
        <v>C=CC(=O)OCCCCO</v>
      </c>
      <c r="H213" t="s">
        <v>79</v>
      </c>
      <c r="I213" t="s">
        <v>111</v>
      </c>
      <c r="J213" t="s">
        <v>824</v>
      </c>
      <c r="K213" t="s">
        <v>90</v>
      </c>
      <c r="L213" t="s">
        <v>29</v>
      </c>
      <c r="M213" t="s">
        <v>122</v>
      </c>
      <c r="N213" t="s">
        <v>29</v>
      </c>
      <c r="O213" t="s">
        <v>29</v>
      </c>
      <c r="P213" t="s">
        <v>29</v>
      </c>
      <c r="Q213" t="s">
        <v>29</v>
      </c>
      <c r="R213" t="s">
        <v>32</v>
      </c>
      <c r="S213" t="s">
        <v>29</v>
      </c>
      <c r="T213" t="s">
        <v>40</v>
      </c>
      <c r="U213" t="s">
        <v>121</v>
      </c>
      <c r="V213" s="6" t="s">
        <v>35</v>
      </c>
      <c r="W213" t="s">
        <v>112</v>
      </c>
      <c r="X213" t="s">
        <v>29</v>
      </c>
      <c r="Y213" s="6" t="s">
        <v>753</v>
      </c>
    </row>
    <row r="214" spans="2:25" x14ac:dyDescent="0.3">
      <c r="B214" s="5" t="s">
        <v>64</v>
      </c>
      <c r="C214" s="5" t="str">
        <f>VLOOKUP(B214,[1]물질정보!B:C,2,0)</f>
        <v>2478-10-6</v>
      </c>
      <c r="D214" t="str">
        <f>VLOOKUP(B214,[1]물질정보!B:D,3,0)</f>
        <v>4-hydroxybutyl acrylate</v>
      </c>
      <c r="E214" t="str">
        <f>VLOOKUP(B214,[1]물질정보!B:E,4,0)</f>
        <v>C7H12O3</v>
      </c>
      <c r="F214" t="str">
        <f>VLOOKUP(B214,[1]물질정보!B:F,5,0)</f>
        <v>144.17 g/mol</v>
      </c>
      <c r="G214" s="5" t="str">
        <f>VLOOKUP(B214,[1]물질정보!B:G,6,0)</f>
        <v>C=CC(=O)OCCCCO</v>
      </c>
      <c r="H214" t="s">
        <v>79</v>
      </c>
      <c r="I214" t="s">
        <v>111</v>
      </c>
      <c r="J214" t="s">
        <v>824</v>
      </c>
      <c r="K214" t="s">
        <v>90</v>
      </c>
      <c r="L214" t="s">
        <v>29</v>
      </c>
      <c r="M214" t="s">
        <v>122</v>
      </c>
      <c r="N214" t="s">
        <v>29</v>
      </c>
      <c r="O214" t="s">
        <v>29</v>
      </c>
      <c r="P214" t="s">
        <v>29</v>
      </c>
      <c r="Q214" t="s">
        <v>29</v>
      </c>
      <c r="R214" t="s">
        <v>32</v>
      </c>
      <c r="S214" t="s">
        <v>29</v>
      </c>
      <c r="T214" t="s">
        <v>40</v>
      </c>
      <c r="U214" t="s">
        <v>114</v>
      </c>
      <c r="V214" s="6" t="s">
        <v>35</v>
      </c>
      <c r="W214" t="s">
        <v>112</v>
      </c>
      <c r="X214" t="s">
        <v>29</v>
      </c>
      <c r="Y214" s="6" t="s">
        <v>753</v>
      </c>
    </row>
    <row r="215" spans="2:25" x14ac:dyDescent="0.3">
      <c r="B215" s="5" t="s">
        <v>64</v>
      </c>
      <c r="C215" s="5" t="str">
        <f>VLOOKUP(B215,[1]물질정보!B:C,2,0)</f>
        <v>2478-10-6</v>
      </c>
      <c r="D215" t="str">
        <f>VLOOKUP(B215,[1]물질정보!B:D,3,0)</f>
        <v>4-hydroxybutyl acrylate</v>
      </c>
      <c r="E215" t="str">
        <f>VLOOKUP(B215,[1]물질정보!B:E,4,0)</f>
        <v>C7H12O3</v>
      </c>
      <c r="F215" t="str">
        <f>VLOOKUP(B215,[1]물질정보!B:F,5,0)</f>
        <v>144.17 g/mol</v>
      </c>
      <c r="G215" s="5" t="str">
        <f>VLOOKUP(B215,[1]물질정보!B:G,6,0)</f>
        <v>C=CC(=O)OCCCCO</v>
      </c>
      <c r="H215" t="s">
        <v>79</v>
      </c>
      <c r="I215" t="s">
        <v>111</v>
      </c>
      <c r="J215" t="s">
        <v>824</v>
      </c>
      <c r="K215" t="s">
        <v>90</v>
      </c>
      <c r="L215" t="s">
        <v>29</v>
      </c>
      <c r="M215" t="s">
        <v>122</v>
      </c>
      <c r="N215" t="s">
        <v>29</v>
      </c>
      <c r="O215" t="s">
        <v>29</v>
      </c>
      <c r="P215" t="s">
        <v>29</v>
      </c>
      <c r="Q215" t="s">
        <v>29</v>
      </c>
      <c r="R215" t="s">
        <v>32</v>
      </c>
      <c r="S215" t="s">
        <v>29</v>
      </c>
      <c r="T215" t="s">
        <v>40</v>
      </c>
      <c r="U215" t="s">
        <v>115</v>
      </c>
      <c r="V215" s="6" t="s">
        <v>35</v>
      </c>
      <c r="W215" t="s">
        <v>112</v>
      </c>
      <c r="X215" t="s">
        <v>29</v>
      </c>
      <c r="Y215" s="6" t="s">
        <v>753</v>
      </c>
    </row>
    <row r="216" spans="2:25" x14ac:dyDescent="0.3">
      <c r="B216" s="5" t="s">
        <v>64</v>
      </c>
      <c r="C216" s="5" t="str">
        <f>VLOOKUP(B216,[1]물질정보!B:C,2,0)</f>
        <v>2478-10-6</v>
      </c>
      <c r="D216" t="str">
        <f>VLOOKUP(B216,[1]물질정보!B:D,3,0)</f>
        <v>4-hydroxybutyl acrylate</v>
      </c>
      <c r="E216" t="str">
        <f>VLOOKUP(B216,[1]물질정보!B:E,4,0)</f>
        <v>C7H12O3</v>
      </c>
      <c r="F216" t="str">
        <f>VLOOKUP(B216,[1]물질정보!B:F,5,0)</f>
        <v>144.17 g/mol</v>
      </c>
      <c r="G216" s="5" t="str">
        <f>VLOOKUP(B216,[1]물질정보!B:G,6,0)</f>
        <v>C=CC(=O)OCCCCO</v>
      </c>
      <c r="H216" t="s">
        <v>79</v>
      </c>
      <c r="I216" t="s">
        <v>111</v>
      </c>
      <c r="J216" t="s">
        <v>824</v>
      </c>
      <c r="K216" t="s">
        <v>29</v>
      </c>
      <c r="L216" t="s">
        <v>29</v>
      </c>
      <c r="M216" t="s">
        <v>122</v>
      </c>
      <c r="N216" t="s">
        <v>29</v>
      </c>
      <c r="O216" t="s">
        <v>29</v>
      </c>
      <c r="P216" t="s">
        <v>29</v>
      </c>
      <c r="Q216" t="s">
        <v>29</v>
      </c>
      <c r="R216" t="s">
        <v>32</v>
      </c>
      <c r="S216" t="s">
        <v>29</v>
      </c>
      <c r="T216" t="s">
        <v>66</v>
      </c>
      <c r="U216" t="s">
        <v>116</v>
      </c>
      <c r="V216" s="6" t="s">
        <v>35</v>
      </c>
      <c r="W216" t="s">
        <v>112</v>
      </c>
      <c r="X216" t="s">
        <v>29</v>
      </c>
      <c r="Y216" s="6" t="s">
        <v>753</v>
      </c>
    </row>
    <row r="217" spans="2:25" x14ac:dyDescent="0.3">
      <c r="B217" s="5" t="s">
        <v>64</v>
      </c>
      <c r="C217" s="5" t="str">
        <f>VLOOKUP(B217,[1]물질정보!B:C,2,0)</f>
        <v>2478-10-6</v>
      </c>
      <c r="D217" t="str">
        <f>VLOOKUP(B217,[1]물질정보!B:D,3,0)</f>
        <v>4-hydroxybutyl acrylate</v>
      </c>
      <c r="E217" t="str">
        <f>VLOOKUP(B217,[1]물질정보!B:E,4,0)</f>
        <v>C7H12O3</v>
      </c>
      <c r="F217" t="str">
        <f>VLOOKUP(B217,[1]물질정보!B:F,5,0)</f>
        <v>144.17 g/mol</v>
      </c>
      <c r="G217" s="5" t="str">
        <f>VLOOKUP(B217,[1]물질정보!B:G,6,0)</f>
        <v>C=CC(=O)OCCCCO</v>
      </c>
      <c r="H217" t="s">
        <v>79</v>
      </c>
      <c r="I217" t="s">
        <v>685</v>
      </c>
      <c r="J217" t="s">
        <v>117</v>
      </c>
      <c r="K217" t="s">
        <v>123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t="s">
        <v>32</v>
      </c>
      <c r="S217" t="s">
        <v>29</v>
      </c>
      <c r="T217" t="s">
        <v>29</v>
      </c>
      <c r="U217" t="s">
        <v>119</v>
      </c>
      <c r="V217" s="6" t="s">
        <v>42</v>
      </c>
      <c r="W217" t="s">
        <v>120</v>
      </c>
      <c r="X217" t="s">
        <v>29</v>
      </c>
      <c r="Y217" s="6" t="s">
        <v>117</v>
      </c>
    </row>
    <row r="218" spans="2:25" x14ac:dyDescent="0.3">
      <c r="B218" s="5" t="s">
        <v>65</v>
      </c>
      <c r="C218" s="5" t="str">
        <f>VLOOKUP(B218,[1]물질정보!B:C,2,0)</f>
        <v>141-32-2</v>
      </c>
      <c r="D218" t="str">
        <f>VLOOKUP(B218,[1]물질정보!B:D,3,0)</f>
        <v>butyl acrylate</v>
      </c>
      <c r="E218" t="str">
        <f>VLOOKUP(B218,[1]물질정보!B:E,4,0)</f>
        <v>C7H12O2</v>
      </c>
      <c r="F218" t="str">
        <f>VLOOKUP(B218,[1]물질정보!B:F,5,0)</f>
        <v>128.169 g/mol</v>
      </c>
      <c r="G218" s="5" t="str">
        <f>VLOOKUP(B218,[1]물질정보!B:G,6,0)</f>
        <v>CCCCOC(=O)C=C</v>
      </c>
      <c r="H218" t="s">
        <v>79</v>
      </c>
      <c r="I218" t="s">
        <v>80</v>
      </c>
      <c r="J218" t="s">
        <v>81</v>
      </c>
      <c r="K218">
        <v>2400</v>
      </c>
      <c r="L218" t="s">
        <v>85</v>
      </c>
      <c r="M218" t="s">
        <v>83</v>
      </c>
      <c r="N218" t="s">
        <v>29</v>
      </c>
      <c r="O218" t="s">
        <v>29</v>
      </c>
      <c r="P218">
        <v>48</v>
      </c>
      <c r="Q218" t="s">
        <v>31</v>
      </c>
      <c r="R218" t="s">
        <v>32</v>
      </c>
      <c r="S218" t="s">
        <v>29</v>
      </c>
      <c r="T218" t="s">
        <v>40</v>
      </c>
      <c r="U218" t="s">
        <v>84</v>
      </c>
      <c r="V218" s="6" t="s">
        <v>35</v>
      </c>
      <c r="W218" t="s">
        <v>83</v>
      </c>
      <c r="X218" t="s">
        <v>29</v>
      </c>
      <c r="Y218" s="6" t="s">
        <v>81</v>
      </c>
    </row>
    <row r="219" spans="2:25" x14ac:dyDescent="0.3">
      <c r="B219" s="5" t="s">
        <v>65</v>
      </c>
      <c r="C219" s="5" t="str">
        <f>VLOOKUP(B219,[1]물질정보!B:C,2,0)</f>
        <v>141-32-2</v>
      </c>
      <c r="D219" t="str">
        <f>VLOOKUP(B219,[1]물질정보!B:D,3,0)</f>
        <v>butyl acrylate</v>
      </c>
      <c r="E219" t="str">
        <f>VLOOKUP(B219,[1]물질정보!B:E,4,0)</f>
        <v>C7H12O2</v>
      </c>
      <c r="F219" t="str">
        <f>VLOOKUP(B219,[1]물질정보!B:F,5,0)</f>
        <v>128.169 g/mol</v>
      </c>
      <c r="G219" s="5" t="str">
        <f>VLOOKUP(B219,[1]물질정보!B:G,6,0)</f>
        <v>CCCCOC(=O)C=C</v>
      </c>
      <c r="H219" t="s">
        <v>79</v>
      </c>
      <c r="I219" t="s">
        <v>80</v>
      </c>
      <c r="J219" t="s">
        <v>81</v>
      </c>
      <c r="K219">
        <v>1200</v>
      </c>
      <c r="L219" t="s">
        <v>85</v>
      </c>
      <c r="M219" t="s">
        <v>86</v>
      </c>
      <c r="N219" t="s">
        <v>29</v>
      </c>
      <c r="O219" t="s">
        <v>29</v>
      </c>
      <c r="P219">
        <v>48</v>
      </c>
      <c r="Q219" t="s">
        <v>31</v>
      </c>
      <c r="R219" t="s">
        <v>32</v>
      </c>
      <c r="S219" t="s">
        <v>29</v>
      </c>
      <c r="T219" t="s">
        <v>40</v>
      </c>
      <c r="U219" t="s">
        <v>87</v>
      </c>
      <c r="V219" s="6" t="s">
        <v>35</v>
      </c>
      <c r="W219" t="s">
        <v>86</v>
      </c>
      <c r="X219" t="s">
        <v>29</v>
      </c>
      <c r="Y219" s="6" t="s">
        <v>81</v>
      </c>
    </row>
    <row r="220" spans="2:25" x14ac:dyDescent="0.3">
      <c r="B220" s="5" t="s">
        <v>65</v>
      </c>
      <c r="C220" s="5" t="str">
        <f>VLOOKUP(B220,[1]물질정보!B:C,2,0)</f>
        <v>141-32-2</v>
      </c>
      <c r="D220" t="str">
        <f>VLOOKUP(B220,[1]물질정보!B:D,3,0)</f>
        <v>butyl acrylate</v>
      </c>
      <c r="E220" t="str">
        <f>VLOOKUP(B220,[1]물질정보!B:E,4,0)</f>
        <v>C7H12O2</v>
      </c>
      <c r="F220" t="str">
        <f>VLOOKUP(B220,[1]물질정보!B:F,5,0)</f>
        <v>128.169 g/mol</v>
      </c>
      <c r="G220" s="5" t="str">
        <f>VLOOKUP(B220,[1]물질정보!B:G,6,0)</f>
        <v>CCCCOC(=O)C=C</v>
      </c>
      <c r="H220" t="s">
        <v>79</v>
      </c>
      <c r="I220" t="s">
        <v>88</v>
      </c>
      <c r="J220" t="s">
        <v>89</v>
      </c>
      <c r="K220" t="s">
        <v>90</v>
      </c>
      <c r="L220" t="s">
        <v>29</v>
      </c>
      <c r="M220" t="s">
        <v>91</v>
      </c>
      <c r="N220" t="s">
        <v>29</v>
      </c>
      <c r="O220" t="s">
        <v>29</v>
      </c>
      <c r="P220" t="s">
        <v>29</v>
      </c>
      <c r="Q220" t="s">
        <v>29</v>
      </c>
      <c r="R220" t="s">
        <v>32</v>
      </c>
      <c r="S220" t="s">
        <v>29</v>
      </c>
      <c r="T220" t="s">
        <v>40</v>
      </c>
      <c r="U220" t="s">
        <v>92</v>
      </c>
      <c r="V220" s="6" t="s">
        <v>35</v>
      </c>
      <c r="W220" t="s">
        <v>93</v>
      </c>
      <c r="X220" t="s">
        <v>29</v>
      </c>
      <c r="Y220" s="6" t="s">
        <v>89</v>
      </c>
    </row>
    <row r="221" spans="2:25" x14ac:dyDescent="0.3">
      <c r="B221" s="5" t="s">
        <v>65</v>
      </c>
      <c r="C221" s="5" t="str">
        <f>VLOOKUP(B221,[1]물질정보!B:C,2,0)</f>
        <v>141-32-2</v>
      </c>
      <c r="D221" t="str">
        <f>VLOOKUP(B221,[1]물질정보!B:D,3,0)</f>
        <v>butyl acrylate</v>
      </c>
      <c r="E221" t="str">
        <f>VLOOKUP(B221,[1]물질정보!B:E,4,0)</f>
        <v>C7H12O2</v>
      </c>
      <c r="F221" t="str">
        <f>VLOOKUP(B221,[1]물질정보!B:F,5,0)</f>
        <v>128.169 g/mol</v>
      </c>
      <c r="G221" s="5" t="str">
        <f>VLOOKUP(B221,[1]물질정보!B:G,6,0)</f>
        <v>CCCCOC(=O)C=C</v>
      </c>
      <c r="H221" t="s">
        <v>79</v>
      </c>
      <c r="I221" t="s">
        <v>88</v>
      </c>
      <c r="J221" t="s">
        <v>89</v>
      </c>
      <c r="K221" t="s">
        <v>90</v>
      </c>
      <c r="L221" t="s">
        <v>29</v>
      </c>
      <c r="M221" t="s">
        <v>91</v>
      </c>
      <c r="N221" t="s">
        <v>29</v>
      </c>
      <c r="O221" t="s">
        <v>29</v>
      </c>
      <c r="P221" t="s">
        <v>29</v>
      </c>
      <c r="Q221" t="s">
        <v>29</v>
      </c>
      <c r="R221" t="s">
        <v>32</v>
      </c>
      <c r="S221" t="s">
        <v>29</v>
      </c>
      <c r="T221" t="s">
        <v>40</v>
      </c>
      <c r="U221" t="s">
        <v>94</v>
      </c>
      <c r="V221" s="6" t="s">
        <v>35</v>
      </c>
      <c r="W221" t="s">
        <v>93</v>
      </c>
      <c r="X221" t="s">
        <v>29</v>
      </c>
      <c r="Y221" s="6" t="s">
        <v>89</v>
      </c>
    </row>
    <row r="222" spans="2:25" x14ac:dyDescent="0.3">
      <c r="B222" s="5" t="s">
        <v>65</v>
      </c>
      <c r="C222" s="5" t="str">
        <f>VLOOKUP(B222,[1]물질정보!B:C,2,0)</f>
        <v>141-32-2</v>
      </c>
      <c r="D222" t="str">
        <f>VLOOKUP(B222,[1]물질정보!B:D,3,0)</f>
        <v>butyl acrylate</v>
      </c>
      <c r="E222" t="str">
        <f>VLOOKUP(B222,[1]물질정보!B:E,4,0)</f>
        <v>C7H12O2</v>
      </c>
      <c r="F222" t="str">
        <f>VLOOKUP(B222,[1]물질정보!B:F,5,0)</f>
        <v>128.169 g/mol</v>
      </c>
      <c r="G222" s="5" t="str">
        <f>VLOOKUP(B222,[1]물질정보!B:G,6,0)</f>
        <v>CCCCOC(=O)C=C</v>
      </c>
      <c r="H222" t="s">
        <v>79</v>
      </c>
      <c r="I222" t="s">
        <v>88</v>
      </c>
      <c r="J222" t="s">
        <v>89</v>
      </c>
      <c r="K222" t="s">
        <v>90</v>
      </c>
      <c r="L222" t="s">
        <v>29</v>
      </c>
      <c r="M222" t="s">
        <v>91</v>
      </c>
      <c r="N222" t="s">
        <v>29</v>
      </c>
      <c r="O222" t="s">
        <v>29</v>
      </c>
      <c r="P222" t="s">
        <v>29</v>
      </c>
      <c r="Q222" t="s">
        <v>29</v>
      </c>
      <c r="R222" t="s">
        <v>32</v>
      </c>
      <c r="S222" t="s">
        <v>29</v>
      </c>
      <c r="T222" t="s">
        <v>40</v>
      </c>
      <c r="U222" t="s">
        <v>95</v>
      </c>
      <c r="V222" s="6" t="s">
        <v>35</v>
      </c>
      <c r="W222" t="s">
        <v>93</v>
      </c>
      <c r="X222" t="s">
        <v>29</v>
      </c>
      <c r="Y222" s="6" t="s">
        <v>89</v>
      </c>
    </row>
    <row r="223" spans="2:25" x14ac:dyDescent="0.3">
      <c r="B223" s="5" t="s">
        <v>65</v>
      </c>
      <c r="C223" s="5" t="str">
        <f>VLOOKUP(B223,[1]물질정보!B:C,2,0)</f>
        <v>141-32-2</v>
      </c>
      <c r="D223" t="str">
        <f>VLOOKUP(B223,[1]물질정보!B:D,3,0)</f>
        <v>butyl acrylate</v>
      </c>
      <c r="E223" t="str">
        <f>VLOOKUP(B223,[1]물질정보!B:E,4,0)</f>
        <v>C7H12O2</v>
      </c>
      <c r="F223" t="str">
        <f>VLOOKUP(B223,[1]물질정보!B:F,5,0)</f>
        <v>128.169 g/mol</v>
      </c>
      <c r="G223" s="5" t="str">
        <f>VLOOKUP(B223,[1]물질정보!B:G,6,0)</f>
        <v>CCCCOC(=O)C=C</v>
      </c>
      <c r="H223" t="s">
        <v>79</v>
      </c>
      <c r="I223" t="s">
        <v>88</v>
      </c>
      <c r="J223" t="s">
        <v>89</v>
      </c>
      <c r="K223" t="s">
        <v>90</v>
      </c>
      <c r="L223" t="s">
        <v>29</v>
      </c>
      <c r="M223" t="s">
        <v>91</v>
      </c>
      <c r="N223" t="s">
        <v>29</v>
      </c>
      <c r="O223" t="s">
        <v>29</v>
      </c>
      <c r="P223" t="s">
        <v>29</v>
      </c>
      <c r="Q223" t="s">
        <v>29</v>
      </c>
      <c r="R223" t="s">
        <v>32</v>
      </c>
      <c r="S223" t="s">
        <v>29</v>
      </c>
      <c r="T223" t="s">
        <v>40</v>
      </c>
      <c r="U223" t="s">
        <v>96</v>
      </c>
      <c r="V223" s="6" t="s">
        <v>35</v>
      </c>
      <c r="W223" t="s">
        <v>93</v>
      </c>
      <c r="X223" t="s">
        <v>29</v>
      </c>
      <c r="Y223" s="6" t="s">
        <v>89</v>
      </c>
    </row>
    <row r="224" spans="2:25" x14ac:dyDescent="0.3">
      <c r="B224" s="5" t="s">
        <v>65</v>
      </c>
      <c r="C224" s="5" t="str">
        <f>VLOOKUP(B224,[1]물질정보!B:C,2,0)</f>
        <v>141-32-2</v>
      </c>
      <c r="D224" t="str">
        <f>VLOOKUP(B224,[1]물질정보!B:D,3,0)</f>
        <v>butyl acrylate</v>
      </c>
      <c r="E224" t="str">
        <f>VLOOKUP(B224,[1]물질정보!B:E,4,0)</f>
        <v>C7H12O2</v>
      </c>
      <c r="F224" t="str">
        <f>VLOOKUP(B224,[1]물질정보!B:F,5,0)</f>
        <v>128.169 g/mol</v>
      </c>
      <c r="G224" s="5" t="str">
        <f>VLOOKUP(B224,[1]물질정보!B:G,6,0)</f>
        <v>CCCCOC(=O)C=C</v>
      </c>
      <c r="H224" t="s">
        <v>79</v>
      </c>
      <c r="I224" t="s">
        <v>97</v>
      </c>
      <c r="J224" t="s">
        <v>98</v>
      </c>
      <c r="K224" t="s">
        <v>99</v>
      </c>
      <c r="L224" t="s">
        <v>29</v>
      </c>
      <c r="M224" t="s">
        <v>100</v>
      </c>
      <c r="N224" t="s">
        <v>101</v>
      </c>
      <c r="O224" t="s">
        <v>29</v>
      </c>
      <c r="P224" t="s">
        <v>29</v>
      </c>
      <c r="Q224" t="s">
        <v>29</v>
      </c>
      <c r="R224" t="s">
        <v>32</v>
      </c>
      <c r="S224" t="s">
        <v>29</v>
      </c>
      <c r="T224" t="s">
        <v>40</v>
      </c>
      <c r="U224" t="s">
        <v>102</v>
      </c>
      <c r="V224" s="6" t="s">
        <v>35</v>
      </c>
      <c r="W224" t="s">
        <v>101</v>
      </c>
      <c r="X224" t="s">
        <v>29</v>
      </c>
      <c r="Y224" s="6" t="s">
        <v>98</v>
      </c>
    </row>
    <row r="225" spans="2:25" x14ac:dyDescent="0.3">
      <c r="B225" s="5" t="s">
        <v>65</v>
      </c>
      <c r="C225" s="5" t="str">
        <f>VLOOKUP(B225,[1]물질정보!B:C,2,0)</f>
        <v>141-32-2</v>
      </c>
      <c r="D225" t="str">
        <f>VLOOKUP(B225,[1]물질정보!B:D,3,0)</f>
        <v>butyl acrylate</v>
      </c>
      <c r="E225" t="str">
        <f>VLOOKUP(B225,[1]물질정보!B:E,4,0)</f>
        <v>C7H12O2</v>
      </c>
      <c r="F225" t="str">
        <f>VLOOKUP(B225,[1]물질정보!B:F,5,0)</f>
        <v>128.169 g/mol</v>
      </c>
      <c r="G225" s="5" t="str">
        <f>VLOOKUP(B225,[1]물질정보!B:G,6,0)</f>
        <v>CCCCOC(=O)C=C</v>
      </c>
      <c r="H225" t="s">
        <v>79</v>
      </c>
      <c r="I225" t="s">
        <v>97</v>
      </c>
      <c r="J225" t="s">
        <v>98</v>
      </c>
      <c r="K225" t="s">
        <v>99</v>
      </c>
      <c r="L225" t="s">
        <v>29</v>
      </c>
      <c r="M225" t="s">
        <v>100</v>
      </c>
      <c r="N225" t="s">
        <v>101</v>
      </c>
      <c r="O225" t="s">
        <v>29</v>
      </c>
      <c r="P225" t="s">
        <v>29</v>
      </c>
      <c r="Q225" t="s">
        <v>29</v>
      </c>
      <c r="R225" t="s">
        <v>32</v>
      </c>
      <c r="S225" t="s">
        <v>29</v>
      </c>
      <c r="T225" t="s">
        <v>40</v>
      </c>
      <c r="U225" t="s">
        <v>103</v>
      </c>
      <c r="V225" s="6" t="s">
        <v>35</v>
      </c>
      <c r="W225" t="s">
        <v>101</v>
      </c>
      <c r="X225" t="s">
        <v>29</v>
      </c>
      <c r="Y225" s="6" t="s">
        <v>98</v>
      </c>
    </row>
    <row r="226" spans="2:25" x14ac:dyDescent="0.3">
      <c r="B226" s="5" t="s">
        <v>65</v>
      </c>
      <c r="C226" s="5" t="str">
        <f>VLOOKUP(B226,[1]물질정보!B:C,2,0)</f>
        <v>141-32-2</v>
      </c>
      <c r="D226" t="str">
        <f>VLOOKUP(B226,[1]물질정보!B:D,3,0)</f>
        <v>butyl acrylate</v>
      </c>
      <c r="E226" t="str">
        <f>VLOOKUP(B226,[1]물질정보!B:E,4,0)</f>
        <v>C7H12O2</v>
      </c>
      <c r="F226" t="str">
        <f>VLOOKUP(B226,[1]물질정보!B:F,5,0)</f>
        <v>128.169 g/mol</v>
      </c>
      <c r="G226" s="5" t="str">
        <f>VLOOKUP(B226,[1]물질정보!B:G,6,0)</f>
        <v>CCCCOC(=O)C=C</v>
      </c>
      <c r="H226" t="s">
        <v>79</v>
      </c>
      <c r="I226" t="s">
        <v>97</v>
      </c>
      <c r="J226" t="s">
        <v>98</v>
      </c>
      <c r="K226" t="s">
        <v>99</v>
      </c>
      <c r="L226" t="s">
        <v>29</v>
      </c>
      <c r="M226" t="s">
        <v>100</v>
      </c>
      <c r="N226" t="s">
        <v>101</v>
      </c>
      <c r="O226" t="s">
        <v>29</v>
      </c>
      <c r="P226" t="s">
        <v>29</v>
      </c>
      <c r="Q226" t="s">
        <v>29</v>
      </c>
      <c r="R226" t="s">
        <v>32</v>
      </c>
      <c r="S226" t="s">
        <v>29</v>
      </c>
      <c r="T226" t="s">
        <v>40</v>
      </c>
      <c r="U226" t="s">
        <v>104</v>
      </c>
      <c r="V226" s="6" t="s">
        <v>35</v>
      </c>
      <c r="W226" t="s">
        <v>101</v>
      </c>
      <c r="X226" t="s">
        <v>29</v>
      </c>
      <c r="Y226" s="6" t="s">
        <v>98</v>
      </c>
    </row>
    <row r="227" spans="2:25" x14ac:dyDescent="0.3">
      <c r="B227" s="5" t="s">
        <v>65</v>
      </c>
      <c r="C227" s="5" t="str">
        <f>VLOOKUP(B227,[1]물질정보!B:C,2,0)</f>
        <v>141-32-2</v>
      </c>
      <c r="D227" t="str">
        <f>VLOOKUP(B227,[1]물질정보!B:D,3,0)</f>
        <v>butyl acrylate</v>
      </c>
      <c r="E227" t="str">
        <f>VLOOKUP(B227,[1]물질정보!B:E,4,0)</f>
        <v>C7H12O2</v>
      </c>
      <c r="F227" t="str">
        <f>VLOOKUP(B227,[1]물질정보!B:F,5,0)</f>
        <v>128.169 g/mol</v>
      </c>
      <c r="G227" s="5" t="str">
        <f>VLOOKUP(B227,[1]물질정보!B:G,6,0)</f>
        <v>CCCCOC(=O)C=C</v>
      </c>
      <c r="H227" t="s">
        <v>79</v>
      </c>
      <c r="I227" t="s">
        <v>97</v>
      </c>
      <c r="J227" t="s">
        <v>98</v>
      </c>
      <c r="K227" t="s">
        <v>29</v>
      </c>
      <c r="L227" t="s">
        <v>29</v>
      </c>
      <c r="M227" t="s">
        <v>100</v>
      </c>
      <c r="N227" t="s">
        <v>101</v>
      </c>
      <c r="O227" t="s">
        <v>29</v>
      </c>
      <c r="P227" t="s">
        <v>29</v>
      </c>
      <c r="Q227" t="s">
        <v>29</v>
      </c>
      <c r="R227" t="s">
        <v>32</v>
      </c>
      <c r="S227" t="s">
        <v>29</v>
      </c>
      <c r="T227" t="s">
        <v>66</v>
      </c>
      <c r="U227" t="s">
        <v>105</v>
      </c>
      <c r="V227" s="6" t="s">
        <v>35</v>
      </c>
      <c r="W227" t="s">
        <v>101</v>
      </c>
      <c r="X227" t="s">
        <v>29</v>
      </c>
      <c r="Y227" s="6" t="s">
        <v>98</v>
      </c>
    </row>
    <row r="228" spans="2:25" x14ac:dyDescent="0.3">
      <c r="B228" s="5" t="s">
        <v>65</v>
      </c>
      <c r="C228" s="5" t="str">
        <f>VLOOKUP(B228,[1]물질정보!B:C,2,0)</f>
        <v>141-32-2</v>
      </c>
      <c r="D228" t="str">
        <f>VLOOKUP(B228,[1]물질정보!B:D,3,0)</f>
        <v>butyl acrylate</v>
      </c>
      <c r="E228" t="str">
        <f>VLOOKUP(B228,[1]물질정보!B:E,4,0)</f>
        <v>C7H12O2</v>
      </c>
      <c r="F228" t="str">
        <f>VLOOKUP(B228,[1]물질정보!B:F,5,0)</f>
        <v>128.169 g/mol</v>
      </c>
      <c r="G228" s="5" t="str">
        <f>VLOOKUP(B228,[1]물질정보!B:G,6,0)</f>
        <v>CCCCOC(=O)C=C</v>
      </c>
      <c r="H228" t="s">
        <v>79</v>
      </c>
      <c r="I228" t="s">
        <v>97</v>
      </c>
      <c r="J228" t="s">
        <v>98</v>
      </c>
      <c r="K228" t="s">
        <v>99</v>
      </c>
      <c r="L228" t="s">
        <v>29</v>
      </c>
      <c r="M228" t="s">
        <v>100</v>
      </c>
      <c r="N228" t="s">
        <v>106</v>
      </c>
      <c r="O228" t="s">
        <v>29</v>
      </c>
      <c r="P228" t="s">
        <v>29</v>
      </c>
      <c r="Q228" t="s">
        <v>29</v>
      </c>
      <c r="R228" t="s">
        <v>32</v>
      </c>
      <c r="S228" t="s">
        <v>29</v>
      </c>
      <c r="T228" t="s">
        <v>40</v>
      </c>
      <c r="U228" t="s">
        <v>107</v>
      </c>
      <c r="V228" s="6" t="s">
        <v>35</v>
      </c>
      <c r="W228" t="s">
        <v>106</v>
      </c>
      <c r="X228" t="s">
        <v>29</v>
      </c>
      <c r="Y228" s="6" t="s">
        <v>98</v>
      </c>
    </row>
    <row r="229" spans="2:25" x14ac:dyDescent="0.3">
      <c r="B229" s="5" t="s">
        <v>65</v>
      </c>
      <c r="C229" s="5" t="str">
        <f>VLOOKUP(B229,[1]물질정보!B:C,2,0)</f>
        <v>141-32-2</v>
      </c>
      <c r="D229" t="str">
        <f>VLOOKUP(B229,[1]물질정보!B:D,3,0)</f>
        <v>butyl acrylate</v>
      </c>
      <c r="E229" t="str">
        <f>VLOOKUP(B229,[1]물질정보!B:E,4,0)</f>
        <v>C7H12O2</v>
      </c>
      <c r="F229" t="str">
        <f>VLOOKUP(B229,[1]물질정보!B:F,5,0)</f>
        <v>128.169 g/mol</v>
      </c>
      <c r="G229" s="5" t="str">
        <f>VLOOKUP(B229,[1]물질정보!B:G,6,0)</f>
        <v>CCCCOC(=O)C=C</v>
      </c>
      <c r="H229" t="s">
        <v>79</v>
      </c>
      <c r="I229" t="s">
        <v>97</v>
      </c>
      <c r="J229" t="s">
        <v>98</v>
      </c>
      <c r="K229" t="s">
        <v>99</v>
      </c>
      <c r="L229" t="s">
        <v>29</v>
      </c>
      <c r="M229" t="s">
        <v>100</v>
      </c>
      <c r="N229" t="s">
        <v>106</v>
      </c>
      <c r="O229" t="s">
        <v>29</v>
      </c>
      <c r="P229" t="s">
        <v>29</v>
      </c>
      <c r="Q229" t="s">
        <v>29</v>
      </c>
      <c r="R229" t="s">
        <v>32</v>
      </c>
      <c r="S229" t="s">
        <v>29</v>
      </c>
      <c r="T229" t="s">
        <v>40</v>
      </c>
      <c r="U229" t="s">
        <v>108</v>
      </c>
      <c r="V229" s="6" t="s">
        <v>35</v>
      </c>
      <c r="W229" t="s">
        <v>106</v>
      </c>
      <c r="X229" t="s">
        <v>29</v>
      </c>
      <c r="Y229" s="6" t="s">
        <v>98</v>
      </c>
    </row>
    <row r="230" spans="2:25" x14ac:dyDescent="0.3">
      <c r="B230" s="5" t="s">
        <v>65</v>
      </c>
      <c r="C230" s="5" t="str">
        <f>VLOOKUP(B230,[1]물질정보!B:C,2,0)</f>
        <v>141-32-2</v>
      </c>
      <c r="D230" t="str">
        <f>VLOOKUP(B230,[1]물질정보!B:D,3,0)</f>
        <v>butyl acrylate</v>
      </c>
      <c r="E230" t="str">
        <f>VLOOKUP(B230,[1]물질정보!B:E,4,0)</f>
        <v>C7H12O2</v>
      </c>
      <c r="F230" t="str">
        <f>VLOOKUP(B230,[1]물질정보!B:F,5,0)</f>
        <v>128.169 g/mol</v>
      </c>
      <c r="G230" s="5" t="str">
        <f>VLOOKUP(B230,[1]물질정보!B:G,6,0)</f>
        <v>CCCCOC(=O)C=C</v>
      </c>
      <c r="H230" t="s">
        <v>79</v>
      </c>
      <c r="I230" t="s">
        <v>97</v>
      </c>
      <c r="J230" t="s">
        <v>98</v>
      </c>
      <c r="K230" t="s">
        <v>99</v>
      </c>
      <c r="L230" t="s">
        <v>29</v>
      </c>
      <c r="M230" t="s">
        <v>100</v>
      </c>
      <c r="N230" t="s">
        <v>106</v>
      </c>
      <c r="O230" t="s">
        <v>29</v>
      </c>
      <c r="P230" t="s">
        <v>29</v>
      </c>
      <c r="Q230" t="s">
        <v>29</v>
      </c>
      <c r="R230" t="s">
        <v>32</v>
      </c>
      <c r="S230" t="s">
        <v>29</v>
      </c>
      <c r="T230" t="s">
        <v>40</v>
      </c>
      <c r="U230" t="s">
        <v>109</v>
      </c>
      <c r="V230" s="6" t="s">
        <v>35</v>
      </c>
      <c r="W230" t="s">
        <v>106</v>
      </c>
      <c r="X230" t="s">
        <v>29</v>
      </c>
      <c r="Y230" s="6" t="s">
        <v>98</v>
      </c>
    </row>
    <row r="231" spans="2:25" x14ac:dyDescent="0.3">
      <c r="B231" s="5" t="s">
        <v>65</v>
      </c>
      <c r="C231" s="5" t="str">
        <f>VLOOKUP(B231,[1]물질정보!B:C,2,0)</f>
        <v>141-32-2</v>
      </c>
      <c r="D231" t="str">
        <f>VLOOKUP(B231,[1]물질정보!B:D,3,0)</f>
        <v>butyl acrylate</v>
      </c>
      <c r="E231" t="str">
        <f>VLOOKUP(B231,[1]물질정보!B:E,4,0)</f>
        <v>C7H12O2</v>
      </c>
      <c r="F231" t="str">
        <f>VLOOKUP(B231,[1]물질정보!B:F,5,0)</f>
        <v>128.169 g/mol</v>
      </c>
      <c r="G231" s="5" t="str">
        <f>VLOOKUP(B231,[1]물질정보!B:G,6,0)</f>
        <v>CCCCOC(=O)C=C</v>
      </c>
      <c r="H231" t="s">
        <v>79</v>
      </c>
      <c r="I231" t="s">
        <v>97</v>
      </c>
      <c r="J231" t="s">
        <v>98</v>
      </c>
      <c r="K231" t="s">
        <v>99</v>
      </c>
      <c r="L231" t="s">
        <v>29</v>
      </c>
      <c r="M231" t="s">
        <v>100</v>
      </c>
      <c r="N231" t="s">
        <v>106</v>
      </c>
      <c r="O231" t="s">
        <v>29</v>
      </c>
      <c r="P231" t="s">
        <v>29</v>
      </c>
      <c r="Q231" t="s">
        <v>29</v>
      </c>
      <c r="R231" t="s">
        <v>32</v>
      </c>
      <c r="S231" t="s">
        <v>29</v>
      </c>
      <c r="T231" t="s">
        <v>40</v>
      </c>
      <c r="U231" t="s">
        <v>110</v>
      </c>
      <c r="V231" s="6" t="s">
        <v>35</v>
      </c>
      <c r="W231" t="s">
        <v>106</v>
      </c>
      <c r="X231" t="s">
        <v>29</v>
      </c>
      <c r="Y231" s="6" t="s">
        <v>98</v>
      </c>
    </row>
    <row r="232" spans="2:25" x14ac:dyDescent="0.3">
      <c r="B232" s="5" t="s">
        <v>65</v>
      </c>
      <c r="C232" s="5" t="str">
        <f>VLOOKUP(B232,[1]물질정보!B:C,2,0)</f>
        <v>141-32-2</v>
      </c>
      <c r="D232" t="str">
        <f>VLOOKUP(B232,[1]물질정보!B:D,3,0)</f>
        <v>butyl acrylate</v>
      </c>
      <c r="E232" t="str">
        <f>VLOOKUP(B232,[1]물질정보!B:E,4,0)</f>
        <v>C7H12O2</v>
      </c>
      <c r="F232" t="str">
        <f>VLOOKUP(B232,[1]물질정보!B:F,5,0)</f>
        <v>128.169 g/mol</v>
      </c>
      <c r="G232" s="5" t="str">
        <f>VLOOKUP(B232,[1]물질정보!B:G,6,0)</f>
        <v>CCCCOC(=O)C=C</v>
      </c>
      <c r="H232" t="s">
        <v>79</v>
      </c>
      <c r="I232" t="s">
        <v>111</v>
      </c>
      <c r="J232" t="s">
        <v>824</v>
      </c>
      <c r="K232" t="s">
        <v>90</v>
      </c>
      <c r="L232" t="s">
        <v>29</v>
      </c>
      <c r="M232" t="s">
        <v>122</v>
      </c>
      <c r="N232" t="s">
        <v>29</v>
      </c>
      <c r="O232" t="s">
        <v>29</v>
      </c>
      <c r="P232" t="s">
        <v>29</v>
      </c>
      <c r="Q232" t="s">
        <v>29</v>
      </c>
      <c r="R232" t="s">
        <v>32</v>
      </c>
      <c r="S232" t="s">
        <v>29</v>
      </c>
      <c r="T232" t="s">
        <v>40</v>
      </c>
      <c r="U232" t="s">
        <v>121</v>
      </c>
      <c r="V232" s="6" t="s">
        <v>35</v>
      </c>
      <c r="W232" t="s">
        <v>112</v>
      </c>
      <c r="X232" t="s">
        <v>29</v>
      </c>
      <c r="Y232" s="6" t="s">
        <v>753</v>
      </c>
    </row>
    <row r="233" spans="2:25" x14ac:dyDescent="0.3">
      <c r="B233" s="5" t="s">
        <v>65</v>
      </c>
      <c r="C233" s="5" t="str">
        <f>VLOOKUP(B233,[1]물질정보!B:C,2,0)</f>
        <v>141-32-2</v>
      </c>
      <c r="D233" t="str">
        <f>VLOOKUP(B233,[1]물질정보!B:D,3,0)</f>
        <v>butyl acrylate</v>
      </c>
      <c r="E233" t="str">
        <f>VLOOKUP(B233,[1]물질정보!B:E,4,0)</f>
        <v>C7H12O2</v>
      </c>
      <c r="F233" t="str">
        <f>VLOOKUP(B233,[1]물질정보!B:F,5,0)</f>
        <v>128.169 g/mol</v>
      </c>
      <c r="G233" s="5" t="str">
        <f>VLOOKUP(B233,[1]물질정보!B:G,6,0)</f>
        <v>CCCCOC(=O)C=C</v>
      </c>
      <c r="H233" t="s">
        <v>79</v>
      </c>
      <c r="I233" t="s">
        <v>111</v>
      </c>
      <c r="J233" t="s">
        <v>824</v>
      </c>
      <c r="K233" t="s">
        <v>90</v>
      </c>
      <c r="L233" t="s">
        <v>29</v>
      </c>
      <c r="M233" t="s">
        <v>122</v>
      </c>
      <c r="N233" t="s">
        <v>29</v>
      </c>
      <c r="O233" t="s">
        <v>29</v>
      </c>
      <c r="P233" t="s">
        <v>29</v>
      </c>
      <c r="Q233" t="s">
        <v>29</v>
      </c>
      <c r="R233" t="s">
        <v>32</v>
      </c>
      <c r="S233" t="s">
        <v>29</v>
      </c>
      <c r="T233" t="s">
        <v>40</v>
      </c>
      <c r="U233" t="s">
        <v>114</v>
      </c>
      <c r="V233" s="6" t="s">
        <v>35</v>
      </c>
      <c r="W233" t="s">
        <v>112</v>
      </c>
      <c r="X233" t="s">
        <v>29</v>
      </c>
      <c r="Y233" s="6" t="s">
        <v>753</v>
      </c>
    </row>
    <row r="234" spans="2:25" x14ac:dyDescent="0.3">
      <c r="B234" s="5" t="s">
        <v>65</v>
      </c>
      <c r="C234" s="5" t="str">
        <f>VLOOKUP(B234,[1]물질정보!B:C,2,0)</f>
        <v>141-32-2</v>
      </c>
      <c r="D234" t="str">
        <f>VLOOKUP(B234,[1]물질정보!B:D,3,0)</f>
        <v>butyl acrylate</v>
      </c>
      <c r="E234" t="str">
        <f>VLOOKUP(B234,[1]물질정보!B:E,4,0)</f>
        <v>C7H12O2</v>
      </c>
      <c r="F234" t="str">
        <f>VLOOKUP(B234,[1]물질정보!B:F,5,0)</f>
        <v>128.169 g/mol</v>
      </c>
      <c r="G234" s="5" t="str">
        <f>VLOOKUP(B234,[1]물질정보!B:G,6,0)</f>
        <v>CCCCOC(=O)C=C</v>
      </c>
      <c r="H234" t="s">
        <v>79</v>
      </c>
      <c r="I234" t="s">
        <v>111</v>
      </c>
      <c r="J234" t="s">
        <v>824</v>
      </c>
      <c r="K234" t="s">
        <v>90</v>
      </c>
      <c r="L234" t="s">
        <v>29</v>
      </c>
      <c r="M234" t="s">
        <v>122</v>
      </c>
      <c r="N234" t="s">
        <v>29</v>
      </c>
      <c r="O234" t="s">
        <v>29</v>
      </c>
      <c r="P234" t="s">
        <v>29</v>
      </c>
      <c r="Q234" t="s">
        <v>29</v>
      </c>
      <c r="R234" t="s">
        <v>32</v>
      </c>
      <c r="S234" t="s">
        <v>29</v>
      </c>
      <c r="T234" t="s">
        <v>40</v>
      </c>
      <c r="U234" t="s">
        <v>115</v>
      </c>
      <c r="V234" s="6" t="s">
        <v>35</v>
      </c>
      <c r="W234" t="s">
        <v>112</v>
      </c>
      <c r="X234" t="s">
        <v>29</v>
      </c>
      <c r="Y234" s="6" t="s">
        <v>753</v>
      </c>
    </row>
    <row r="235" spans="2:25" x14ac:dyDescent="0.3">
      <c r="B235" s="5" t="s">
        <v>65</v>
      </c>
      <c r="C235" s="5" t="str">
        <f>VLOOKUP(B235,[1]물질정보!B:C,2,0)</f>
        <v>141-32-2</v>
      </c>
      <c r="D235" t="str">
        <f>VLOOKUP(B235,[1]물질정보!B:D,3,0)</f>
        <v>butyl acrylate</v>
      </c>
      <c r="E235" t="str">
        <f>VLOOKUP(B235,[1]물질정보!B:E,4,0)</f>
        <v>C7H12O2</v>
      </c>
      <c r="F235" t="str">
        <f>VLOOKUP(B235,[1]물질정보!B:F,5,0)</f>
        <v>128.169 g/mol</v>
      </c>
      <c r="G235" s="5" t="str">
        <f>VLOOKUP(B235,[1]물질정보!B:G,6,0)</f>
        <v>CCCCOC(=O)C=C</v>
      </c>
      <c r="H235" t="s">
        <v>79</v>
      </c>
      <c r="I235" t="s">
        <v>111</v>
      </c>
      <c r="J235" t="s">
        <v>824</v>
      </c>
      <c r="K235" t="s">
        <v>90</v>
      </c>
      <c r="L235" t="s">
        <v>29</v>
      </c>
      <c r="M235" t="s">
        <v>122</v>
      </c>
      <c r="N235" t="s">
        <v>29</v>
      </c>
      <c r="O235" t="s">
        <v>29</v>
      </c>
      <c r="P235" t="s">
        <v>29</v>
      </c>
      <c r="Q235" t="s">
        <v>29</v>
      </c>
      <c r="R235" t="s">
        <v>32</v>
      </c>
      <c r="S235" t="s">
        <v>29</v>
      </c>
      <c r="T235" t="s">
        <v>40</v>
      </c>
      <c r="U235" t="s">
        <v>116</v>
      </c>
      <c r="V235" s="6" t="s">
        <v>35</v>
      </c>
      <c r="W235" t="s">
        <v>112</v>
      </c>
      <c r="X235" t="s">
        <v>29</v>
      </c>
      <c r="Y235" s="6" t="s">
        <v>753</v>
      </c>
    </row>
    <row r="236" spans="2:25" x14ac:dyDescent="0.3">
      <c r="B236" s="5" t="s">
        <v>65</v>
      </c>
      <c r="C236" s="5" t="str">
        <f>VLOOKUP(B236,[1]물질정보!B:C,2,0)</f>
        <v>141-32-2</v>
      </c>
      <c r="D236" t="str">
        <f>VLOOKUP(B236,[1]물질정보!B:D,3,0)</f>
        <v>butyl acrylate</v>
      </c>
      <c r="E236" t="str">
        <f>VLOOKUP(B236,[1]물질정보!B:E,4,0)</f>
        <v>C7H12O2</v>
      </c>
      <c r="F236" t="str">
        <f>VLOOKUP(B236,[1]물질정보!B:F,5,0)</f>
        <v>128.169 g/mol</v>
      </c>
      <c r="G236" s="5" t="str">
        <f>VLOOKUP(B236,[1]물질정보!B:G,6,0)</f>
        <v>CCCCOC(=O)C=C</v>
      </c>
      <c r="H236" t="s">
        <v>79</v>
      </c>
      <c r="I236" t="s">
        <v>685</v>
      </c>
      <c r="J236" t="s">
        <v>117</v>
      </c>
      <c r="K236" t="s">
        <v>118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t="s">
        <v>32</v>
      </c>
      <c r="S236" t="s">
        <v>29</v>
      </c>
      <c r="T236" t="s">
        <v>29</v>
      </c>
      <c r="U236" t="s">
        <v>119</v>
      </c>
      <c r="V236" s="6" t="s">
        <v>35</v>
      </c>
      <c r="W236" t="s">
        <v>120</v>
      </c>
      <c r="X236" t="s">
        <v>29</v>
      </c>
      <c r="Y236" s="6" t="s">
        <v>117</v>
      </c>
    </row>
    <row r="237" spans="2:25" x14ac:dyDescent="0.3">
      <c r="B237" s="5" t="s">
        <v>67</v>
      </c>
      <c r="C237" s="5" t="str">
        <f>VLOOKUP(B237,[1]물질정보!B:C,2,0)</f>
        <v>818-61-1</v>
      </c>
      <c r="D237" t="str">
        <f>VLOOKUP(B237,[1]물질정보!B:D,3,0)</f>
        <v>2-hydroxyethyl acrylate</v>
      </c>
      <c r="E237" t="str">
        <f>VLOOKUP(B237,[1]물질정보!B:E,4,0)</f>
        <v>C5H8O3</v>
      </c>
      <c r="F237" t="str">
        <f>VLOOKUP(B237,[1]물질정보!B:F,5,0)</f>
        <v>116.11 g/mol</v>
      </c>
      <c r="G237" s="5" t="str">
        <f>VLOOKUP(B237,[1]물질정보!B:G,6,0)</f>
        <v>C=CC(=O)OCCO</v>
      </c>
      <c r="H237" t="s">
        <v>79</v>
      </c>
      <c r="I237" t="s">
        <v>80</v>
      </c>
      <c r="J237" t="s">
        <v>81</v>
      </c>
      <c r="K237" t="s">
        <v>29</v>
      </c>
      <c r="L237" t="s">
        <v>82</v>
      </c>
      <c r="M237" t="s">
        <v>83</v>
      </c>
      <c r="N237" t="s">
        <v>29</v>
      </c>
      <c r="O237" t="s">
        <v>29</v>
      </c>
      <c r="P237">
        <v>48</v>
      </c>
      <c r="Q237" t="s">
        <v>31</v>
      </c>
      <c r="R237" t="s">
        <v>32</v>
      </c>
      <c r="S237" t="s">
        <v>29</v>
      </c>
      <c r="T237" t="s">
        <v>66</v>
      </c>
      <c r="U237" t="s">
        <v>84</v>
      </c>
      <c r="V237" s="6" t="s">
        <v>35</v>
      </c>
      <c r="W237" t="s">
        <v>83</v>
      </c>
      <c r="X237" t="s">
        <v>29</v>
      </c>
      <c r="Y237" s="6" t="s">
        <v>81</v>
      </c>
    </row>
    <row r="238" spans="2:25" x14ac:dyDescent="0.3">
      <c r="B238" s="5" t="s">
        <v>67</v>
      </c>
      <c r="C238" s="5" t="str">
        <f>VLOOKUP(B238,[1]물질정보!B:C,2,0)</f>
        <v>818-61-1</v>
      </c>
      <c r="D238" t="str">
        <f>VLOOKUP(B238,[1]물질정보!B:D,3,0)</f>
        <v>2-hydroxyethyl acrylate</v>
      </c>
      <c r="E238" t="str">
        <f>VLOOKUP(B238,[1]물질정보!B:E,4,0)</f>
        <v>C5H8O3</v>
      </c>
      <c r="F238" t="str">
        <f>VLOOKUP(B238,[1]물질정보!B:F,5,0)</f>
        <v>116.11 g/mol</v>
      </c>
      <c r="G238" s="5" t="str">
        <f>VLOOKUP(B238,[1]물질정보!B:G,6,0)</f>
        <v>C=CC(=O)OCCO</v>
      </c>
      <c r="H238" t="s">
        <v>79</v>
      </c>
      <c r="I238" t="s">
        <v>80</v>
      </c>
      <c r="J238" t="s">
        <v>81</v>
      </c>
      <c r="K238">
        <v>1800</v>
      </c>
      <c r="L238" t="s">
        <v>85</v>
      </c>
      <c r="M238" t="s">
        <v>86</v>
      </c>
      <c r="N238" t="s">
        <v>29</v>
      </c>
      <c r="O238" t="s">
        <v>29</v>
      </c>
      <c r="P238">
        <v>48</v>
      </c>
      <c r="Q238" t="s">
        <v>31</v>
      </c>
      <c r="R238" t="s">
        <v>32</v>
      </c>
      <c r="S238" t="s">
        <v>29</v>
      </c>
      <c r="T238" t="s">
        <v>40</v>
      </c>
      <c r="U238" t="s">
        <v>87</v>
      </c>
      <c r="V238" s="6" t="s">
        <v>35</v>
      </c>
      <c r="W238" t="s">
        <v>86</v>
      </c>
      <c r="X238" t="s">
        <v>29</v>
      </c>
      <c r="Y238" s="6" t="s">
        <v>81</v>
      </c>
    </row>
    <row r="239" spans="2:25" x14ac:dyDescent="0.3">
      <c r="B239" s="5" t="s">
        <v>67</v>
      </c>
      <c r="C239" s="5" t="str">
        <f>VLOOKUP(B239,[1]물질정보!B:C,2,0)</f>
        <v>818-61-1</v>
      </c>
      <c r="D239" t="str">
        <f>VLOOKUP(B239,[1]물질정보!B:D,3,0)</f>
        <v>2-hydroxyethyl acrylate</v>
      </c>
      <c r="E239" t="str">
        <f>VLOOKUP(B239,[1]물질정보!B:E,4,0)</f>
        <v>C5H8O3</v>
      </c>
      <c r="F239" t="str">
        <f>VLOOKUP(B239,[1]물질정보!B:F,5,0)</f>
        <v>116.11 g/mol</v>
      </c>
      <c r="G239" s="5" t="str">
        <f>VLOOKUP(B239,[1]물질정보!B:G,6,0)</f>
        <v>C=CC(=O)OCCO</v>
      </c>
      <c r="H239" t="s">
        <v>79</v>
      </c>
      <c r="I239" t="s">
        <v>88</v>
      </c>
      <c r="J239" t="s">
        <v>89</v>
      </c>
      <c r="K239" t="s">
        <v>29</v>
      </c>
      <c r="L239" t="s">
        <v>29</v>
      </c>
      <c r="M239" t="s">
        <v>91</v>
      </c>
      <c r="N239" t="s">
        <v>29</v>
      </c>
      <c r="O239" t="s">
        <v>29</v>
      </c>
      <c r="P239" t="s">
        <v>29</v>
      </c>
      <c r="Q239" t="s">
        <v>29</v>
      </c>
      <c r="R239" t="s">
        <v>32</v>
      </c>
      <c r="S239" t="s">
        <v>29</v>
      </c>
      <c r="T239" t="s">
        <v>66</v>
      </c>
      <c r="U239" t="s">
        <v>92</v>
      </c>
      <c r="V239" s="6" t="s">
        <v>35</v>
      </c>
      <c r="W239" t="s">
        <v>93</v>
      </c>
      <c r="X239" t="s">
        <v>29</v>
      </c>
      <c r="Y239" s="6" t="s">
        <v>89</v>
      </c>
    </row>
    <row r="240" spans="2:25" x14ac:dyDescent="0.3">
      <c r="B240" s="5" t="s">
        <v>67</v>
      </c>
      <c r="C240" s="5" t="str">
        <f>VLOOKUP(B240,[1]물질정보!B:C,2,0)</f>
        <v>818-61-1</v>
      </c>
      <c r="D240" t="str">
        <f>VLOOKUP(B240,[1]물질정보!B:D,3,0)</f>
        <v>2-hydroxyethyl acrylate</v>
      </c>
      <c r="E240" t="str">
        <f>VLOOKUP(B240,[1]물질정보!B:E,4,0)</f>
        <v>C5H8O3</v>
      </c>
      <c r="F240" t="str">
        <f>VLOOKUP(B240,[1]물질정보!B:F,5,0)</f>
        <v>116.11 g/mol</v>
      </c>
      <c r="G240" s="5" t="str">
        <f>VLOOKUP(B240,[1]물질정보!B:G,6,0)</f>
        <v>C=CC(=O)OCCO</v>
      </c>
      <c r="H240" t="s">
        <v>79</v>
      </c>
      <c r="I240" t="s">
        <v>88</v>
      </c>
      <c r="J240" t="s">
        <v>89</v>
      </c>
      <c r="K240" t="s">
        <v>29</v>
      </c>
      <c r="L240" t="s">
        <v>29</v>
      </c>
      <c r="M240" t="s">
        <v>91</v>
      </c>
      <c r="N240" t="s">
        <v>29</v>
      </c>
      <c r="O240" t="s">
        <v>29</v>
      </c>
      <c r="P240" t="s">
        <v>29</v>
      </c>
      <c r="Q240" t="s">
        <v>29</v>
      </c>
      <c r="R240" t="s">
        <v>32</v>
      </c>
      <c r="S240" t="s">
        <v>29</v>
      </c>
      <c r="T240" t="s">
        <v>66</v>
      </c>
      <c r="U240" t="s">
        <v>94</v>
      </c>
      <c r="V240" s="6" t="s">
        <v>35</v>
      </c>
      <c r="W240" t="s">
        <v>93</v>
      </c>
      <c r="X240" t="s">
        <v>29</v>
      </c>
      <c r="Y240" s="6" t="s">
        <v>89</v>
      </c>
    </row>
    <row r="241" spans="2:25" x14ac:dyDescent="0.3">
      <c r="B241" s="5" t="s">
        <v>67</v>
      </c>
      <c r="C241" s="5" t="str">
        <f>VLOOKUP(B241,[1]물질정보!B:C,2,0)</f>
        <v>818-61-1</v>
      </c>
      <c r="D241" t="str">
        <f>VLOOKUP(B241,[1]물질정보!B:D,3,0)</f>
        <v>2-hydroxyethyl acrylate</v>
      </c>
      <c r="E241" t="str">
        <f>VLOOKUP(B241,[1]물질정보!B:E,4,0)</f>
        <v>C5H8O3</v>
      </c>
      <c r="F241" t="str">
        <f>VLOOKUP(B241,[1]물질정보!B:F,5,0)</f>
        <v>116.11 g/mol</v>
      </c>
      <c r="G241" s="5" t="str">
        <f>VLOOKUP(B241,[1]물질정보!B:G,6,0)</f>
        <v>C=CC(=O)OCCO</v>
      </c>
      <c r="H241" t="s">
        <v>79</v>
      </c>
      <c r="I241" t="s">
        <v>88</v>
      </c>
      <c r="J241" t="s">
        <v>89</v>
      </c>
      <c r="K241" t="s">
        <v>90</v>
      </c>
      <c r="L241" t="s">
        <v>29</v>
      </c>
      <c r="M241" t="s">
        <v>91</v>
      </c>
      <c r="N241" t="s">
        <v>29</v>
      </c>
      <c r="O241" t="s">
        <v>29</v>
      </c>
      <c r="P241" t="s">
        <v>29</v>
      </c>
      <c r="Q241" t="s">
        <v>29</v>
      </c>
      <c r="R241" t="s">
        <v>32</v>
      </c>
      <c r="S241" t="s">
        <v>29</v>
      </c>
      <c r="T241" t="s">
        <v>40</v>
      </c>
      <c r="U241" t="s">
        <v>95</v>
      </c>
      <c r="V241" s="6" t="s">
        <v>35</v>
      </c>
      <c r="W241" t="s">
        <v>93</v>
      </c>
      <c r="X241" t="s">
        <v>29</v>
      </c>
      <c r="Y241" s="6" t="s">
        <v>89</v>
      </c>
    </row>
    <row r="242" spans="2:25" x14ac:dyDescent="0.3">
      <c r="B242" s="5" t="s">
        <v>67</v>
      </c>
      <c r="C242" s="5" t="str">
        <f>VLOOKUP(B242,[1]물질정보!B:C,2,0)</f>
        <v>818-61-1</v>
      </c>
      <c r="D242" t="str">
        <f>VLOOKUP(B242,[1]물질정보!B:D,3,0)</f>
        <v>2-hydroxyethyl acrylate</v>
      </c>
      <c r="E242" t="str">
        <f>VLOOKUP(B242,[1]물질정보!B:E,4,0)</f>
        <v>C5H8O3</v>
      </c>
      <c r="F242" t="str">
        <f>VLOOKUP(B242,[1]물질정보!B:F,5,0)</f>
        <v>116.11 g/mol</v>
      </c>
      <c r="G242" s="5" t="str">
        <f>VLOOKUP(B242,[1]물질정보!B:G,6,0)</f>
        <v>C=CC(=O)OCCO</v>
      </c>
      <c r="H242" t="s">
        <v>79</v>
      </c>
      <c r="I242" t="s">
        <v>88</v>
      </c>
      <c r="J242" t="s">
        <v>89</v>
      </c>
      <c r="K242" t="s">
        <v>99</v>
      </c>
      <c r="L242" t="s">
        <v>29</v>
      </c>
      <c r="M242" t="s">
        <v>91</v>
      </c>
      <c r="N242" t="s">
        <v>29</v>
      </c>
      <c r="O242" t="s">
        <v>29</v>
      </c>
      <c r="P242" t="s">
        <v>29</v>
      </c>
      <c r="Q242" t="s">
        <v>29</v>
      </c>
      <c r="R242" t="s">
        <v>32</v>
      </c>
      <c r="S242" t="s">
        <v>29</v>
      </c>
      <c r="T242" t="s">
        <v>40</v>
      </c>
      <c r="U242" t="s">
        <v>96</v>
      </c>
      <c r="V242" s="6" t="s">
        <v>35</v>
      </c>
      <c r="W242" t="s">
        <v>93</v>
      </c>
      <c r="X242" t="s">
        <v>29</v>
      </c>
      <c r="Y242" s="6" t="s">
        <v>89</v>
      </c>
    </row>
    <row r="243" spans="2:25" x14ac:dyDescent="0.3">
      <c r="B243" s="5" t="s">
        <v>67</v>
      </c>
      <c r="C243" s="5" t="str">
        <f>VLOOKUP(B243,[1]물질정보!B:C,2,0)</f>
        <v>818-61-1</v>
      </c>
      <c r="D243" t="str">
        <f>VLOOKUP(B243,[1]물질정보!B:D,3,0)</f>
        <v>2-hydroxyethyl acrylate</v>
      </c>
      <c r="E243" t="str">
        <f>VLOOKUP(B243,[1]물질정보!B:E,4,0)</f>
        <v>C5H8O3</v>
      </c>
      <c r="F243" t="str">
        <f>VLOOKUP(B243,[1]물질정보!B:F,5,0)</f>
        <v>116.11 g/mol</v>
      </c>
      <c r="G243" s="5" t="str">
        <f>VLOOKUP(B243,[1]물질정보!B:G,6,0)</f>
        <v>C=CC(=O)OCCO</v>
      </c>
      <c r="H243" t="s">
        <v>79</v>
      </c>
      <c r="I243" t="s">
        <v>97</v>
      </c>
      <c r="J243" t="s">
        <v>98</v>
      </c>
      <c r="K243" t="s">
        <v>29</v>
      </c>
      <c r="L243" t="s">
        <v>29</v>
      </c>
      <c r="M243" t="s">
        <v>100</v>
      </c>
      <c r="N243" t="s">
        <v>101</v>
      </c>
      <c r="O243" t="s">
        <v>29</v>
      </c>
      <c r="P243" t="s">
        <v>29</v>
      </c>
      <c r="Q243" t="s">
        <v>29</v>
      </c>
      <c r="R243" t="s">
        <v>32</v>
      </c>
      <c r="S243" t="s">
        <v>29</v>
      </c>
      <c r="T243" t="s">
        <v>66</v>
      </c>
      <c r="U243" t="s">
        <v>102</v>
      </c>
      <c r="V243" s="6" t="s">
        <v>35</v>
      </c>
      <c r="W243" t="s">
        <v>101</v>
      </c>
      <c r="X243" t="s">
        <v>29</v>
      </c>
      <c r="Y243" s="6" t="s">
        <v>98</v>
      </c>
    </row>
    <row r="244" spans="2:25" x14ac:dyDescent="0.3">
      <c r="B244" s="5" t="s">
        <v>67</v>
      </c>
      <c r="C244" s="5" t="str">
        <f>VLOOKUP(B244,[1]물질정보!B:C,2,0)</f>
        <v>818-61-1</v>
      </c>
      <c r="D244" t="str">
        <f>VLOOKUP(B244,[1]물질정보!B:D,3,0)</f>
        <v>2-hydroxyethyl acrylate</v>
      </c>
      <c r="E244" t="str">
        <f>VLOOKUP(B244,[1]물질정보!B:E,4,0)</f>
        <v>C5H8O3</v>
      </c>
      <c r="F244" t="str">
        <f>VLOOKUP(B244,[1]물질정보!B:F,5,0)</f>
        <v>116.11 g/mol</v>
      </c>
      <c r="G244" s="5" t="str">
        <f>VLOOKUP(B244,[1]물질정보!B:G,6,0)</f>
        <v>C=CC(=O)OCCO</v>
      </c>
      <c r="H244" t="s">
        <v>79</v>
      </c>
      <c r="I244" t="s">
        <v>97</v>
      </c>
      <c r="J244" t="s">
        <v>98</v>
      </c>
      <c r="K244" t="s">
        <v>29</v>
      </c>
      <c r="L244" t="s">
        <v>29</v>
      </c>
      <c r="M244" t="s">
        <v>100</v>
      </c>
      <c r="N244" t="s">
        <v>101</v>
      </c>
      <c r="O244" t="s">
        <v>29</v>
      </c>
      <c r="P244" t="s">
        <v>29</v>
      </c>
      <c r="Q244" t="s">
        <v>29</v>
      </c>
      <c r="R244" t="s">
        <v>32</v>
      </c>
      <c r="S244" t="s">
        <v>29</v>
      </c>
      <c r="T244" t="s">
        <v>66</v>
      </c>
      <c r="U244" t="s">
        <v>103</v>
      </c>
      <c r="V244" s="6" t="s">
        <v>35</v>
      </c>
      <c r="W244" t="s">
        <v>101</v>
      </c>
      <c r="X244" t="s">
        <v>29</v>
      </c>
      <c r="Y244" s="6" t="s">
        <v>98</v>
      </c>
    </row>
    <row r="245" spans="2:25" x14ac:dyDescent="0.3">
      <c r="B245" s="5" t="s">
        <v>67</v>
      </c>
      <c r="C245" s="5" t="str">
        <f>VLOOKUP(B245,[1]물질정보!B:C,2,0)</f>
        <v>818-61-1</v>
      </c>
      <c r="D245" t="str">
        <f>VLOOKUP(B245,[1]물질정보!B:D,3,0)</f>
        <v>2-hydroxyethyl acrylate</v>
      </c>
      <c r="E245" t="str">
        <f>VLOOKUP(B245,[1]물질정보!B:E,4,0)</f>
        <v>C5H8O3</v>
      </c>
      <c r="F245" t="str">
        <f>VLOOKUP(B245,[1]물질정보!B:F,5,0)</f>
        <v>116.11 g/mol</v>
      </c>
      <c r="G245" s="5" t="str">
        <f>VLOOKUP(B245,[1]물질정보!B:G,6,0)</f>
        <v>C=CC(=O)OCCO</v>
      </c>
      <c r="H245" t="s">
        <v>79</v>
      </c>
      <c r="I245" t="s">
        <v>97</v>
      </c>
      <c r="J245" t="s">
        <v>98</v>
      </c>
      <c r="K245" t="s">
        <v>29</v>
      </c>
      <c r="L245" t="s">
        <v>29</v>
      </c>
      <c r="M245" t="s">
        <v>100</v>
      </c>
      <c r="N245" t="s">
        <v>101</v>
      </c>
      <c r="O245" t="s">
        <v>29</v>
      </c>
      <c r="P245" t="s">
        <v>29</v>
      </c>
      <c r="Q245" t="s">
        <v>29</v>
      </c>
      <c r="R245" t="s">
        <v>32</v>
      </c>
      <c r="S245" t="s">
        <v>29</v>
      </c>
      <c r="T245" t="s">
        <v>66</v>
      </c>
      <c r="U245" t="s">
        <v>104</v>
      </c>
      <c r="V245" s="6" t="s">
        <v>35</v>
      </c>
      <c r="W245" t="s">
        <v>101</v>
      </c>
      <c r="X245" t="s">
        <v>29</v>
      </c>
      <c r="Y245" s="6" t="s">
        <v>98</v>
      </c>
    </row>
    <row r="246" spans="2:25" x14ac:dyDescent="0.3">
      <c r="B246" s="5" t="s">
        <v>67</v>
      </c>
      <c r="C246" s="5" t="str">
        <f>VLOOKUP(B246,[1]물질정보!B:C,2,0)</f>
        <v>818-61-1</v>
      </c>
      <c r="D246" t="str">
        <f>VLOOKUP(B246,[1]물질정보!B:D,3,0)</f>
        <v>2-hydroxyethyl acrylate</v>
      </c>
      <c r="E246" t="str">
        <f>VLOOKUP(B246,[1]물질정보!B:E,4,0)</f>
        <v>C5H8O3</v>
      </c>
      <c r="F246" t="str">
        <f>VLOOKUP(B246,[1]물질정보!B:F,5,0)</f>
        <v>116.11 g/mol</v>
      </c>
      <c r="G246" s="5" t="str">
        <f>VLOOKUP(B246,[1]물질정보!B:G,6,0)</f>
        <v>C=CC(=O)OCCO</v>
      </c>
      <c r="H246" t="s">
        <v>79</v>
      </c>
      <c r="I246" t="s">
        <v>97</v>
      </c>
      <c r="J246" t="s">
        <v>98</v>
      </c>
      <c r="K246" t="s">
        <v>90</v>
      </c>
      <c r="L246" t="s">
        <v>29</v>
      </c>
      <c r="M246" t="s">
        <v>100</v>
      </c>
      <c r="N246" t="s">
        <v>101</v>
      </c>
      <c r="O246" t="s">
        <v>29</v>
      </c>
      <c r="P246" t="s">
        <v>29</v>
      </c>
      <c r="Q246" t="s">
        <v>29</v>
      </c>
      <c r="R246" t="s">
        <v>32</v>
      </c>
      <c r="S246" t="s">
        <v>29</v>
      </c>
      <c r="T246" t="s">
        <v>40</v>
      </c>
      <c r="U246" t="s">
        <v>105</v>
      </c>
      <c r="V246" s="6" t="s">
        <v>35</v>
      </c>
      <c r="W246" t="s">
        <v>101</v>
      </c>
      <c r="X246" t="s">
        <v>29</v>
      </c>
      <c r="Y246" s="6" t="s">
        <v>98</v>
      </c>
    </row>
    <row r="247" spans="2:25" x14ac:dyDescent="0.3">
      <c r="B247" s="5" t="s">
        <v>67</v>
      </c>
      <c r="C247" s="5" t="str">
        <f>VLOOKUP(B247,[1]물질정보!B:C,2,0)</f>
        <v>818-61-1</v>
      </c>
      <c r="D247" t="str">
        <f>VLOOKUP(B247,[1]물질정보!B:D,3,0)</f>
        <v>2-hydroxyethyl acrylate</v>
      </c>
      <c r="E247" t="str">
        <f>VLOOKUP(B247,[1]물질정보!B:E,4,0)</f>
        <v>C5H8O3</v>
      </c>
      <c r="F247" t="str">
        <f>VLOOKUP(B247,[1]물질정보!B:F,5,0)</f>
        <v>116.11 g/mol</v>
      </c>
      <c r="G247" s="5" t="str">
        <f>VLOOKUP(B247,[1]물질정보!B:G,6,0)</f>
        <v>C=CC(=O)OCCO</v>
      </c>
      <c r="H247" t="s">
        <v>79</v>
      </c>
      <c r="I247" t="s">
        <v>97</v>
      </c>
      <c r="J247" t="s">
        <v>98</v>
      </c>
      <c r="K247" t="s">
        <v>29</v>
      </c>
      <c r="L247" t="s">
        <v>29</v>
      </c>
      <c r="M247" t="s">
        <v>100</v>
      </c>
      <c r="N247" t="s">
        <v>106</v>
      </c>
      <c r="O247" t="s">
        <v>29</v>
      </c>
      <c r="P247" t="s">
        <v>29</v>
      </c>
      <c r="Q247" t="s">
        <v>29</v>
      </c>
      <c r="R247" t="s">
        <v>32</v>
      </c>
      <c r="S247" t="s">
        <v>29</v>
      </c>
      <c r="T247" t="s">
        <v>66</v>
      </c>
      <c r="U247" t="s">
        <v>107</v>
      </c>
      <c r="V247" s="6" t="s">
        <v>35</v>
      </c>
      <c r="W247" t="s">
        <v>106</v>
      </c>
      <c r="X247" t="s">
        <v>29</v>
      </c>
      <c r="Y247" s="6" t="s">
        <v>98</v>
      </c>
    </row>
    <row r="248" spans="2:25" x14ac:dyDescent="0.3">
      <c r="B248" s="5" t="s">
        <v>67</v>
      </c>
      <c r="C248" s="5" t="str">
        <f>VLOOKUP(B248,[1]물질정보!B:C,2,0)</f>
        <v>818-61-1</v>
      </c>
      <c r="D248" t="str">
        <f>VLOOKUP(B248,[1]물질정보!B:D,3,0)</f>
        <v>2-hydroxyethyl acrylate</v>
      </c>
      <c r="E248" t="str">
        <f>VLOOKUP(B248,[1]물질정보!B:E,4,0)</f>
        <v>C5H8O3</v>
      </c>
      <c r="F248" t="str">
        <f>VLOOKUP(B248,[1]물질정보!B:F,5,0)</f>
        <v>116.11 g/mol</v>
      </c>
      <c r="G248" s="5" t="str">
        <f>VLOOKUP(B248,[1]물질정보!B:G,6,0)</f>
        <v>C=CC(=O)OCCO</v>
      </c>
      <c r="H248" t="s">
        <v>79</v>
      </c>
      <c r="I248" t="s">
        <v>97</v>
      </c>
      <c r="J248" t="s">
        <v>98</v>
      </c>
      <c r="K248" t="s">
        <v>29</v>
      </c>
      <c r="L248" t="s">
        <v>29</v>
      </c>
      <c r="M248" t="s">
        <v>100</v>
      </c>
      <c r="N248" t="s">
        <v>106</v>
      </c>
      <c r="O248" t="s">
        <v>29</v>
      </c>
      <c r="P248" t="s">
        <v>29</v>
      </c>
      <c r="Q248" t="s">
        <v>29</v>
      </c>
      <c r="R248" t="s">
        <v>32</v>
      </c>
      <c r="S248" t="s">
        <v>29</v>
      </c>
      <c r="T248" t="s">
        <v>66</v>
      </c>
      <c r="U248" t="s">
        <v>108</v>
      </c>
      <c r="V248" s="6" t="s">
        <v>35</v>
      </c>
      <c r="W248" t="s">
        <v>106</v>
      </c>
      <c r="X248" t="s">
        <v>29</v>
      </c>
      <c r="Y248" s="6" t="s">
        <v>98</v>
      </c>
    </row>
    <row r="249" spans="2:25" x14ac:dyDescent="0.3">
      <c r="B249" s="5" t="s">
        <v>67</v>
      </c>
      <c r="C249" s="5" t="str">
        <f>VLOOKUP(B249,[1]물질정보!B:C,2,0)</f>
        <v>818-61-1</v>
      </c>
      <c r="D249" t="str">
        <f>VLOOKUP(B249,[1]물질정보!B:D,3,0)</f>
        <v>2-hydroxyethyl acrylate</v>
      </c>
      <c r="E249" t="str">
        <f>VLOOKUP(B249,[1]물질정보!B:E,4,0)</f>
        <v>C5H8O3</v>
      </c>
      <c r="F249" t="str">
        <f>VLOOKUP(B249,[1]물질정보!B:F,5,0)</f>
        <v>116.11 g/mol</v>
      </c>
      <c r="G249" s="5" t="str">
        <f>VLOOKUP(B249,[1]물질정보!B:G,6,0)</f>
        <v>C=CC(=O)OCCO</v>
      </c>
      <c r="H249" t="s">
        <v>79</v>
      </c>
      <c r="I249" t="s">
        <v>97</v>
      </c>
      <c r="J249" t="s">
        <v>98</v>
      </c>
      <c r="K249" t="s">
        <v>29</v>
      </c>
      <c r="L249" t="s">
        <v>29</v>
      </c>
      <c r="M249" t="s">
        <v>100</v>
      </c>
      <c r="N249" t="s">
        <v>106</v>
      </c>
      <c r="O249" t="s">
        <v>29</v>
      </c>
      <c r="P249" t="s">
        <v>29</v>
      </c>
      <c r="Q249" t="s">
        <v>29</v>
      </c>
      <c r="R249" t="s">
        <v>32</v>
      </c>
      <c r="S249" t="s">
        <v>29</v>
      </c>
      <c r="T249" t="s">
        <v>66</v>
      </c>
      <c r="U249" t="s">
        <v>109</v>
      </c>
      <c r="V249" s="6" t="s">
        <v>35</v>
      </c>
      <c r="W249" t="s">
        <v>106</v>
      </c>
      <c r="X249" t="s">
        <v>29</v>
      </c>
      <c r="Y249" s="6" t="s">
        <v>98</v>
      </c>
    </row>
    <row r="250" spans="2:25" x14ac:dyDescent="0.3">
      <c r="B250" s="5" t="s">
        <v>67</v>
      </c>
      <c r="C250" s="5" t="str">
        <f>VLOOKUP(B250,[1]물질정보!B:C,2,0)</f>
        <v>818-61-1</v>
      </c>
      <c r="D250" t="str">
        <f>VLOOKUP(B250,[1]물질정보!B:D,3,0)</f>
        <v>2-hydroxyethyl acrylate</v>
      </c>
      <c r="E250" t="str">
        <f>VLOOKUP(B250,[1]물질정보!B:E,4,0)</f>
        <v>C5H8O3</v>
      </c>
      <c r="F250" t="str">
        <f>VLOOKUP(B250,[1]물질정보!B:F,5,0)</f>
        <v>116.11 g/mol</v>
      </c>
      <c r="G250" s="5" t="str">
        <f>VLOOKUP(B250,[1]물질정보!B:G,6,0)</f>
        <v>C=CC(=O)OCCO</v>
      </c>
      <c r="H250" t="s">
        <v>79</v>
      </c>
      <c r="I250" t="s">
        <v>97</v>
      </c>
      <c r="J250" t="s">
        <v>98</v>
      </c>
      <c r="K250" t="s">
        <v>90</v>
      </c>
      <c r="L250" t="s">
        <v>29</v>
      </c>
      <c r="M250" t="s">
        <v>100</v>
      </c>
      <c r="N250" t="s">
        <v>106</v>
      </c>
      <c r="O250" t="s">
        <v>29</v>
      </c>
      <c r="P250" t="s">
        <v>29</v>
      </c>
      <c r="Q250" t="s">
        <v>29</v>
      </c>
      <c r="R250" t="s">
        <v>32</v>
      </c>
      <c r="S250" t="s">
        <v>29</v>
      </c>
      <c r="T250" t="s">
        <v>40</v>
      </c>
      <c r="U250" t="s">
        <v>110</v>
      </c>
      <c r="V250" s="6" t="s">
        <v>35</v>
      </c>
      <c r="W250" t="s">
        <v>106</v>
      </c>
      <c r="X250" t="s">
        <v>29</v>
      </c>
      <c r="Y250" s="6" t="s">
        <v>98</v>
      </c>
    </row>
    <row r="251" spans="2:25" x14ac:dyDescent="0.3">
      <c r="B251" s="5" t="s">
        <v>67</v>
      </c>
      <c r="C251" s="5" t="str">
        <f>VLOOKUP(B251,[1]물질정보!B:C,2,0)</f>
        <v>818-61-1</v>
      </c>
      <c r="D251" t="str">
        <f>VLOOKUP(B251,[1]물질정보!B:D,3,0)</f>
        <v>2-hydroxyethyl acrylate</v>
      </c>
      <c r="E251" t="str">
        <f>VLOOKUP(B251,[1]물질정보!B:E,4,0)</f>
        <v>C5H8O3</v>
      </c>
      <c r="F251" t="str">
        <f>VLOOKUP(B251,[1]물질정보!B:F,5,0)</f>
        <v>116.11 g/mol</v>
      </c>
      <c r="G251" s="5" t="str">
        <f>VLOOKUP(B251,[1]물질정보!B:G,6,0)</f>
        <v>C=CC(=O)OCCO</v>
      </c>
      <c r="H251" t="s">
        <v>79</v>
      </c>
      <c r="I251" t="s">
        <v>111</v>
      </c>
      <c r="J251" t="s">
        <v>824</v>
      </c>
      <c r="K251" t="s">
        <v>29</v>
      </c>
      <c r="L251" t="s">
        <v>29</v>
      </c>
      <c r="M251" t="s">
        <v>122</v>
      </c>
      <c r="N251" t="s">
        <v>29</v>
      </c>
      <c r="O251" t="s">
        <v>29</v>
      </c>
      <c r="P251" t="s">
        <v>29</v>
      </c>
      <c r="Q251" t="s">
        <v>29</v>
      </c>
      <c r="R251" t="s">
        <v>32</v>
      </c>
      <c r="S251" t="s">
        <v>29</v>
      </c>
      <c r="T251" t="s">
        <v>66</v>
      </c>
      <c r="U251" t="s">
        <v>121</v>
      </c>
      <c r="V251" s="6" t="s">
        <v>35</v>
      </c>
      <c r="W251" t="s">
        <v>112</v>
      </c>
      <c r="X251" t="s">
        <v>29</v>
      </c>
      <c r="Y251" s="6" t="s">
        <v>753</v>
      </c>
    </row>
    <row r="252" spans="2:25" x14ac:dyDescent="0.3">
      <c r="B252" s="5" t="s">
        <v>67</v>
      </c>
      <c r="C252" s="5" t="str">
        <f>VLOOKUP(B252,[1]물질정보!B:C,2,0)</f>
        <v>818-61-1</v>
      </c>
      <c r="D252" t="str">
        <f>VLOOKUP(B252,[1]물질정보!B:D,3,0)</f>
        <v>2-hydroxyethyl acrylate</v>
      </c>
      <c r="E252" t="str">
        <f>VLOOKUP(B252,[1]물질정보!B:E,4,0)</f>
        <v>C5H8O3</v>
      </c>
      <c r="F252" t="str">
        <f>VLOOKUP(B252,[1]물질정보!B:F,5,0)</f>
        <v>116.11 g/mol</v>
      </c>
      <c r="G252" s="5" t="str">
        <f>VLOOKUP(B252,[1]물질정보!B:G,6,0)</f>
        <v>C=CC(=O)OCCO</v>
      </c>
      <c r="H252" t="s">
        <v>79</v>
      </c>
      <c r="I252" t="s">
        <v>111</v>
      </c>
      <c r="J252" t="s">
        <v>824</v>
      </c>
      <c r="K252" t="s">
        <v>29</v>
      </c>
      <c r="L252" t="s">
        <v>29</v>
      </c>
      <c r="M252" t="s">
        <v>122</v>
      </c>
      <c r="N252" t="s">
        <v>29</v>
      </c>
      <c r="O252" t="s">
        <v>29</v>
      </c>
      <c r="P252" t="s">
        <v>29</v>
      </c>
      <c r="Q252" t="s">
        <v>29</v>
      </c>
      <c r="R252" t="s">
        <v>32</v>
      </c>
      <c r="S252" t="s">
        <v>29</v>
      </c>
      <c r="T252" t="s">
        <v>66</v>
      </c>
      <c r="U252" t="s">
        <v>114</v>
      </c>
      <c r="V252" s="6" t="s">
        <v>35</v>
      </c>
      <c r="W252" t="s">
        <v>112</v>
      </c>
      <c r="X252" t="s">
        <v>29</v>
      </c>
      <c r="Y252" s="6" t="s">
        <v>753</v>
      </c>
    </row>
    <row r="253" spans="2:25" x14ac:dyDescent="0.3">
      <c r="B253" s="5" t="s">
        <v>67</v>
      </c>
      <c r="C253" s="5" t="str">
        <f>VLOOKUP(B253,[1]물질정보!B:C,2,0)</f>
        <v>818-61-1</v>
      </c>
      <c r="D253" t="str">
        <f>VLOOKUP(B253,[1]물질정보!B:D,3,0)</f>
        <v>2-hydroxyethyl acrylate</v>
      </c>
      <c r="E253" t="str">
        <f>VLOOKUP(B253,[1]물질정보!B:E,4,0)</f>
        <v>C5H8O3</v>
      </c>
      <c r="F253" t="str">
        <f>VLOOKUP(B253,[1]물질정보!B:F,5,0)</f>
        <v>116.11 g/mol</v>
      </c>
      <c r="G253" s="5" t="str">
        <f>VLOOKUP(B253,[1]물질정보!B:G,6,0)</f>
        <v>C=CC(=O)OCCO</v>
      </c>
      <c r="H253" t="s">
        <v>79</v>
      </c>
      <c r="I253" t="s">
        <v>111</v>
      </c>
      <c r="J253" t="s">
        <v>824</v>
      </c>
      <c r="K253" t="s">
        <v>29</v>
      </c>
      <c r="L253" t="s">
        <v>29</v>
      </c>
      <c r="M253" t="s">
        <v>122</v>
      </c>
      <c r="N253" t="s">
        <v>29</v>
      </c>
      <c r="O253" t="s">
        <v>29</v>
      </c>
      <c r="P253" t="s">
        <v>29</v>
      </c>
      <c r="Q253" t="s">
        <v>29</v>
      </c>
      <c r="R253" t="s">
        <v>32</v>
      </c>
      <c r="S253" t="s">
        <v>29</v>
      </c>
      <c r="T253" t="s">
        <v>66</v>
      </c>
      <c r="U253" t="s">
        <v>115</v>
      </c>
      <c r="V253" s="6" t="s">
        <v>35</v>
      </c>
      <c r="W253" t="s">
        <v>112</v>
      </c>
      <c r="X253" t="s">
        <v>29</v>
      </c>
      <c r="Y253" s="6" t="s">
        <v>753</v>
      </c>
    </row>
    <row r="254" spans="2:25" x14ac:dyDescent="0.3">
      <c r="B254" s="5" t="s">
        <v>67</v>
      </c>
      <c r="C254" s="5" t="str">
        <f>VLOOKUP(B254,[1]물질정보!B:C,2,0)</f>
        <v>818-61-1</v>
      </c>
      <c r="D254" t="str">
        <f>VLOOKUP(B254,[1]물질정보!B:D,3,0)</f>
        <v>2-hydroxyethyl acrylate</v>
      </c>
      <c r="E254" t="str">
        <f>VLOOKUP(B254,[1]물질정보!B:E,4,0)</f>
        <v>C5H8O3</v>
      </c>
      <c r="F254" t="str">
        <f>VLOOKUP(B254,[1]물질정보!B:F,5,0)</f>
        <v>116.11 g/mol</v>
      </c>
      <c r="G254" s="5" t="str">
        <f>VLOOKUP(B254,[1]물질정보!B:G,6,0)</f>
        <v>C=CC(=O)OCCO</v>
      </c>
      <c r="H254" t="s">
        <v>79</v>
      </c>
      <c r="I254" t="s">
        <v>111</v>
      </c>
      <c r="J254" t="s">
        <v>824</v>
      </c>
      <c r="K254" t="s">
        <v>99</v>
      </c>
      <c r="L254" t="s">
        <v>29</v>
      </c>
      <c r="M254" t="s">
        <v>122</v>
      </c>
      <c r="N254" t="s">
        <v>29</v>
      </c>
      <c r="O254" t="s">
        <v>29</v>
      </c>
      <c r="P254" t="s">
        <v>29</v>
      </c>
      <c r="Q254" t="s">
        <v>29</v>
      </c>
      <c r="R254" t="s">
        <v>32</v>
      </c>
      <c r="S254" t="s">
        <v>29</v>
      </c>
      <c r="T254" t="s">
        <v>40</v>
      </c>
      <c r="U254" t="s">
        <v>116</v>
      </c>
      <c r="V254" s="6" t="s">
        <v>35</v>
      </c>
      <c r="W254" t="s">
        <v>112</v>
      </c>
      <c r="X254" t="s">
        <v>29</v>
      </c>
      <c r="Y254" s="6" t="s">
        <v>753</v>
      </c>
    </row>
    <row r="255" spans="2:25" x14ac:dyDescent="0.3">
      <c r="B255" s="5" t="s">
        <v>67</v>
      </c>
      <c r="C255" s="5" t="str">
        <f>VLOOKUP(B255,[1]물질정보!B:C,2,0)</f>
        <v>818-61-1</v>
      </c>
      <c r="D255" t="str">
        <f>VLOOKUP(B255,[1]물질정보!B:D,3,0)</f>
        <v>2-hydroxyethyl acrylate</v>
      </c>
      <c r="E255" t="str">
        <f>VLOOKUP(B255,[1]물질정보!B:E,4,0)</f>
        <v>C5H8O3</v>
      </c>
      <c r="F255" t="str">
        <f>VLOOKUP(B255,[1]물질정보!B:F,5,0)</f>
        <v>116.11 g/mol</v>
      </c>
      <c r="G255" s="5" t="str">
        <f>VLOOKUP(B255,[1]물질정보!B:G,6,0)</f>
        <v>C=CC(=O)OCCO</v>
      </c>
      <c r="H255" t="s">
        <v>79</v>
      </c>
      <c r="I255" t="s">
        <v>685</v>
      </c>
      <c r="J255" t="s">
        <v>117</v>
      </c>
      <c r="K255" t="s">
        <v>123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t="s">
        <v>32</v>
      </c>
      <c r="S255" t="s">
        <v>29</v>
      </c>
      <c r="T255" t="s">
        <v>29</v>
      </c>
      <c r="U255" t="s">
        <v>119</v>
      </c>
      <c r="V255" s="6" t="s">
        <v>35</v>
      </c>
      <c r="W255" t="s">
        <v>120</v>
      </c>
      <c r="X255" t="s">
        <v>29</v>
      </c>
      <c r="Y255" s="6" t="s">
        <v>117</v>
      </c>
    </row>
    <row r="256" spans="2:25" x14ac:dyDescent="0.3">
      <c r="B256" s="5" t="s">
        <v>68</v>
      </c>
      <c r="C256" s="5" t="str">
        <f>VLOOKUP(B256,[1]물질정보!B:C,2,0)</f>
        <v>997-46-6</v>
      </c>
      <c r="D256" t="str">
        <f>VLOOKUP(B256,[1]물질정보!B:D,3,0)</f>
        <v>4-hydroxybutyl methacrylate</v>
      </c>
      <c r="E256" t="str">
        <f>VLOOKUP(B256,[1]물질정보!B:E,4,0)</f>
        <v>C8H14O3</v>
      </c>
      <c r="F256" t="str">
        <f>VLOOKUP(B256,[1]물질정보!B:F,5,0)</f>
        <v>158.19 g/mol</v>
      </c>
      <c r="G256" s="5" t="str">
        <f>VLOOKUP(B256,[1]물질정보!B:G,6,0)</f>
        <v>CC(=C)C(=O)OCCCCO</v>
      </c>
      <c r="H256" t="s">
        <v>79</v>
      </c>
      <c r="I256" t="s">
        <v>80</v>
      </c>
      <c r="J256" t="s">
        <v>81</v>
      </c>
      <c r="K256">
        <v>5300</v>
      </c>
      <c r="L256" t="s">
        <v>85</v>
      </c>
      <c r="M256" t="s">
        <v>83</v>
      </c>
      <c r="N256" t="s">
        <v>29</v>
      </c>
      <c r="O256" t="s">
        <v>29</v>
      </c>
      <c r="P256">
        <v>48</v>
      </c>
      <c r="Q256" t="s">
        <v>31</v>
      </c>
      <c r="R256" t="s">
        <v>32</v>
      </c>
      <c r="S256" t="s">
        <v>29</v>
      </c>
      <c r="T256" t="s">
        <v>40</v>
      </c>
      <c r="U256" t="s">
        <v>84</v>
      </c>
      <c r="V256" s="6" t="s">
        <v>35</v>
      </c>
      <c r="W256" t="s">
        <v>83</v>
      </c>
      <c r="X256" t="s">
        <v>29</v>
      </c>
      <c r="Y256" s="6" t="s">
        <v>81</v>
      </c>
    </row>
    <row r="257" spans="2:25" x14ac:dyDescent="0.3">
      <c r="B257" s="5" t="s">
        <v>68</v>
      </c>
      <c r="C257" s="5" t="str">
        <f>VLOOKUP(B257,[1]물질정보!B:C,2,0)</f>
        <v>997-46-6</v>
      </c>
      <c r="D257" t="str">
        <f>VLOOKUP(B257,[1]물질정보!B:D,3,0)</f>
        <v>4-hydroxybutyl methacrylate</v>
      </c>
      <c r="E257" t="str">
        <f>VLOOKUP(B257,[1]물질정보!B:E,4,0)</f>
        <v>C8H14O3</v>
      </c>
      <c r="F257" t="str">
        <f>VLOOKUP(B257,[1]물질정보!B:F,5,0)</f>
        <v>158.19 g/mol</v>
      </c>
      <c r="G257" s="5" t="str">
        <f>VLOOKUP(B257,[1]물질정보!B:G,6,0)</f>
        <v>CC(=C)C(=O)OCCCCO</v>
      </c>
      <c r="H257" t="s">
        <v>79</v>
      </c>
      <c r="I257" t="s">
        <v>80</v>
      </c>
      <c r="J257" t="s">
        <v>81</v>
      </c>
      <c r="K257">
        <v>5600</v>
      </c>
      <c r="L257" t="s">
        <v>85</v>
      </c>
      <c r="M257" t="s">
        <v>86</v>
      </c>
      <c r="N257" t="s">
        <v>29</v>
      </c>
      <c r="O257" t="s">
        <v>29</v>
      </c>
      <c r="P257">
        <v>48</v>
      </c>
      <c r="Q257" t="s">
        <v>31</v>
      </c>
      <c r="R257" t="s">
        <v>32</v>
      </c>
      <c r="S257" t="s">
        <v>29</v>
      </c>
      <c r="T257" t="s">
        <v>40</v>
      </c>
      <c r="U257" t="s">
        <v>87</v>
      </c>
      <c r="V257" s="6" t="s">
        <v>35</v>
      </c>
      <c r="W257" t="s">
        <v>86</v>
      </c>
      <c r="X257" t="s">
        <v>29</v>
      </c>
      <c r="Y257" s="6" t="s">
        <v>81</v>
      </c>
    </row>
    <row r="258" spans="2:25" x14ac:dyDescent="0.3">
      <c r="B258" s="5" t="s">
        <v>68</v>
      </c>
      <c r="C258" s="5" t="str">
        <f>VLOOKUP(B258,[1]물질정보!B:C,2,0)</f>
        <v>997-46-6</v>
      </c>
      <c r="D258" t="str">
        <f>VLOOKUP(B258,[1]물질정보!B:D,3,0)</f>
        <v>4-hydroxybutyl methacrylate</v>
      </c>
      <c r="E258" t="str">
        <f>VLOOKUP(B258,[1]물질정보!B:E,4,0)</f>
        <v>C8H14O3</v>
      </c>
      <c r="F258" t="str">
        <f>VLOOKUP(B258,[1]물질정보!B:F,5,0)</f>
        <v>158.19 g/mol</v>
      </c>
      <c r="G258" s="5" t="str">
        <f>VLOOKUP(B258,[1]물질정보!B:G,6,0)</f>
        <v>CC(=C)C(=O)OCCCCO</v>
      </c>
      <c r="H258" t="s">
        <v>79</v>
      </c>
      <c r="I258" t="s">
        <v>88</v>
      </c>
      <c r="J258" t="s">
        <v>89</v>
      </c>
      <c r="K258" t="s">
        <v>90</v>
      </c>
      <c r="L258" t="s">
        <v>29</v>
      </c>
      <c r="M258" t="s">
        <v>91</v>
      </c>
      <c r="N258" t="s">
        <v>29</v>
      </c>
      <c r="O258" t="s">
        <v>29</v>
      </c>
      <c r="P258" t="s">
        <v>29</v>
      </c>
      <c r="Q258" t="s">
        <v>29</v>
      </c>
      <c r="R258" t="s">
        <v>32</v>
      </c>
      <c r="S258" t="s">
        <v>29</v>
      </c>
      <c r="T258" t="s">
        <v>40</v>
      </c>
      <c r="U258" t="s">
        <v>92</v>
      </c>
      <c r="V258" s="6" t="s">
        <v>35</v>
      </c>
      <c r="W258" t="s">
        <v>93</v>
      </c>
      <c r="X258" t="s">
        <v>29</v>
      </c>
      <c r="Y258" s="6" t="s">
        <v>89</v>
      </c>
    </row>
    <row r="259" spans="2:25" x14ac:dyDescent="0.3">
      <c r="B259" s="5" t="s">
        <v>68</v>
      </c>
      <c r="C259" s="5" t="str">
        <f>VLOOKUP(B259,[1]물질정보!B:C,2,0)</f>
        <v>997-46-6</v>
      </c>
      <c r="D259" t="str">
        <f>VLOOKUP(B259,[1]물질정보!B:D,3,0)</f>
        <v>4-hydroxybutyl methacrylate</v>
      </c>
      <c r="E259" t="str">
        <f>VLOOKUP(B259,[1]물질정보!B:E,4,0)</f>
        <v>C8H14O3</v>
      </c>
      <c r="F259" t="str">
        <f>VLOOKUP(B259,[1]물질정보!B:F,5,0)</f>
        <v>158.19 g/mol</v>
      </c>
      <c r="G259" s="5" t="str">
        <f>VLOOKUP(B259,[1]물질정보!B:G,6,0)</f>
        <v>CC(=C)C(=O)OCCCCO</v>
      </c>
      <c r="H259" t="s">
        <v>79</v>
      </c>
      <c r="I259" t="s">
        <v>88</v>
      </c>
      <c r="J259" t="s">
        <v>89</v>
      </c>
      <c r="K259" t="s">
        <v>90</v>
      </c>
      <c r="L259" t="s">
        <v>29</v>
      </c>
      <c r="M259" t="s">
        <v>91</v>
      </c>
      <c r="N259" t="s">
        <v>29</v>
      </c>
      <c r="O259" t="s">
        <v>29</v>
      </c>
      <c r="P259" t="s">
        <v>29</v>
      </c>
      <c r="Q259" t="s">
        <v>29</v>
      </c>
      <c r="R259" t="s">
        <v>32</v>
      </c>
      <c r="S259" t="s">
        <v>29</v>
      </c>
      <c r="T259" t="s">
        <v>40</v>
      </c>
      <c r="U259" t="s">
        <v>94</v>
      </c>
      <c r="V259" s="6" t="s">
        <v>35</v>
      </c>
      <c r="W259" t="s">
        <v>93</v>
      </c>
      <c r="X259" t="s">
        <v>29</v>
      </c>
      <c r="Y259" s="6" t="s">
        <v>89</v>
      </c>
    </row>
    <row r="260" spans="2:25" x14ac:dyDescent="0.3">
      <c r="B260" s="5" t="s">
        <v>68</v>
      </c>
      <c r="C260" s="5" t="str">
        <f>VLOOKUP(B260,[1]물질정보!B:C,2,0)</f>
        <v>997-46-6</v>
      </c>
      <c r="D260" t="str">
        <f>VLOOKUP(B260,[1]물질정보!B:D,3,0)</f>
        <v>4-hydroxybutyl methacrylate</v>
      </c>
      <c r="E260" t="str">
        <f>VLOOKUP(B260,[1]물질정보!B:E,4,0)</f>
        <v>C8H14O3</v>
      </c>
      <c r="F260" t="str">
        <f>VLOOKUP(B260,[1]물질정보!B:F,5,0)</f>
        <v>158.19 g/mol</v>
      </c>
      <c r="G260" s="5" t="str">
        <f>VLOOKUP(B260,[1]물질정보!B:G,6,0)</f>
        <v>CC(=C)C(=O)OCCCCO</v>
      </c>
      <c r="H260" t="s">
        <v>79</v>
      </c>
      <c r="I260" t="s">
        <v>88</v>
      </c>
      <c r="J260" t="s">
        <v>89</v>
      </c>
      <c r="K260" t="s">
        <v>90</v>
      </c>
      <c r="L260" t="s">
        <v>29</v>
      </c>
      <c r="M260" t="s">
        <v>91</v>
      </c>
      <c r="N260" t="s">
        <v>29</v>
      </c>
      <c r="O260" t="s">
        <v>29</v>
      </c>
      <c r="P260" t="s">
        <v>29</v>
      </c>
      <c r="Q260" t="s">
        <v>29</v>
      </c>
      <c r="R260" t="s">
        <v>32</v>
      </c>
      <c r="S260" t="s">
        <v>29</v>
      </c>
      <c r="T260" t="s">
        <v>40</v>
      </c>
      <c r="U260" t="s">
        <v>95</v>
      </c>
      <c r="V260" s="6" t="s">
        <v>35</v>
      </c>
      <c r="W260" t="s">
        <v>93</v>
      </c>
      <c r="X260" t="s">
        <v>29</v>
      </c>
      <c r="Y260" s="6" t="s">
        <v>89</v>
      </c>
    </row>
    <row r="261" spans="2:25" x14ac:dyDescent="0.3">
      <c r="B261" s="5" t="s">
        <v>68</v>
      </c>
      <c r="C261" s="5" t="str">
        <f>VLOOKUP(B261,[1]물질정보!B:C,2,0)</f>
        <v>997-46-6</v>
      </c>
      <c r="D261" t="str">
        <f>VLOOKUP(B261,[1]물질정보!B:D,3,0)</f>
        <v>4-hydroxybutyl methacrylate</v>
      </c>
      <c r="E261" t="str">
        <f>VLOOKUP(B261,[1]물질정보!B:E,4,0)</f>
        <v>C8H14O3</v>
      </c>
      <c r="F261" t="str">
        <f>VLOOKUP(B261,[1]물질정보!B:F,5,0)</f>
        <v>158.19 g/mol</v>
      </c>
      <c r="G261" s="5" t="str">
        <f>VLOOKUP(B261,[1]물질정보!B:G,6,0)</f>
        <v>CC(=C)C(=O)OCCCCO</v>
      </c>
      <c r="H261" t="s">
        <v>79</v>
      </c>
      <c r="I261" t="s">
        <v>88</v>
      </c>
      <c r="J261" t="s">
        <v>89</v>
      </c>
      <c r="K261" t="s">
        <v>90</v>
      </c>
      <c r="L261" t="s">
        <v>29</v>
      </c>
      <c r="M261" t="s">
        <v>91</v>
      </c>
      <c r="N261" t="s">
        <v>29</v>
      </c>
      <c r="O261" t="s">
        <v>29</v>
      </c>
      <c r="P261" t="s">
        <v>29</v>
      </c>
      <c r="Q261" t="s">
        <v>29</v>
      </c>
      <c r="R261" t="s">
        <v>32</v>
      </c>
      <c r="S261" t="s">
        <v>29</v>
      </c>
      <c r="T261" t="s">
        <v>40</v>
      </c>
      <c r="U261" t="s">
        <v>96</v>
      </c>
      <c r="V261" s="6" t="s">
        <v>35</v>
      </c>
      <c r="W261" t="s">
        <v>93</v>
      </c>
      <c r="X261" t="s">
        <v>29</v>
      </c>
      <c r="Y261" s="6" t="s">
        <v>89</v>
      </c>
    </row>
    <row r="262" spans="2:25" x14ac:dyDescent="0.3">
      <c r="B262" s="5" t="s">
        <v>68</v>
      </c>
      <c r="C262" s="5" t="str">
        <f>VLOOKUP(B262,[1]물질정보!B:C,2,0)</f>
        <v>997-46-6</v>
      </c>
      <c r="D262" t="str">
        <f>VLOOKUP(B262,[1]물질정보!B:D,3,0)</f>
        <v>4-hydroxybutyl methacrylate</v>
      </c>
      <c r="E262" t="str">
        <f>VLOOKUP(B262,[1]물질정보!B:E,4,0)</f>
        <v>C8H14O3</v>
      </c>
      <c r="F262" t="str">
        <f>VLOOKUP(B262,[1]물질정보!B:F,5,0)</f>
        <v>158.19 g/mol</v>
      </c>
      <c r="G262" s="5" t="str">
        <f>VLOOKUP(B262,[1]물질정보!B:G,6,0)</f>
        <v>CC(=C)C(=O)OCCCCO</v>
      </c>
      <c r="H262" t="s">
        <v>79</v>
      </c>
      <c r="I262" t="s">
        <v>97</v>
      </c>
      <c r="J262" t="s">
        <v>98</v>
      </c>
      <c r="K262" t="s">
        <v>99</v>
      </c>
      <c r="L262" t="s">
        <v>29</v>
      </c>
      <c r="M262" t="s">
        <v>100</v>
      </c>
      <c r="N262" t="s">
        <v>101</v>
      </c>
      <c r="O262" t="s">
        <v>29</v>
      </c>
      <c r="P262" t="s">
        <v>29</v>
      </c>
      <c r="Q262" t="s">
        <v>29</v>
      </c>
      <c r="R262" t="s">
        <v>32</v>
      </c>
      <c r="S262" t="s">
        <v>29</v>
      </c>
      <c r="T262" t="s">
        <v>40</v>
      </c>
      <c r="U262" t="s">
        <v>102</v>
      </c>
      <c r="V262" s="6" t="s">
        <v>35</v>
      </c>
      <c r="W262" t="s">
        <v>101</v>
      </c>
      <c r="X262" t="s">
        <v>29</v>
      </c>
      <c r="Y262" s="6" t="s">
        <v>98</v>
      </c>
    </row>
    <row r="263" spans="2:25" x14ac:dyDescent="0.3">
      <c r="B263" s="5" t="s">
        <v>68</v>
      </c>
      <c r="C263" s="5" t="str">
        <f>VLOOKUP(B263,[1]물질정보!B:C,2,0)</f>
        <v>997-46-6</v>
      </c>
      <c r="D263" t="str">
        <f>VLOOKUP(B263,[1]물질정보!B:D,3,0)</f>
        <v>4-hydroxybutyl methacrylate</v>
      </c>
      <c r="E263" t="str">
        <f>VLOOKUP(B263,[1]물질정보!B:E,4,0)</f>
        <v>C8H14O3</v>
      </c>
      <c r="F263" t="str">
        <f>VLOOKUP(B263,[1]물질정보!B:F,5,0)</f>
        <v>158.19 g/mol</v>
      </c>
      <c r="G263" s="5" t="str">
        <f>VLOOKUP(B263,[1]물질정보!B:G,6,0)</f>
        <v>CC(=C)C(=O)OCCCCO</v>
      </c>
      <c r="H263" t="s">
        <v>79</v>
      </c>
      <c r="I263" t="s">
        <v>97</v>
      </c>
      <c r="J263" t="s">
        <v>98</v>
      </c>
      <c r="K263" t="s">
        <v>99</v>
      </c>
      <c r="L263" t="s">
        <v>29</v>
      </c>
      <c r="M263" t="s">
        <v>100</v>
      </c>
      <c r="N263" t="s">
        <v>101</v>
      </c>
      <c r="O263" t="s">
        <v>29</v>
      </c>
      <c r="P263" t="s">
        <v>29</v>
      </c>
      <c r="Q263" t="s">
        <v>29</v>
      </c>
      <c r="R263" t="s">
        <v>32</v>
      </c>
      <c r="S263" t="s">
        <v>29</v>
      </c>
      <c r="T263" t="s">
        <v>40</v>
      </c>
      <c r="U263" t="s">
        <v>103</v>
      </c>
      <c r="V263" s="6" t="s">
        <v>35</v>
      </c>
      <c r="W263" t="s">
        <v>101</v>
      </c>
      <c r="X263" t="s">
        <v>29</v>
      </c>
      <c r="Y263" s="6" t="s">
        <v>98</v>
      </c>
    </row>
    <row r="264" spans="2:25" x14ac:dyDescent="0.3">
      <c r="B264" s="5" t="s">
        <v>68</v>
      </c>
      <c r="C264" s="5" t="str">
        <f>VLOOKUP(B264,[1]물질정보!B:C,2,0)</f>
        <v>997-46-6</v>
      </c>
      <c r="D264" t="str">
        <f>VLOOKUP(B264,[1]물질정보!B:D,3,0)</f>
        <v>4-hydroxybutyl methacrylate</v>
      </c>
      <c r="E264" t="str">
        <f>VLOOKUP(B264,[1]물질정보!B:E,4,0)</f>
        <v>C8H14O3</v>
      </c>
      <c r="F264" t="str">
        <f>VLOOKUP(B264,[1]물질정보!B:F,5,0)</f>
        <v>158.19 g/mol</v>
      </c>
      <c r="G264" s="5" t="str">
        <f>VLOOKUP(B264,[1]물질정보!B:G,6,0)</f>
        <v>CC(=C)C(=O)OCCCCO</v>
      </c>
      <c r="H264" t="s">
        <v>79</v>
      </c>
      <c r="I264" t="s">
        <v>97</v>
      </c>
      <c r="J264" t="s">
        <v>98</v>
      </c>
      <c r="K264" t="s">
        <v>99</v>
      </c>
      <c r="L264" t="s">
        <v>29</v>
      </c>
      <c r="M264" t="s">
        <v>100</v>
      </c>
      <c r="N264" t="s">
        <v>101</v>
      </c>
      <c r="O264" t="s">
        <v>29</v>
      </c>
      <c r="P264" t="s">
        <v>29</v>
      </c>
      <c r="Q264" t="s">
        <v>29</v>
      </c>
      <c r="R264" t="s">
        <v>32</v>
      </c>
      <c r="S264" t="s">
        <v>29</v>
      </c>
      <c r="T264" t="s">
        <v>40</v>
      </c>
      <c r="U264" t="s">
        <v>104</v>
      </c>
      <c r="V264" s="6" t="s">
        <v>35</v>
      </c>
      <c r="W264" t="s">
        <v>101</v>
      </c>
      <c r="X264" t="s">
        <v>29</v>
      </c>
      <c r="Y264" s="6" t="s">
        <v>98</v>
      </c>
    </row>
    <row r="265" spans="2:25" x14ac:dyDescent="0.3">
      <c r="B265" s="5" t="s">
        <v>68</v>
      </c>
      <c r="C265" s="5" t="str">
        <f>VLOOKUP(B265,[1]물질정보!B:C,2,0)</f>
        <v>997-46-6</v>
      </c>
      <c r="D265" t="str">
        <f>VLOOKUP(B265,[1]물질정보!B:D,3,0)</f>
        <v>4-hydroxybutyl methacrylate</v>
      </c>
      <c r="E265" t="str">
        <f>VLOOKUP(B265,[1]물질정보!B:E,4,0)</f>
        <v>C8H14O3</v>
      </c>
      <c r="F265" t="str">
        <f>VLOOKUP(B265,[1]물질정보!B:F,5,0)</f>
        <v>158.19 g/mol</v>
      </c>
      <c r="G265" s="5" t="str">
        <f>VLOOKUP(B265,[1]물질정보!B:G,6,0)</f>
        <v>CC(=C)C(=O)OCCCCO</v>
      </c>
      <c r="H265" t="s">
        <v>79</v>
      </c>
      <c r="I265" t="s">
        <v>97</v>
      </c>
      <c r="J265" t="s">
        <v>98</v>
      </c>
      <c r="K265" t="s">
        <v>29</v>
      </c>
      <c r="L265" t="s">
        <v>29</v>
      </c>
      <c r="M265" t="s">
        <v>100</v>
      </c>
      <c r="N265" t="s">
        <v>101</v>
      </c>
      <c r="O265" t="s">
        <v>29</v>
      </c>
      <c r="P265" t="s">
        <v>29</v>
      </c>
      <c r="Q265" t="s">
        <v>29</v>
      </c>
      <c r="R265" t="s">
        <v>32</v>
      </c>
      <c r="S265" t="s">
        <v>29</v>
      </c>
      <c r="T265" t="s">
        <v>66</v>
      </c>
      <c r="U265" t="s">
        <v>105</v>
      </c>
      <c r="V265" s="6" t="s">
        <v>35</v>
      </c>
      <c r="W265" t="s">
        <v>101</v>
      </c>
      <c r="X265" t="s">
        <v>29</v>
      </c>
      <c r="Y265" s="6" t="s">
        <v>98</v>
      </c>
    </row>
    <row r="266" spans="2:25" x14ac:dyDescent="0.3">
      <c r="B266" s="5" t="s">
        <v>68</v>
      </c>
      <c r="C266" s="5" t="str">
        <f>VLOOKUP(B266,[1]물질정보!B:C,2,0)</f>
        <v>997-46-6</v>
      </c>
      <c r="D266" t="str">
        <f>VLOOKUP(B266,[1]물질정보!B:D,3,0)</f>
        <v>4-hydroxybutyl methacrylate</v>
      </c>
      <c r="E266" t="str">
        <f>VLOOKUP(B266,[1]물질정보!B:E,4,0)</f>
        <v>C8H14O3</v>
      </c>
      <c r="F266" t="str">
        <f>VLOOKUP(B266,[1]물질정보!B:F,5,0)</f>
        <v>158.19 g/mol</v>
      </c>
      <c r="G266" s="5" t="str">
        <f>VLOOKUP(B266,[1]물질정보!B:G,6,0)</f>
        <v>CC(=C)C(=O)OCCCCO</v>
      </c>
      <c r="H266" t="s">
        <v>79</v>
      </c>
      <c r="I266" t="s">
        <v>97</v>
      </c>
      <c r="J266" t="s">
        <v>98</v>
      </c>
      <c r="K266" t="s">
        <v>99</v>
      </c>
      <c r="L266" t="s">
        <v>29</v>
      </c>
      <c r="M266" t="s">
        <v>100</v>
      </c>
      <c r="N266" t="s">
        <v>106</v>
      </c>
      <c r="O266" t="s">
        <v>29</v>
      </c>
      <c r="P266" t="s">
        <v>29</v>
      </c>
      <c r="Q266" t="s">
        <v>29</v>
      </c>
      <c r="R266" t="s">
        <v>32</v>
      </c>
      <c r="S266" t="s">
        <v>29</v>
      </c>
      <c r="T266" t="s">
        <v>40</v>
      </c>
      <c r="U266" t="s">
        <v>107</v>
      </c>
      <c r="V266" s="6" t="s">
        <v>35</v>
      </c>
      <c r="W266" t="s">
        <v>106</v>
      </c>
      <c r="X266" t="s">
        <v>29</v>
      </c>
      <c r="Y266" s="6" t="s">
        <v>98</v>
      </c>
    </row>
    <row r="267" spans="2:25" x14ac:dyDescent="0.3">
      <c r="B267" s="5" t="s">
        <v>68</v>
      </c>
      <c r="C267" s="5" t="str">
        <f>VLOOKUP(B267,[1]물질정보!B:C,2,0)</f>
        <v>997-46-6</v>
      </c>
      <c r="D267" t="str">
        <f>VLOOKUP(B267,[1]물질정보!B:D,3,0)</f>
        <v>4-hydroxybutyl methacrylate</v>
      </c>
      <c r="E267" t="str">
        <f>VLOOKUP(B267,[1]물질정보!B:E,4,0)</f>
        <v>C8H14O3</v>
      </c>
      <c r="F267" t="str">
        <f>VLOOKUP(B267,[1]물질정보!B:F,5,0)</f>
        <v>158.19 g/mol</v>
      </c>
      <c r="G267" s="5" t="str">
        <f>VLOOKUP(B267,[1]물질정보!B:G,6,0)</f>
        <v>CC(=C)C(=O)OCCCCO</v>
      </c>
      <c r="H267" t="s">
        <v>79</v>
      </c>
      <c r="I267" t="s">
        <v>97</v>
      </c>
      <c r="J267" t="s">
        <v>98</v>
      </c>
      <c r="K267" t="s">
        <v>99</v>
      </c>
      <c r="L267" t="s">
        <v>29</v>
      </c>
      <c r="M267" t="s">
        <v>100</v>
      </c>
      <c r="N267" t="s">
        <v>106</v>
      </c>
      <c r="O267" t="s">
        <v>29</v>
      </c>
      <c r="P267" t="s">
        <v>29</v>
      </c>
      <c r="Q267" t="s">
        <v>29</v>
      </c>
      <c r="R267" t="s">
        <v>32</v>
      </c>
      <c r="S267" t="s">
        <v>29</v>
      </c>
      <c r="T267" t="s">
        <v>40</v>
      </c>
      <c r="U267" t="s">
        <v>108</v>
      </c>
      <c r="V267" s="6" t="s">
        <v>35</v>
      </c>
      <c r="W267" t="s">
        <v>106</v>
      </c>
      <c r="X267" t="s">
        <v>29</v>
      </c>
      <c r="Y267" s="6" t="s">
        <v>98</v>
      </c>
    </row>
    <row r="268" spans="2:25" x14ac:dyDescent="0.3">
      <c r="B268" s="5" t="s">
        <v>68</v>
      </c>
      <c r="C268" s="5" t="str">
        <f>VLOOKUP(B268,[1]물질정보!B:C,2,0)</f>
        <v>997-46-6</v>
      </c>
      <c r="D268" t="str">
        <f>VLOOKUP(B268,[1]물질정보!B:D,3,0)</f>
        <v>4-hydroxybutyl methacrylate</v>
      </c>
      <c r="E268" t="str">
        <f>VLOOKUP(B268,[1]물질정보!B:E,4,0)</f>
        <v>C8H14O3</v>
      </c>
      <c r="F268" t="str">
        <f>VLOOKUP(B268,[1]물질정보!B:F,5,0)</f>
        <v>158.19 g/mol</v>
      </c>
      <c r="G268" s="5" t="str">
        <f>VLOOKUP(B268,[1]물질정보!B:G,6,0)</f>
        <v>CC(=C)C(=O)OCCCCO</v>
      </c>
      <c r="H268" t="s">
        <v>79</v>
      </c>
      <c r="I268" t="s">
        <v>97</v>
      </c>
      <c r="J268" t="s">
        <v>98</v>
      </c>
      <c r="K268" t="s">
        <v>99</v>
      </c>
      <c r="L268" t="s">
        <v>29</v>
      </c>
      <c r="M268" t="s">
        <v>100</v>
      </c>
      <c r="N268" t="s">
        <v>106</v>
      </c>
      <c r="O268" t="s">
        <v>29</v>
      </c>
      <c r="P268" t="s">
        <v>29</v>
      </c>
      <c r="Q268" t="s">
        <v>29</v>
      </c>
      <c r="R268" t="s">
        <v>32</v>
      </c>
      <c r="S268" t="s">
        <v>29</v>
      </c>
      <c r="T268" t="s">
        <v>40</v>
      </c>
      <c r="U268" t="s">
        <v>109</v>
      </c>
      <c r="V268" s="6" t="s">
        <v>35</v>
      </c>
      <c r="W268" t="s">
        <v>106</v>
      </c>
      <c r="X268" t="s">
        <v>29</v>
      </c>
      <c r="Y268" s="6" t="s">
        <v>98</v>
      </c>
    </row>
    <row r="269" spans="2:25" x14ac:dyDescent="0.3">
      <c r="B269" s="5" t="s">
        <v>68</v>
      </c>
      <c r="C269" s="5" t="str">
        <f>VLOOKUP(B269,[1]물질정보!B:C,2,0)</f>
        <v>997-46-6</v>
      </c>
      <c r="D269" t="str">
        <f>VLOOKUP(B269,[1]물질정보!B:D,3,0)</f>
        <v>4-hydroxybutyl methacrylate</v>
      </c>
      <c r="E269" t="str">
        <f>VLOOKUP(B269,[1]물질정보!B:E,4,0)</f>
        <v>C8H14O3</v>
      </c>
      <c r="F269" t="str">
        <f>VLOOKUP(B269,[1]물질정보!B:F,5,0)</f>
        <v>158.19 g/mol</v>
      </c>
      <c r="G269" s="5" t="str">
        <f>VLOOKUP(B269,[1]물질정보!B:G,6,0)</f>
        <v>CC(=C)C(=O)OCCCCO</v>
      </c>
      <c r="H269" t="s">
        <v>79</v>
      </c>
      <c r="I269" t="s">
        <v>97</v>
      </c>
      <c r="J269" t="s">
        <v>98</v>
      </c>
      <c r="K269" t="s">
        <v>99</v>
      </c>
      <c r="L269" t="s">
        <v>29</v>
      </c>
      <c r="M269" t="s">
        <v>100</v>
      </c>
      <c r="N269" t="s">
        <v>106</v>
      </c>
      <c r="O269" t="s">
        <v>29</v>
      </c>
      <c r="P269" t="s">
        <v>29</v>
      </c>
      <c r="Q269" t="s">
        <v>29</v>
      </c>
      <c r="R269" t="s">
        <v>32</v>
      </c>
      <c r="S269" t="s">
        <v>29</v>
      </c>
      <c r="T269" t="s">
        <v>40</v>
      </c>
      <c r="U269" t="s">
        <v>110</v>
      </c>
      <c r="V269" s="6" t="s">
        <v>35</v>
      </c>
      <c r="W269" t="s">
        <v>106</v>
      </c>
      <c r="X269" t="s">
        <v>29</v>
      </c>
      <c r="Y269" s="6" t="s">
        <v>98</v>
      </c>
    </row>
    <row r="270" spans="2:25" x14ac:dyDescent="0.3">
      <c r="B270" s="5" t="s">
        <v>68</v>
      </c>
      <c r="C270" s="5" t="str">
        <f>VLOOKUP(B270,[1]물질정보!B:C,2,0)</f>
        <v>997-46-6</v>
      </c>
      <c r="D270" t="str">
        <f>VLOOKUP(B270,[1]물질정보!B:D,3,0)</f>
        <v>4-hydroxybutyl methacrylate</v>
      </c>
      <c r="E270" t="str">
        <f>VLOOKUP(B270,[1]물질정보!B:E,4,0)</f>
        <v>C8H14O3</v>
      </c>
      <c r="F270" t="str">
        <f>VLOOKUP(B270,[1]물질정보!B:F,5,0)</f>
        <v>158.19 g/mol</v>
      </c>
      <c r="G270" s="5" t="str">
        <f>VLOOKUP(B270,[1]물질정보!B:G,6,0)</f>
        <v>CC(=C)C(=O)OCCCCO</v>
      </c>
      <c r="H270" t="s">
        <v>79</v>
      </c>
      <c r="I270" t="s">
        <v>111</v>
      </c>
      <c r="J270" t="s">
        <v>824</v>
      </c>
      <c r="K270" t="s">
        <v>90</v>
      </c>
      <c r="L270" t="s">
        <v>29</v>
      </c>
      <c r="M270" t="s">
        <v>122</v>
      </c>
      <c r="N270" t="s">
        <v>29</v>
      </c>
      <c r="O270" t="s">
        <v>29</v>
      </c>
      <c r="P270" t="s">
        <v>29</v>
      </c>
      <c r="Q270" t="s">
        <v>29</v>
      </c>
      <c r="R270" t="s">
        <v>32</v>
      </c>
      <c r="S270" t="s">
        <v>29</v>
      </c>
      <c r="T270" t="s">
        <v>40</v>
      </c>
      <c r="U270" t="s">
        <v>121</v>
      </c>
      <c r="V270" s="6" t="s">
        <v>35</v>
      </c>
      <c r="W270" t="s">
        <v>112</v>
      </c>
      <c r="X270" t="s">
        <v>29</v>
      </c>
      <c r="Y270" s="6" t="s">
        <v>753</v>
      </c>
    </row>
    <row r="271" spans="2:25" x14ac:dyDescent="0.3">
      <c r="B271" s="5" t="s">
        <v>68</v>
      </c>
      <c r="C271" s="5" t="str">
        <f>VLOOKUP(B271,[1]물질정보!B:C,2,0)</f>
        <v>997-46-6</v>
      </c>
      <c r="D271" t="str">
        <f>VLOOKUP(B271,[1]물질정보!B:D,3,0)</f>
        <v>4-hydroxybutyl methacrylate</v>
      </c>
      <c r="E271" t="str">
        <f>VLOOKUP(B271,[1]물질정보!B:E,4,0)</f>
        <v>C8H14O3</v>
      </c>
      <c r="F271" t="str">
        <f>VLOOKUP(B271,[1]물질정보!B:F,5,0)</f>
        <v>158.19 g/mol</v>
      </c>
      <c r="G271" s="5" t="str">
        <f>VLOOKUP(B271,[1]물질정보!B:G,6,0)</f>
        <v>CC(=C)C(=O)OCCCCO</v>
      </c>
      <c r="H271" t="s">
        <v>79</v>
      </c>
      <c r="I271" t="s">
        <v>111</v>
      </c>
      <c r="J271" t="s">
        <v>824</v>
      </c>
      <c r="K271" t="s">
        <v>90</v>
      </c>
      <c r="L271" t="s">
        <v>29</v>
      </c>
      <c r="M271" t="s">
        <v>122</v>
      </c>
      <c r="N271" t="s">
        <v>29</v>
      </c>
      <c r="O271" t="s">
        <v>29</v>
      </c>
      <c r="P271" t="s">
        <v>29</v>
      </c>
      <c r="Q271" t="s">
        <v>29</v>
      </c>
      <c r="R271" t="s">
        <v>32</v>
      </c>
      <c r="S271" t="s">
        <v>29</v>
      </c>
      <c r="T271" t="s">
        <v>40</v>
      </c>
      <c r="U271" t="s">
        <v>114</v>
      </c>
      <c r="V271" s="6" t="s">
        <v>35</v>
      </c>
      <c r="W271" t="s">
        <v>112</v>
      </c>
      <c r="X271" t="s">
        <v>29</v>
      </c>
      <c r="Y271" s="6" t="s">
        <v>753</v>
      </c>
    </row>
    <row r="272" spans="2:25" x14ac:dyDescent="0.3">
      <c r="B272" s="5" t="s">
        <v>68</v>
      </c>
      <c r="C272" s="5" t="str">
        <f>VLOOKUP(B272,[1]물질정보!B:C,2,0)</f>
        <v>997-46-6</v>
      </c>
      <c r="D272" t="str">
        <f>VLOOKUP(B272,[1]물질정보!B:D,3,0)</f>
        <v>4-hydroxybutyl methacrylate</v>
      </c>
      <c r="E272" t="str">
        <f>VLOOKUP(B272,[1]물질정보!B:E,4,0)</f>
        <v>C8H14O3</v>
      </c>
      <c r="F272" t="str">
        <f>VLOOKUP(B272,[1]물질정보!B:F,5,0)</f>
        <v>158.19 g/mol</v>
      </c>
      <c r="G272" s="5" t="str">
        <f>VLOOKUP(B272,[1]물질정보!B:G,6,0)</f>
        <v>CC(=C)C(=O)OCCCCO</v>
      </c>
      <c r="H272" t="s">
        <v>79</v>
      </c>
      <c r="I272" t="s">
        <v>111</v>
      </c>
      <c r="J272" t="s">
        <v>824</v>
      </c>
      <c r="K272" t="s">
        <v>90</v>
      </c>
      <c r="L272" t="s">
        <v>29</v>
      </c>
      <c r="M272" t="s">
        <v>122</v>
      </c>
      <c r="N272" t="s">
        <v>29</v>
      </c>
      <c r="O272" t="s">
        <v>29</v>
      </c>
      <c r="P272" t="s">
        <v>29</v>
      </c>
      <c r="Q272" t="s">
        <v>29</v>
      </c>
      <c r="R272" t="s">
        <v>32</v>
      </c>
      <c r="S272" t="s">
        <v>29</v>
      </c>
      <c r="T272" t="s">
        <v>40</v>
      </c>
      <c r="U272" t="s">
        <v>115</v>
      </c>
      <c r="V272" s="6" t="s">
        <v>35</v>
      </c>
      <c r="W272" t="s">
        <v>112</v>
      </c>
      <c r="X272" t="s">
        <v>29</v>
      </c>
      <c r="Y272" s="6" t="s">
        <v>753</v>
      </c>
    </row>
    <row r="273" spans="2:25" x14ac:dyDescent="0.3">
      <c r="B273" s="5" t="s">
        <v>68</v>
      </c>
      <c r="C273" s="5" t="str">
        <f>VLOOKUP(B273,[1]물질정보!B:C,2,0)</f>
        <v>997-46-6</v>
      </c>
      <c r="D273" t="str">
        <f>VLOOKUP(B273,[1]물질정보!B:D,3,0)</f>
        <v>4-hydroxybutyl methacrylate</v>
      </c>
      <c r="E273" t="str">
        <f>VLOOKUP(B273,[1]물질정보!B:E,4,0)</f>
        <v>C8H14O3</v>
      </c>
      <c r="F273" t="str">
        <f>VLOOKUP(B273,[1]물질정보!B:F,5,0)</f>
        <v>158.19 g/mol</v>
      </c>
      <c r="G273" s="5" t="str">
        <f>VLOOKUP(B273,[1]물질정보!B:G,6,0)</f>
        <v>CC(=C)C(=O)OCCCCO</v>
      </c>
      <c r="H273" t="s">
        <v>79</v>
      </c>
      <c r="I273" t="s">
        <v>111</v>
      </c>
      <c r="J273" t="s">
        <v>824</v>
      </c>
      <c r="K273" t="s">
        <v>90</v>
      </c>
      <c r="L273" t="s">
        <v>29</v>
      </c>
      <c r="M273" t="s">
        <v>122</v>
      </c>
      <c r="N273" t="s">
        <v>29</v>
      </c>
      <c r="O273" t="s">
        <v>29</v>
      </c>
      <c r="P273" t="s">
        <v>29</v>
      </c>
      <c r="Q273" t="s">
        <v>29</v>
      </c>
      <c r="R273" t="s">
        <v>32</v>
      </c>
      <c r="S273" t="s">
        <v>29</v>
      </c>
      <c r="T273" t="s">
        <v>40</v>
      </c>
      <c r="U273" t="s">
        <v>116</v>
      </c>
      <c r="V273" s="6" t="s">
        <v>35</v>
      </c>
      <c r="W273" t="s">
        <v>112</v>
      </c>
      <c r="X273" t="s">
        <v>29</v>
      </c>
      <c r="Y273" s="6" t="s">
        <v>753</v>
      </c>
    </row>
    <row r="274" spans="2:25" x14ac:dyDescent="0.3">
      <c r="B274" s="5" t="s">
        <v>68</v>
      </c>
      <c r="C274" s="5" t="str">
        <f>VLOOKUP(B274,[1]물질정보!B:C,2,0)</f>
        <v>997-46-6</v>
      </c>
      <c r="D274" t="str">
        <f>VLOOKUP(B274,[1]물질정보!B:D,3,0)</f>
        <v>4-hydroxybutyl methacrylate</v>
      </c>
      <c r="E274" t="str">
        <f>VLOOKUP(B274,[1]물질정보!B:E,4,0)</f>
        <v>C8H14O3</v>
      </c>
      <c r="F274" t="str">
        <f>VLOOKUP(B274,[1]물질정보!B:F,5,0)</f>
        <v>158.19 g/mol</v>
      </c>
      <c r="G274" s="5" t="str">
        <f>VLOOKUP(B274,[1]물질정보!B:G,6,0)</f>
        <v>CC(=C)C(=O)OCCCCO</v>
      </c>
      <c r="H274" t="s">
        <v>79</v>
      </c>
      <c r="I274" t="s">
        <v>685</v>
      </c>
      <c r="J274" t="s">
        <v>117</v>
      </c>
      <c r="K274" t="s">
        <v>123</v>
      </c>
      <c r="L274" t="s">
        <v>29</v>
      </c>
      <c r="M274" t="s">
        <v>29</v>
      </c>
      <c r="N274" t="s">
        <v>29</v>
      </c>
      <c r="O274" t="s">
        <v>29</v>
      </c>
      <c r="P274" t="s">
        <v>29</v>
      </c>
      <c r="Q274" t="s">
        <v>29</v>
      </c>
      <c r="R274" t="s">
        <v>32</v>
      </c>
      <c r="S274" t="s">
        <v>29</v>
      </c>
      <c r="T274" t="s">
        <v>29</v>
      </c>
      <c r="U274" t="s">
        <v>119</v>
      </c>
      <c r="V274" s="6" t="s">
        <v>35</v>
      </c>
      <c r="W274" t="s">
        <v>120</v>
      </c>
      <c r="X274" t="s">
        <v>29</v>
      </c>
      <c r="Y274" s="6" t="s">
        <v>117</v>
      </c>
    </row>
    <row r="275" spans="2:25" x14ac:dyDescent="0.3">
      <c r="B275" s="5" t="s">
        <v>69</v>
      </c>
      <c r="C275" s="5" t="str">
        <f>VLOOKUP(B275,[1]물질정보!B:C,2,0)</f>
        <v>868-77-9</v>
      </c>
      <c r="D275" t="str">
        <f>VLOOKUP(B275,[1]물질정보!B:D,3,0)</f>
        <v>2-hydroxyethyl methacrylate</v>
      </c>
      <c r="E275" t="str">
        <f>VLOOKUP(B275,[1]물질정보!B:E,4,0)</f>
        <v>C6H10O3</v>
      </c>
      <c r="F275" t="str">
        <f>VLOOKUP(B275,[1]물질정보!B:F,5,0)</f>
        <v>130.139 g/mol</v>
      </c>
      <c r="G275" s="5" t="str">
        <f>VLOOKUP(B275,[1]물질정보!B:G,6,0)</f>
        <v>CC(=C)C(=O)OCCO</v>
      </c>
      <c r="H275" t="s">
        <v>79</v>
      </c>
      <c r="I275" t="s">
        <v>80</v>
      </c>
      <c r="J275" t="s">
        <v>81</v>
      </c>
      <c r="K275">
        <v>6100</v>
      </c>
      <c r="L275" t="s">
        <v>85</v>
      </c>
      <c r="M275" t="s">
        <v>83</v>
      </c>
      <c r="N275" t="s">
        <v>29</v>
      </c>
      <c r="O275" t="s">
        <v>29</v>
      </c>
      <c r="P275">
        <v>48</v>
      </c>
      <c r="Q275" t="s">
        <v>31</v>
      </c>
      <c r="R275" t="s">
        <v>32</v>
      </c>
      <c r="S275" t="s">
        <v>29</v>
      </c>
      <c r="T275" t="s">
        <v>40</v>
      </c>
      <c r="U275" t="s">
        <v>84</v>
      </c>
      <c r="V275" s="6" t="s">
        <v>35</v>
      </c>
      <c r="W275" t="s">
        <v>83</v>
      </c>
      <c r="X275" t="s">
        <v>29</v>
      </c>
      <c r="Y275" s="6" t="s">
        <v>81</v>
      </c>
    </row>
    <row r="276" spans="2:25" x14ac:dyDescent="0.3">
      <c r="B276" s="5" t="s">
        <v>69</v>
      </c>
      <c r="C276" s="5" t="str">
        <f>VLOOKUP(B276,[1]물질정보!B:C,2,0)</f>
        <v>868-77-9</v>
      </c>
      <c r="D276" t="str">
        <f>VLOOKUP(B276,[1]물질정보!B:D,3,0)</f>
        <v>2-hydroxyethyl methacrylate</v>
      </c>
      <c r="E276" t="str">
        <f>VLOOKUP(B276,[1]물질정보!B:E,4,0)</f>
        <v>C6H10O3</v>
      </c>
      <c r="F276" t="str">
        <f>VLOOKUP(B276,[1]물질정보!B:F,5,0)</f>
        <v>130.139 g/mol</v>
      </c>
      <c r="G276" s="5" t="str">
        <f>VLOOKUP(B276,[1]물질정보!B:G,6,0)</f>
        <v>CC(=C)C(=O)OCCO</v>
      </c>
      <c r="H276" t="s">
        <v>79</v>
      </c>
      <c r="I276" t="s">
        <v>80</v>
      </c>
      <c r="J276" t="s">
        <v>81</v>
      </c>
      <c r="K276">
        <v>4900</v>
      </c>
      <c r="L276" t="s">
        <v>85</v>
      </c>
      <c r="M276" t="s">
        <v>86</v>
      </c>
      <c r="N276" t="s">
        <v>29</v>
      </c>
      <c r="O276" t="s">
        <v>29</v>
      </c>
      <c r="P276">
        <v>48</v>
      </c>
      <c r="Q276" t="s">
        <v>31</v>
      </c>
      <c r="R276" t="s">
        <v>32</v>
      </c>
      <c r="S276" t="s">
        <v>29</v>
      </c>
      <c r="T276" t="s">
        <v>40</v>
      </c>
      <c r="U276" t="s">
        <v>87</v>
      </c>
      <c r="V276" s="6" t="s">
        <v>35</v>
      </c>
      <c r="W276" t="s">
        <v>86</v>
      </c>
      <c r="X276" t="s">
        <v>29</v>
      </c>
      <c r="Y276" s="6" t="s">
        <v>81</v>
      </c>
    </row>
    <row r="277" spans="2:25" x14ac:dyDescent="0.3">
      <c r="B277" s="5" t="s">
        <v>69</v>
      </c>
      <c r="C277" s="5" t="str">
        <f>VLOOKUP(B277,[1]물질정보!B:C,2,0)</f>
        <v>868-77-9</v>
      </c>
      <c r="D277" t="str">
        <f>VLOOKUP(B277,[1]물질정보!B:D,3,0)</f>
        <v>2-hydroxyethyl methacrylate</v>
      </c>
      <c r="E277" t="str">
        <f>VLOOKUP(B277,[1]물질정보!B:E,4,0)</f>
        <v>C6H10O3</v>
      </c>
      <c r="F277" t="str">
        <f>VLOOKUP(B277,[1]물질정보!B:F,5,0)</f>
        <v>130.139 g/mol</v>
      </c>
      <c r="G277" s="5" t="str">
        <f>VLOOKUP(B277,[1]물질정보!B:G,6,0)</f>
        <v>CC(=C)C(=O)OCCO</v>
      </c>
      <c r="H277" t="s">
        <v>79</v>
      </c>
      <c r="I277" t="s">
        <v>88</v>
      </c>
      <c r="J277" t="s">
        <v>89</v>
      </c>
      <c r="K277" t="s">
        <v>90</v>
      </c>
      <c r="L277" t="s">
        <v>29</v>
      </c>
      <c r="M277" t="s">
        <v>91</v>
      </c>
      <c r="N277" t="s">
        <v>29</v>
      </c>
      <c r="O277" t="s">
        <v>29</v>
      </c>
      <c r="P277" t="s">
        <v>29</v>
      </c>
      <c r="Q277" t="s">
        <v>29</v>
      </c>
      <c r="R277" t="s">
        <v>32</v>
      </c>
      <c r="S277" t="s">
        <v>29</v>
      </c>
      <c r="T277" t="s">
        <v>40</v>
      </c>
      <c r="U277" t="s">
        <v>92</v>
      </c>
      <c r="V277" s="6" t="s">
        <v>35</v>
      </c>
      <c r="W277" t="s">
        <v>93</v>
      </c>
      <c r="X277" t="s">
        <v>29</v>
      </c>
      <c r="Y277" s="6" t="s">
        <v>89</v>
      </c>
    </row>
    <row r="278" spans="2:25" x14ac:dyDescent="0.3">
      <c r="B278" s="5" t="s">
        <v>69</v>
      </c>
      <c r="C278" s="5" t="str">
        <f>VLOOKUP(B278,[1]물질정보!B:C,2,0)</f>
        <v>868-77-9</v>
      </c>
      <c r="D278" t="str">
        <f>VLOOKUP(B278,[1]물질정보!B:D,3,0)</f>
        <v>2-hydroxyethyl methacrylate</v>
      </c>
      <c r="E278" t="str">
        <f>VLOOKUP(B278,[1]물질정보!B:E,4,0)</f>
        <v>C6H10O3</v>
      </c>
      <c r="F278" t="str">
        <f>VLOOKUP(B278,[1]물질정보!B:F,5,0)</f>
        <v>130.139 g/mol</v>
      </c>
      <c r="G278" s="5" t="str">
        <f>VLOOKUP(B278,[1]물질정보!B:G,6,0)</f>
        <v>CC(=C)C(=O)OCCO</v>
      </c>
      <c r="H278" t="s">
        <v>79</v>
      </c>
      <c r="I278" t="s">
        <v>88</v>
      </c>
      <c r="J278" t="s">
        <v>89</v>
      </c>
      <c r="K278" t="s">
        <v>90</v>
      </c>
      <c r="L278" t="s">
        <v>29</v>
      </c>
      <c r="M278" t="s">
        <v>91</v>
      </c>
      <c r="N278" t="s">
        <v>29</v>
      </c>
      <c r="O278" t="s">
        <v>29</v>
      </c>
      <c r="P278" t="s">
        <v>29</v>
      </c>
      <c r="Q278" t="s">
        <v>29</v>
      </c>
      <c r="R278" t="s">
        <v>32</v>
      </c>
      <c r="S278" t="s">
        <v>29</v>
      </c>
      <c r="T278" t="s">
        <v>40</v>
      </c>
      <c r="U278" t="s">
        <v>94</v>
      </c>
      <c r="V278" s="6" t="s">
        <v>35</v>
      </c>
      <c r="W278" t="s">
        <v>93</v>
      </c>
      <c r="X278" t="s">
        <v>29</v>
      </c>
      <c r="Y278" s="6" t="s">
        <v>89</v>
      </c>
    </row>
    <row r="279" spans="2:25" x14ac:dyDescent="0.3">
      <c r="B279" s="5" t="s">
        <v>69</v>
      </c>
      <c r="C279" s="5" t="str">
        <f>VLOOKUP(B279,[1]물질정보!B:C,2,0)</f>
        <v>868-77-9</v>
      </c>
      <c r="D279" t="str">
        <f>VLOOKUP(B279,[1]물질정보!B:D,3,0)</f>
        <v>2-hydroxyethyl methacrylate</v>
      </c>
      <c r="E279" t="str">
        <f>VLOOKUP(B279,[1]물질정보!B:E,4,0)</f>
        <v>C6H10O3</v>
      </c>
      <c r="F279" t="str">
        <f>VLOOKUP(B279,[1]물질정보!B:F,5,0)</f>
        <v>130.139 g/mol</v>
      </c>
      <c r="G279" s="5" t="str">
        <f>VLOOKUP(B279,[1]물질정보!B:G,6,0)</f>
        <v>CC(=C)C(=O)OCCO</v>
      </c>
      <c r="H279" t="s">
        <v>79</v>
      </c>
      <c r="I279" t="s">
        <v>88</v>
      </c>
      <c r="J279" t="s">
        <v>89</v>
      </c>
      <c r="K279" t="s">
        <v>90</v>
      </c>
      <c r="L279" t="s">
        <v>29</v>
      </c>
      <c r="M279" t="s">
        <v>91</v>
      </c>
      <c r="N279" t="s">
        <v>29</v>
      </c>
      <c r="O279" t="s">
        <v>29</v>
      </c>
      <c r="P279" t="s">
        <v>29</v>
      </c>
      <c r="Q279" t="s">
        <v>29</v>
      </c>
      <c r="R279" t="s">
        <v>32</v>
      </c>
      <c r="S279" t="s">
        <v>29</v>
      </c>
      <c r="T279" t="s">
        <v>40</v>
      </c>
      <c r="U279" t="s">
        <v>95</v>
      </c>
      <c r="V279" s="6" t="s">
        <v>35</v>
      </c>
      <c r="W279" t="s">
        <v>93</v>
      </c>
      <c r="X279" t="s">
        <v>29</v>
      </c>
      <c r="Y279" s="6" t="s">
        <v>89</v>
      </c>
    </row>
    <row r="280" spans="2:25" x14ac:dyDescent="0.3">
      <c r="B280" s="5" t="s">
        <v>69</v>
      </c>
      <c r="C280" s="5" t="str">
        <f>VLOOKUP(B280,[1]물질정보!B:C,2,0)</f>
        <v>868-77-9</v>
      </c>
      <c r="D280" t="str">
        <f>VLOOKUP(B280,[1]물질정보!B:D,3,0)</f>
        <v>2-hydroxyethyl methacrylate</v>
      </c>
      <c r="E280" t="str">
        <f>VLOOKUP(B280,[1]물질정보!B:E,4,0)</f>
        <v>C6H10O3</v>
      </c>
      <c r="F280" t="str">
        <f>VLOOKUP(B280,[1]물질정보!B:F,5,0)</f>
        <v>130.139 g/mol</v>
      </c>
      <c r="G280" s="5" t="str">
        <f>VLOOKUP(B280,[1]물질정보!B:G,6,0)</f>
        <v>CC(=C)C(=O)OCCO</v>
      </c>
      <c r="H280" t="s">
        <v>79</v>
      </c>
      <c r="I280" t="s">
        <v>88</v>
      </c>
      <c r="J280" t="s">
        <v>89</v>
      </c>
      <c r="K280" t="s">
        <v>90</v>
      </c>
      <c r="L280" t="s">
        <v>29</v>
      </c>
      <c r="M280" t="s">
        <v>91</v>
      </c>
      <c r="N280" t="s">
        <v>29</v>
      </c>
      <c r="O280" t="s">
        <v>29</v>
      </c>
      <c r="P280" t="s">
        <v>29</v>
      </c>
      <c r="Q280" t="s">
        <v>29</v>
      </c>
      <c r="R280" t="s">
        <v>32</v>
      </c>
      <c r="S280" t="s">
        <v>29</v>
      </c>
      <c r="T280" t="s">
        <v>40</v>
      </c>
      <c r="U280" t="s">
        <v>96</v>
      </c>
      <c r="V280" s="6" t="s">
        <v>35</v>
      </c>
      <c r="W280" t="s">
        <v>93</v>
      </c>
      <c r="X280" t="s">
        <v>29</v>
      </c>
      <c r="Y280" s="6" t="s">
        <v>89</v>
      </c>
    </row>
    <row r="281" spans="2:25" x14ac:dyDescent="0.3">
      <c r="B281" s="5" t="s">
        <v>69</v>
      </c>
      <c r="C281" s="5" t="str">
        <f>VLOOKUP(B281,[1]물질정보!B:C,2,0)</f>
        <v>868-77-9</v>
      </c>
      <c r="D281" t="str">
        <f>VLOOKUP(B281,[1]물질정보!B:D,3,0)</f>
        <v>2-hydroxyethyl methacrylate</v>
      </c>
      <c r="E281" t="str">
        <f>VLOOKUP(B281,[1]물질정보!B:E,4,0)</f>
        <v>C6H10O3</v>
      </c>
      <c r="F281" t="str">
        <f>VLOOKUP(B281,[1]물질정보!B:F,5,0)</f>
        <v>130.139 g/mol</v>
      </c>
      <c r="G281" s="5" t="str">
        <f>VLOOKUP(B281,[1]물질정보!B:G,6,0)</f>
        <v>CC(=C)C(=O)OCCO</v>
      </c>
      <c r="H281" t="s">
        <v>79</v>
      </c>
      <c r="I281" t="s">
        <v>97</v>
      </c>
      <c r="J281" t="s">
        <v>98</v>
      </c>
      <c r="K281" t="s">
        <v>99</v>
      </c>
      <c r="L281" t="s">
        <v>29</v>
      </c>
      <c r="M281" t="s">
        <v>100</v>
      </c>
      <c r="N281" t="s">
        <v>101</v>
      </c>
      <c r="O281" t="s">
        <v>29</v>
      </c>
      <c r="P281" t="s">
        <v>29</v>
      </c>
      <c r="Q281" t="s">
        <v>29</v>
      </c>
      <c r="R281" t="s">
        <v>32</v>
      </c>
      <c r="S281" t="s">
        <v>29</v>
      </c>
      <c r="T281" t="s">
        <v>40</v>
      </c>
      <c r="U281" t="s">
        <v>102</v>
      </c>
      <c r="V281" s="6" t="s">
        <v>35</v>
      </c>
      <c r="W281" t="s">
        <v>101</v>
      </c>
      <c r="X281" t="s">
        <v>29</v>
      </c>
      <c r="Y281" s="6" t="s">
        <v>98</v>
      </c>
    </row>
    <row r="282" spans="2:25" x14ac:dyDescent="0.3">
      <c r="B282" s="5" t="s">
        <v>69</v>
      </c>
      <c r="C282" s="5" t="str">
        <f>VLOOKUP(B282,[1]물질정보!B:C,2,0)</f>
        <v>868-77-9</v>
      </c>
      <c r="D282" t="str">
        <f>VLOOKUP(B282,[1]물질정보!B:D,3,0)</f>
        <v>2-hydroxyethyl methacrylate</v>
      </c>
      <c r="E282" t="str">
        <f>VLOOKUP(B282,[1]물질정보!B:E,4,0)</f>
        <v>C6H10O3</v>
      </c>
      <c r="F282" t="str">
        <f>VLOOKUP(B282,[1]물질정보!B:F,5,0)</f>
        <v>130.139 g/mol</v>
      </c>
      <c r="G282" s="5" t="str">
        <f>VLOOKUP(B282,[1]물질정보!B:G,6,0)</f>
        <v>CC(=C)C(=O)OCCO</v>
      </c>
      <c r="H282" t="s">
        <v>79</v>
      </c>
      <c r="I282" t="s">
        <v>97</v>
      </c>
      <c r="J282" t="s">
        <v>98</v>
      </c>
      <c r="K282" t="s">
        <v>99</v>
      </c>
      <c r="L282" t="s">
        <v>29</v>
      </c>
      <c r="M282" t="s">
        <v>100</v>
      </c>
      <c r="N282" t="s">
        <v>101</v>
      </c>
      <c r="O282" t="s">
        <v>29</v>
      </c>
      <c r="P282" t="s">
        <v>29</v>
      </c>
      <c r="Q282" t="s">
        <v>29</v>
      </c>
      <c r="R282" t="s">
        <v>32</v>
      </c>
      <c r="S282" t="s">
        <v>29</v>
      </c>
      <c r="T282" t="s">
        <v>40</v>
      </c>
      <c r="U282" t="s">
        <v>103</v>
      </c>
      <c r="V282" s="6" t="s">
        <v>35</v>
      </c>
      <c r="W282" t="s">
        <v>101</v>
      </c>
      <c r="X282" t="s">
        <v>29</v>
      </c>
      <c r="Y282" s="6" t="s">
        <v>98</v>
      </c>
    </row>
    <row r="283" spans="2:25" x14ac:dyDescent="0.3">
      <c r="B283" s="5" t="s">
        <v>69</v>
      </c>
      <c r="C283" s="5" t="str">
        <f>VLOOKUP(B283,[1]물질정보!B:C,2,0)</f>
        <v>868-77-9</v>
      </c>
      <c r="D283" t="str">
        <f>VLOOKUP(B283,[1]물질정보!B:D,3,0)</f>
        <v>2-hydroxyethyl methacrylate</v>
      </c>
      <c r="E283" t="str">
        <f>VLOOKUP(B283,[1]물질정보!B:E,4,0)</f>
        <v>C6H10O3</v>
      </c>
      <c r="F283" t="str">
        <f>VLOOKUP(B283,[1]물질정보!B:F,5,0)</f>
        <v>130.139 g/mol</v>
      </c>
      <c r="G283" s="5" t="str">
        <f>VLOOKUP(B283,[1]물질정보!B:G,6,0)</f>
        <v>CC(=C)C(=O)OCCO</v>
      </c>
      <c r="H283" t="s">
        <v>79</v>
      </c>
      <c r="I283" t="s">
        <v>97</v>
      </c>
      <c r="J283" t="s">
        <v>98</v>
      </c>
      <c r="K283" t="s">
        <v>99</v>
      </c>
      <c r="L283" t="s">
        <v>29</v>
      </c>
      <c r="M283" t="s">
        <v>100</v>
      </c>
      <c r="N283" t="s">
        <v>101</v>
      </c>
      <c r="O283" t="s">
        <v>29</v>
      </c>
      <c r="P283" t="s">
        <v>29</v>
      </c>
      <c r="Q283" t="s">
        <v>29</v>
      </c>
      <c r="R283" t="s">
        <v>32</v>
      </c>
      <c r="S283" t="s">
        <v>29</v>
      </c>
      <c r="T283" t="s">
        <v>40</v>
      </c>
      <c r="U283" t="s">
        <v>104</v>
      </c>
      <c r="V283" s="6" t="s">
        <v>35</v>
      </c>
      <c r="W283" t="s">
        <v>101</v>
      </c>
      <c r="X283" t="s">
        <v>29</v>
      </c>
      <c r="Y283" s="6" t="s">
        <v>98</v>
      </c>
    </row>
    <row r="284" spans="2:25" x14ac:dyDescent="0.3">
      <c r="B284" s="5" t="s">
        <v>69</v>
      </c>
      <c r="C284" s="5" t="str">
        <f>VLOOKUP(B284,[1]물질정보!B:C,2,0)</f>
        <v>868-77-9</v>
      </c>
      <c r="D284" t="str">
        <f>VLOOKUP(B284,[1]물질정보!B:D,3,0)</f>
        <v>2-hydroxyethyl methacrylate</v>
      </c>
      <c r="E284" t="str">
        <f>VLOOKUP(B284,[1]물질정보!B:E,4,0)</f>
        <v>C6H10O3</v>
      </c>
      <c r="F284" t="str">
        <f>VLOOKUP(B284,[1]물질정보!B:F,5,0)</f>
        <v>130.139 g/mol</v>
      </c>
      <c r="G284" s="5" t="str">
        <f>VLOOKUP(B284,[1]물질정보!B:G,6,0)</f>
        <v>CC(=C)C(=O)OCCO</v>
      </c>
      <c r="H284" t="s">
        <v>79</v>
      </c>
      <c r="I284" t="s">
        <v>97</v>
      </c>
      <c r="J284" t="s">
        <v>98</v>
      </c>
      <c r="K284" t="s">
        <v>29</v>
      </c>
      <c r="L284" t="s">
        <v>29</v>
      </c>
      <c r="M284" t="s">
        <v>100</v>
      </c>
      <c r="N284" t="s">
        <v>101</v>
      </c>
      <c r="O284" t="s">
        <v>29</v>
      </c>
      <c r="P284" t="s">
        <v>29</v>
      </c>
      <c r="Q284" t="s">
        <v>29</v>
      </c>
      <c r="R284" t="s">
        <v>32</v>
      </c>
      <c r="S284" t="s">
        <v>29</v>
      </c>
      <c r="T284" t="s">
        <v>66</v>
      </c>
      <c r="U284" t="s">
        <v>105</v>
      </c>
      <c r="V284" s="6" t="s">
        <v>35</v>
      </c>
      <c r="W284" t="s">
        <v>101</v>
      </c>
      <c r="X284" t="s">
        <v>29</v>
      </c>
      <c r="Y284" s="6" t="s">
        <v>98</v>
      </c>
    </row>
    <row r="285" spans="2:25" x14ac:dyDescent="0.3">
      <c r="B285" s="5" t="s">
        <v>69</v>
      </c>
      <c r="C285" s="5" t="str">
        <f>VLOOKUP(B285,[1]물질정보!B:C,2,0)</f>
        <v>868-77-9</v>
      </c>
      <c r="D285" t="str">
        <f>VLOOKUP(B285,[1]물질정보!B:D,3,0)</f>
        <v>2-hydroxyethyl methacrylate</v>
      </c>
      <c r="E285" t="str">
        <f>VLOOKUP(B285,[1]물질정보!B:E,4,0)</f>
        <v>C6H10O3</v>
      </c>
      <c r="F285" t="str">
        <f>VLOOKUP(B285,[1]물질정보!B:F,5,0)</f>
        <v>130.139 g/mol</v>
      </c>
      <c r="G285" s="5" t="str">
        <f>VLOOKUP(B285,[1]물질정보!B:G,6,0)</f>
        <v>CC(=C)C(=O)OCCO</v>
      </c>
      <c r="H285" t="s">
        <v>79</v>
      </c>
      <c r="I285" t="s">
        <v>97</v>
      </c>
      <c r="J285" t="s">
        <v>98</v>
      </c>
      <c r="K285" t="s">
        <v>99</v>
      </c>
      <c r="L285" t="s">
        <v>29</v>
      </c>
      <c r="M285" t="s">
        <v>100</v>
      </c>
      <c r="N285" t="s">
        <v>106</v>
      </c>
      <c r="O285" t="s">
        <v>29</v>
      </c>
      <c r="P285" t="s">
        <v>29</v>
      </c>
      <c r="Q285" t="s">
        <v>29</v>
      </c>
      <c r="R285" t="s">
        <v>32</v>
      </c>
      <c r="S285" t="s">
        <v>29</v>
      </c>
      <c r="T285" t="s">
        <v>40</v>
      </c>
      <c r="U285" t="s">
        <v>107</v>
      </c>
      <c r="V285" s="6" t="s">
        <v>35</v>
      </c>
      <c r="W285" t="s">
        <v>106</v>
      </c>
      <c r="X285" t="s">
        <v>29</v>
      </c>
      <c r="Y285" s="6" t="s">
        <v>98</v>
      </c>
    </row>
    <row r="286" spans="2:25" x14ac:dyDescent="0.3">
      <c r="B286" s="5" t="s">
        <v>69</v>
      </c>
      <c r="C286" s="5" t="str">
        <f>VLOOKUP(B286,[1]물질정보!B:C,2,0)</f>
        <v>868-77-9</v>
      </c>
      <c r="D286" t="str">
        <f>VLOOKUP(B286,[1]물질정보!B:D,3,0)</f>
        <v>2-hydroxyethyl methacrylate</v>
      </c>
      <c r="E286" t="str">
        <f>VLOOKUP(B286,[1]물질정보!B:E,4,0)</f>
        <v>C6H10O3</v>
      </c>
      <c r="F286" t="str">
        <f>VLOOKUP(B286,[1]물질정보!B:F,5,0)</f>
        <v>130.139 g/mol</v>
      </c>
      <c r="G286" s="5" t="str">
        <f>VLOOKUP(B286,[1]물질정보!B:G,6,0)</f>
        <v>CC(=C)C(=O)OCCO</v>
      </c>
      <c r="H286" t="s">
        <v>79</v>
      </c>
      <c r="I286" t="s">
        <v>97</v>
      </c>
      <c r="J286" t="s">
        <v>98</v>
      </c>
      <c r="K286" t="s">
        <v>99</v>
      </c>
      <c r="L286" t="s">
        <v>29</v>
      </c>
      <c r="M286" t="s">
        <v>100</v>
      </c>
      <c r="N286" t="s">
        <v>106</v>
      </c>
      <c r="O286" t="s">
        <v>29</v>
      </c>
      <c r="P286" t="s">
        <v>29</v>
      </c>
      <c r="Q286" t="s">
        <v>29</v>
      </c>
      <c r="R286" t="s">
        <v>32</v>
      </c>
      <c r="S286" t="s">
        <v>29</v>
      </c>
      <c r="T286" t="s">
        <v>40</v>
      </c>
      <c r="U286" t="s">
        <v>108</v>
      </c>
      <c r="V286" s="6" t="s">
        <v>35</v>
      </c>
      <c r="W286" t="s">
        <v>106</v>
      </c>
      <c r="X286" t="s">
        <v>29</v>
      </c>
      <c r="Y286" s="6" t="s">
        <v>98</v>
      </c>
    </row>
    <row r="287" spans="2:25" x14ac:dyDescent="0.3">
      <c r="B287" s="5" t="s">
        <v>69</v>
      </c>
      <c r="C287" s="5" t="str">
        <f>VLOOKUP(B287,[1]물질정보!B:C,2,0)</f>
        <v>868-77-9</v>
      </c>
      <c r="D287" t="str">
        <f>VLOOKUP(B287,[1]물질정보!B:D,3,0)</f>
        <v>2-hydroxyethyl methacrylate</v>
      </c>
      <c r="E287" t="str">
        <f>VLOOKUP(B287,[1]물질정보!B:E,4,0)</f>
        <v>C6H10O3</v>
      </c>
      <c r="F287" t="str">
        <f>VLOOKUP(B287,[1]물질정보!B:F,5,0)</f>
        <v>130.139 g/mol</v>
      </c>
      <c r="G287" s="5" t="str">
        <f>VLOOKUP(B287,[1]물질정보!B:G,6,0)</f>
        <v>CC(=C)C(=O)OCCO</v>
      </c>
      <c r="H287" t="s">
        <v>79</v>
      </c>
      <c r="I287" t="s">
        <v>97</v>
      </c>
      <c r="J287" t="s">
        <v>98</v>
      </c>
      <c r="K287" t="s">
        <v>99</v>
      </c>
      <c r="L287" t="s">
        <v>29</v>
      </c>
      <c r="M287" t="s">
        <v>100</v>
      </c>
      <c r="N287" t="s">
        <v>106</v>
      </c>
      <c r="O287" t="s">
        <v>29</v>
      </c>
      <c r="P287" t="s">
        <v>29</v>
      </c>
      <c r="Q287" t="s">
        <v>29</v>
      </c>
      <c r="R287" t="s">
        <v>32</v>
      </c>
      <c r="S287" t="s">
        <v>29</v>
      </c>
      <c r="T287" t="s">
        <v>40</v>
      </c>
      <c r="U287" t="s">
        <v>109</v>
      </c>
      <c r="V287" s="6" t="s">
        <v>35</v>
      </c>
      <c r="W287" t="s">
        <v>106</v>
      </c>
      <c r="X287" t="s">
        <v>29</v>
      </c>
      <c r="Y287" s="6" t="s">
        <v>98</v>
      </c>
    </row>
    <row r="288" spans="2:25" x14ac:dyDescent="0.3">
      <c r="B288" s="5" t="s">
        <v>69</v>
      </c>
      <c r="C288" s="5" t="str">
        <f>VLOOKUP(B288,[1]물질정보!B:C,2,0)</f>
        <v>868-77-9</v>
      </c>
      <c r="D288" t="str">
        <f>VLOOKUP(B288,[1]물질정보!B:D,3,0)</f>
        <v>2-hydroxyethyl methacrylate</v>
      </c>
      <c r="E288" t="str">
        <f>VLOOKUP(B288,[1]물질정보!B:E,4,0)</f>
        <v>C6H10O3</v>
      </c>
      <c r="F288" t="str">
        <f>VLOOKUP(B288,[1]물질정보!B:F,5,0)</f>
        <v>130.139 g/mol</v>
      </c>
      <c r="G288" s="5" t="str">
        <f>VLOOKUP(B288,[1]물질정보!B:G,6,0)</f>
        <v>CC(=C)C(=O)OCCO</v>
      </c>
      <c r="H288" t="s">
        <v>79</v>
      </c>
      <c r="I288" t="s">
        <v>97</v>
      </c>
      <c r="J288" t="s">
        <v>98</v>
      </c>
      <c r="K288" t="s">
        <v>99</v>
      </c>
      <c r="L288" t="s">
        <v>29</v>
      </c>
      <c r="M288" t="s">
        <v>100</v>
      </c>
      <c r="N288" t="s">
        <v>106</v>
      </c>
      <c r="O288" t="s">
        <v>29</v>
      </c>
      <c r="P288" t="s">
        <v>29</v>
      </c>
      <c r="Q288" t="s">
        <v>29</v>
      </c>
      <c r="R288" t="s">
        <v>32</v>
      </c>
      <c r="S288" t="s">
        <v>29</v>
      </c>
      <c r="T288" t="s">
        <v>40</v>
      </c>
      <c r="U288" t="s">
        <v>110</v>
      </c>
      <c r="V288" s="6" t="s">
        <v>35</v>
      </c>
      <c r="W288" t="s">
        <v>106</v>
      </c>
      <c r="X288" t="s">
        <v>29</v>
      </c>
      <c r="Y288" s="6" t="s">
        <v>98</v>
      </c>
    </row>
    <row r="289" spans="2:25" x14ac:dyDescent="0.3">
      <c r="B289" s="5" t="s">
        <v>69</v>
      </c>
      <c r="C289" s="5" t="str">
        <f>VLOOKUP(B289,[1]물질정보!B:C,2,0)</f>
        <v>868-77-9</v>
      </c>
      <c r="D289" t="str">
        <f>VLOOKUP(B289,[1]물질정보!B:D,3,0)</f>
        <v>2-hydroxyethyl methacrylate</v>
      </c>
      <c r="E289" t="str">
        <f>VLOOKUP(B289,[1]물질정보!B:E,4,0)</f>
        <v>C6H10O3</v>
      </c>
      <c r="F289" t="str">
        <f>VLOOKUP(B289,[1]물질정보!B:F,5,0)</f>
        <v>130.139 g/mol</v>
      </c>
      <c r="G289" s="5" t="str">
        <f>VLOOKUP(B289,[1]물질정보!B:G,6,0)</f>
        <v>CC(=C)C(=O)OCCO</v>
      </c>
      <c r="H289" t="s">
        <v>79</v>
      </c>
      <c r="I289" t="s">
        <v>111</v>
      </c>
      <c r="J289" t="s">
        <v>824</v>
      </c>
      <c r="K289" t="s">
        <v>90</v>
      </c>
      <c r="L289" t="s">
        <v>29</v>
      </c>
      <c r="M289" t="s">
        <v>122</v>
      </c>
      <c r="N289" t="s">
        <v>29</v>
      </c>
      <c r="O289" t="s">
        <v>29</v>
      </c>
      <c r="P289" t="s">
        <v>29</v>
      </c>
      <c r="Q289" t="s">
        <v>29</v>
      </c>
      <c r="R289" t="s">
        <v>32</v>
      </c>
      <c r="S289" t="s">
        <v>29</v>
      </c>
      <c r="T289" t="s">
        <v>40</v>
      </c>
      <c r="U289" t="s">
        <v>121</v>
      </c>
      <c r="V289" s="6" t="s">
        <v>35</v>
      </c>
      <c r="W289" t="s">
        <v>112</v>
      </c>
      <c r="X289" t="s">
        <v>29</v>
      </c>
      <c r="Y289" s="6" t="s">
        <v>753</v>
      </c>
    </row>
    <row r="290" spans="2:25" x14ac:dyDescent="0.3">
      <c r="B290" s="5" t="s">
        <v>69</v>
      </c>
      <c r="C290" s="5" t="str">
        <f>VLOOKUP(B290,[1]물질정보!B:C,2,0)</f>
        <v>868-77-9</v>
      </c>
      <c r="D290" t="str">
        <f>VLOOKUP(B290,[1]물질정보!B:D,3,0)</f>
        <v>2-hydroxyethyl methacrylate</v>
      </c>
      <c r="E290" t="str">
        <f>VLOOKUP(B290,[1]물질정보!B:E,4,0)</f>
        <v>C6H10O3</v>
      </c>
      <c r="F290" t="str">
        <f>VLOOKUP(B290,[1]물질정보!B:F,5,0)</f>
        <v>130.139 g/mol</v>
      </c>
      <c r="G290" s="5" t="str">
        <f>VLOOKUP(B290,[1]물질정보!B:G,6,0)</f>
        <v>CC(=C)C(=O)OCCO</v>
      </c>
      <c r="H290" t="s">
        <v>79</v>
      </c>
      <c r="I290" t="s">
        <v>111</v>
      </c>
      <c r="J290" t="s">
        <v>824</v>
      </c>
      <c r="K290" t="s">
        <v>90</v>
      </c>
      <c r="L290" t="s">
        <v>29</v>
      </c>
      <c r="M290" t="s">
        <v>122</v>
      </c>
      <c r="N290" t="s">
        <v>29</v>
      </c>
      <c r="O290" t="s">
        <v>29</v>
      </c>
      <c r="P290" t="s">
        <v>29</v>
      </c>
      <c r="Q290" t="s">
        <v>29</v>
      </c>
      <c r="R290" t="s">
        <v>32</v>
      </c>
      <c r="S290" t="s">
        <v>29</v>
      </c>
      <c r="T290" t="s">
        <v>40</v>
      </c>
      <c r="U290" t="s">
        <v>114</v>
      </c>
      <c r="V290" s="6" t="s">
        <v>35</v>
      </c>
      <c r="W290" t="s">
        <v>112</v>
      </c>
      <c r="X290" t="s">
        <v>29</v>
      </c>
      <c r="Y290" s="6" t="s">
        <v>753</v>
      </c>
    </row>
    <row r="291" spans="2:25" x14ac:dyDescent="0.3">
      <c r="B291" s="5" t="s">
        <v>69</v>
      </c>
      <c r="C291" s="5" t="str">
        <f>VLOOKUP(B291,[1]물질정보!B:C,2,0)</f>
        <v>868-77-9</v>
      </c>
      <c r="D291" t="str">
        <f>VLOOKUP(B291,[1]물질정보!B:D,3,0)</f>
        <v>2-hydroxyethyl methacrylate</v>
      </c>
      <c r="E291" t="str">
        <f>VLOOKUP(B291,[1]물질정보!B:E,4,0)</f>
        <v>C6H10O3</v>
      </c>
      <c r="F291" t="str">
        <f>VLOOKUP(B291,[1]물질정보!B:F,5,0)</f>
        <v>130.139 g/mol</v>
      </c>
      <c r="G291" s="5" t="str">
        <f>VLOOKUP(B291,[1]물질정보!B:G,6,0)</f>
        <v>CC(=C)C(=O)OCCO</v>
      </c>
      <c r="H291" t="s">
        <v>79</v>
      </c>
      <c r="I291" t="s">
        <v>111</v>
      </c>
      <c r="J291" t="s">
        <v>824</v>
      </c>
      <c r="K291" t="s">
        <v>90</v>
      </c>
      <c r="L291" t="s">
        <v>29</v>
      </c>
      <c r="M291" t="s">
        <v>122</v>
      </c>
      <c r="N291" t="s">
        <v>29</v>
      </c>
      <c r="O291" t="s">
        <v>29</v>
      </c>
      <c r="P291" t="s">
        <v>29</v>
      </c>
      <c r="Q291" t="s">
        <v>29</v>
      </c>
      <c r="R291" t="s">
        <v>32</v>
      </c>
      <c r="S291" t="s">
        <v>29</v>
      </c>
      <c r="T291" t="s">
        <v>40</v>
      </c>
      <c r="U291" t="s">
        <v>115</v>
      </c>
      <c r="V291" s="6" t="s">
        <v>35</v>
      </c>
      <c r="W291" t="s">
        <v>112</v>
      </c>
      <c r="X291" t="s">
        <v>29</v>
      </c>
      <c r="Y291" s="6" t="s">
        <v>753</v>
      </c>
    </row>
    <row r="292" spans="2:25" x14ac:dyDescent="0.3">
      <c r="B292" s="5" t="s">
        <v>69</v>
      </c>
      <c r="C292" s="5" t="str">
        <f>VLOOKUP(B292,[1]물질정보!B:C,2,0)</f>
        <v>868-77-9</v>
      </c>
      <c r="D292" t="str">
        <f>VLOOKUP(B292,[1]물질정보!B:D,3,0)</f>
        <v>2-hydroxyethyl methacrylate</v>
      </c>
      <c r="E292" t="str">
        <f>VLOOKUP(B292,[1]물질정보!B:E,4,0)</f>
        <v>C6H10O3</v>
      </c>
      <c r="F292" t="str">
        <f>VLOOKUP(B292,[1]물질정보!B:F,5,0)</f>
        <v>130.139 g/mol</v>
      </c>
      <c r="G292" s="5" t="str">
        <f>VLOOKUP(B292,[1]물질정보!B:G,6,0)</f>
        <v>CC(=C)C(=O)OCCO</v>
      </c>
      <c r="H292" t="s">
        <v>79</v>
      </c>
      <c r="I292" t="s">
        <v>111</v>
      </c>
      <c r="J292" t="s">
        <v>824</v>
      </c>
      <c r="K292" t="s">
        <v>90</v>
      </c>
      <c r="L292" t="s">
        <v>29</v>
      </c>
      <c r="M292" t="s">
        <v>122</v>
      </c>
      <c r="N292" t="s">
        <v>29</v>
      </c>
      <c r="O292" t="s">
        <v>29</v>
      </c>
      <c r="P292" t="s">
        <v>29</v>
      </c>
      <c r="Q292" t="s">
        <v>29</v>
      </c>
      <c r="R292" t="s">
        <v>32</v>
      </c>
      <c r="S292" t="s">
        <v>29</v>
      </c>
      <c r="T292" t="s">
        <v>40</v>
      </c>
      <c r="U292" t="s">
        <v>116</v>
      </c>
      <c r="V292" s="6" t="s">
        <v>35</v>
      </c>
      <c r="W292" t="s">
        <v>112</v>
      </c>
      <c r="X292" t="s">
        <v>29</v>
      </c>
      <c r="Y292" s="6" t="s">
        <v>753</v>
      </c>
    </row>
    <row r="293" spans="2:25" x14ac:dyDescent="0.3">
      <c r="B293" s="5" t="s">
        <v>69</v>
      </c>
      <c r="C293" s="5" t="str">
        <f>VLOOKUP(B293,[1]물질정보!B:C,2,0)</f>
        <v>868-77-9</v>
      </c>
      <c r="D293" t="str">
        <f>VLOOKUP(B293,[1]물질정보!B:D,3,0)</f>
        <v>2-hydroxyethyl methacrylate</v>
      </c>
      <c r="E293" t="str">
        <f>VLOOKUP(B293,[1]물질정보!B:E,4,0)</f>
        <v>C6H10O3</v>
      </c>
      <c r="F293" t="str">
        <f>VLOOKUP(B293,[1]물질정보!B:F,5,0)</f>
        <v>130.139 g/mol</v>
      </c>
      <c r="G293" s="5" t="str">
        <f>VLOOKUP(B293,[1]물질정보!B:G,6,0)</f>
        <v>CC(=C)C(=O)OCCO</v>
      </c>
      <c r="H293" t="s">
        <v>79</v>
      </c>
      <c r="I293" t="s">
        <v>685</v>
      </c>
      <c r="J293" t="s">
        <v>117</v>
      </c>
      <c r="K293" t="s">
        <v>123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29</v>
      </c>
      <c r="R293" t="s">
        <v>32</v>
      </c>
      <c r="S293" t="s">
        <v>29</v>
      </c>
      <c r="T293" t="s">
        <v>29</v>
      </c>
      <c r="U293" t="s">
        <v>119</v>
      </c>
      <c r="V293" s="6" t="s">
        <v>35</v>
      </c>
      <c r="W293" t="s">
        <v>120</v>
      </c>
      <c r="X293" t="s">
        <v>29</v>
      </c>
      <c r="Y293" s="6" t="s">
        <v>117</v>
      </c>
    </row>
    <row r="294" spans="2:25" x14ac:dyDescent="0.3">
      <c r="B294" s="5" t="s">
        <v>70</v>
      </c>
      <c r="C294" s="5" t="str">
        <f>VLOOKUP(B294,[1]물질정보!B:C,2,0)</f>
        <v>10095-14-4</v>
      </c>
      <c r="D294" t="str">
        <f>VLOOKUP(B294,[1]물질정보!B:D,3,0)</f>
        <v>6-hydroxybutyl acrylate</v>
      </c>
      <c r="E294" t="str">
        <f>VLOOKUP(B294,[1]물질정보!B:E,4,0)</f>
        <v>C9H16O3</v>
      </c>
      <c r="F294" t="str">
        <f>VLOOKUP(B294,[1]물질정보!B:F,5,0)</f>
        <v>172.22 g/mol</v>
      </c>
      <c r="G294" s="5" t="str">
        <f>VLOOKUP(B294,[1]물질정보!B:G,6,0)</f>
        <v>C=CC(=O)OCCCCCCO</v>
      </c>
      <c r="H294" t="s">
        <v>79</v>
      </c>
      <c r="I294" t="s">
        <v>80</v>
      </c>
      <c r="J294" t="s">
        <v>81</v>
      </c>
      <c r="K294" t="s">
        <v>29</v>
      </c>
      <c r="L294" t="s">
        <v>82</v>
      </c>
      <c r="M294" t="s">
        <v>83</v>
      </c>
      <c r="N294" t="s">
        <v>29</v>
      </c>
      <c r="O294" t="s">
        <v>29</v>
      </c>
      <c r="P294">
        <v>48</v>
      </c>
      <c r="Q294" t="s">
        <v>31</v>
      </c>
      <c r="R294" t="s">
        <v>32</v>
      </c>
      <c r="S294" t="s">
        <v>29</v>
      </c>
      <c r="T294" t="s">
        <v>66</v>
      </c>
      <c r="U294" t="s">
        <v>84</v>
      </c>
      <c r="V294" s="6" t="s">
        <v>35</v>
      </c>
      <c r="W294" t="s">
        <v>83</v>
      </c>
      <c r="X294" t="s">
        <v>29</v>
      </c>
      <c r="Y294" s="6" t="s">
        <v>81</v>
      </c>
    </row>
    <row r="295" spans="2:25" x14ac:dyDescent="0.3">
      <c r="B295" s="5" t="s">
        <v>70</v>
      </c>
      <c r="C295" s="5" t="str">
        <f>VLOOKUP(B295,[1]물질정보!B:C,2,0)</f>
        <v>10095-14-4</v>
      </c>
      <c r="D295" t="str">
        <f>VLOOKUP(B295,[1]물질정보!B:D,3,0)</f>
        <v>6-hydroxybutyl acrylate</v>
      </c>
      <c r="E295" t="str">
        <f>VLOOKUP(B295,[1]물질정보!B:E,4,0)</f>
        <v>C9H16O3</v>
      </c>
      <c r="F295" t="str">
        <f>VLOOKUP(B295,[1]물질정보!B:F,5,0)</f>
        <v>172.22 g/mol</v>
      </c>
      <c r="G295" s="5" t="str">
        <f>VLOOKUP(B295,[1]물질정보!B:G,6,0)</f>
        <v>C=CC(=O)OCCCCCCO</v>
      </c>
      <c r="H295" t="s">
        <v>79</v>
      </c>
      <c r="I295" t="s">
        <v>80</v>
      </c>
      <c r="J295" t="s">
        <v>81</v>
      </c>
      <c r="K295">
        <v>2000</v>
      </c>
      <c r="L295" t="s">
        <v>85</v>
      </c>
      <c r="M295" t="s">
        <v>86</v>
      </c>
      <c r="N295" t="s">
        <v>29</v>
      </c>
      <c r="O295" t="s">
        <v>29</v>
      </c>
      <c r="P295">
        <v>48</v>
      </c>
      <c r="Q295" t="s">
        <v>31</v>
      </c>
      <c r="R295" t="s">
        <v>32</v>
      </c>
      <c r="S295" t="s">
        <v>29</v>
      </c>
      <c r="T295" t="s">
        <v>40</v>
      </c>
      <c r="U295" t="s">
        <v>87</v>
      </c>
      <c r="V295" s="6" t="s">
        <v>35</v>
      </c>
      <c r="W295" t="s">
        <v>86</v>
      </c>
      <c r="X295" t="s">
        <v>29</v>
      </c>
      <c r="Y295" s="6" t="s">
        <v>81</v>
      </c>
    </row>
    <row r="296" spans="2:25" x14ac:dyDescent="0.3">
      <c r="B296" s="5" t="s">
        <v>70</v>
      </c>
      <c r="C296" s="5" t="str">
        <f>VLOOKUP(B296,[1]물질정보!B:C,2,0)</f>
        <v>10095-14-4</v>
      </c>
      <c r="D296" t="str">
        <f>VLOOKUP(B296,[1]물질정보!B:D,3,0)</f>
        <v>6-hydroxybutyl acrylate</v>
      </c>
      <c r="E296" t="str">
        <f>VLOOKUP(B296,[1]물질정보!B:E,4,0)</f>
        <v>C9H16O3</v>
      </c>
      <c r="F296" t="str">
        <f>VLOOKUP(B296,[1]물질정보!B:F,5,0)</f>
        <v>172.22 g/mol</v>
      </c>
      <c r="G296" s="5" t="str">
        <f>VLOOKUP(B296,[1]물질정보!B:G,6,0)</f>
        <v>C=CC(=O)OCCCCCCO</v>
      </c>
      <c r="H296" t="s">
        <v>79</v>
      </c>
      <c r="I296" t="s">
        <v>88</v>
      </c>
      <c r="J296" t="s">
        <v>89</v>
      </c>
      <c r="K296" t="s">
        <v>90</v>
      </c>
      <c r="L296" t="s">
        <v>29</v>
      </c>
      <c r="M296" t="s">
        <v>91</v>
      </c>
      <c r="N296" t="s">
        <v>29</v>
      </c>
      <c r="O296" t="s">
        <v>29</v>
      </c>
      <c r="P296" t="s">
        <v>29</v>
      </c>
      <c r="Q296" t="s">
        <v>29</v>
      </c>
      <c r="R296" t="s">
        <v>32</v>
      </c>
      <c r="S296" t="s">
        <v>29</v>
      </c>
      <c r="T296" t="s">
        <v>40</v>
      </c>
      <c r="U296" t="s">
        <v>92</v>
      </c>
      <c r="V296" s="6" t="s">
        <v>35</v>
      </c>
      <c r="W296" t="s">
        <v>93</v>
      </c>
      <c r="X296" t="s">
        <v>29</v>
      </c>
      <c r="Y296" s="6" t="s">
        <v>89</v>
      </c>
    </row>
    <row r="297" spans="2:25" x14ac:dyDescent="0.3">
      <c r="B297" s="5" t="s">
        <v>70</v>
      </c>
      <c r="C297" s="5" t="str">
        <f>VLOOKUP(B297,[1]물질정보!B:C,2,0)</f>
        <v>10095-14-4</v>
      </c>
      <c r="D297" t="str">
        <f>VLOOKUP(B297,[1]물질정보!B:D,3,0)</f>
        <v>6-hydroxybutyl acrylate</v>
      </c>
      <c r="E297" t="str">
        <f>VLOOKUP(B297,[1]물질정보!B:E,4,0)</f>
        <v>C9H16O3</v>
      </c>
      <c r="F297" t="str">
        <f>VLOOKUP(B297,[1]물질정보!B:F,5,0)</f>
        <v>172.22 g/mol</v>
      </c>
      <c r="G297" s="5" t="str">
        <f>VLOOKUP(B297,[1]물질정보!B:G,6,0)</f>
        <v>C=CC(=O)OCCCCCCO</v>
      </c>
      <c r="H297" t="s">
        <v>79</v>
      </c>
      <c r="I297" t="s">
        <v>88</v>
      </c>
      <c r="J297" t="s">
        <v>89</v>
      </c>
      <c r="K297" t="s">
        <v>90</v>
      </c>
      <c r="L297" t="s">
        <v>29</v>
      </c>
      <c r="M297" t="s">
        <v>91</v>
      </c>
      <c r="N297" t="s">
        <v>29</v>
      </c>
      <c r="O297" t="s">
        <v>29</v>
      </c>
      <c r="P297" t="s">
        <v>29</v>
      </c>
      <c r="Q297" t="s">
        <v>29</v>
      </c>
      <c r="R297" t="s">
        <v>32</v>
      </c>
      <c r="S297" t="s">
        <v>29</v>
      </c>
      <c r="T297" t="s">
        <v>40</v>
      </c>
      <c r="U297" t="s">
        <v>94</v>
      </c>
      <c r="V297" s="6" t="s">
        <v>35</v>
      </c>
      <c r="W297" t="s">
        <v>93</v>
      </c>
      <c r="X297" t="s">
        <v>29</v>
      </c>
      <c r="Y297" s="6" t="s">
        <v>89</v>
      </c>
    </row>
    <row r="298" spans="2:25" x14ac:dyDescent="0.3">
      <c r="B298" s="5" t="s">
        <v>70</v>
      </c>
      <c r="C298" s="5" t="str">
        <f>VLOOKUP(B298,[1]물질정보!B:C,2,0)</f>
        <v>10095-14-4</v>
      </c>
      <c r="D298" t="str">
        <f>VLOOKUP(B298,[1]물질정보!B:D,3,0)</f>
        <v>6-hydroxybutyl acrylate</v>
      </c>
      <c r="E298" t="str">
        <f>VLOOKUP(B298,[1]물질정보!B:E,4,0)</f>
        <v>C9H16O3</v>
      </c>
      <c r="F298" t="str">
        <f>VLOOKUP(B298,[1]물질정보!B:F,5,0)</f>
        <v>172.22 g/mol</v>
      </c>
      <c r="G298" s="5" t="str">
        <f>VLOOKUP(B298,[1]물질정보!B:G,6,0)</f>
        <v>C=CC(=O)OCCCCCCO</v>
      </c>
      <c r="H298" t="s">
        <v>79</v>
      </c>
      <c r="I298" t="s">
        <v>88</v>
      </c>
      <c r="J298" t="s">
        <v>89</v>
      </c>
      <c r="K298" t="s">
        <v>90</v>
      </c>
      <c r="L298" t="s">
        <v>29</v>
      </c>
      <c r="M298" t="s">
        <v>91</v>
      </c>
      <c r="N298" t="s">
        <v>29</v>
      </c>
      <c r="O298" t="s">
        <v>29</v>
      </c>
      <c r="P298" t="s">
        <v>29</v>
      </c>
      <c r="Q298" t="s">
        <v>29</v>
      </c>
      <c r="R298" t="s">
        <v>32</v>
      </c>
      <c r="S298" t="s">
        <v>29</v>
      </c>
      <c r="T298" t="s">
        <v>40</v>
      </c>
      <c r="U298" t="s">
        <v>95</v>
      </c>
      <c r="V298" s="6" t="s">
        <v>35</v>
      </c>
      <c r="W298" t="s">
        <v>93</v>
      </c>
      <c r="X298" t="s">
        <v>29</v>
      </c>
      <c r="Y298" s="6" t="s">
        <v>89</v>
      </c>
    </row>
    <row r="299" spans="2:25" x14ac:dyDescent="0.3">
      <c r="B299" s="5" t="s">
        <v>70</v>
      </c>
      <c r="C299" s="5" t="str">
        <f>VLOOKUP(B299,[1]물질정보!B:C,2,0)</f>
        <v>10095-14-4</v>
      </c>
      <c r="D299" t="str">
        <f>VLOOKUP(B299,[1]물질정보!B:D,3,0)</f>
        <v>6-hydroxybutyl acrylate</v>
      </c>
      <c r="E299" t="str">
        <f>VLOOKUP(B299,[1]물질정보!B:E,4,0)</f>
        <v>C9H16O3</v>
      </c>
      <c r="F299" t="str">
        <f>VLOOKUP(B299,[1]물질정보!B:F,5,0)</f>
        <v>172.22 g/mol</v>
      </c>
      <c r="G299" s="5" t="str">
        <f>VLOOKUP(B299,[1]물질정보!B:G,6,0)</f>
        <v>C=CC(=O)OCCCCCCO</v>
      </c>
      <c r="H299" t="s">
        <v>79</v>
      </c>
      <c r="I299" t="s">
        <v>88</v>
      </c>
      <c r="J299" t="s">
        <v>89</v>
      </c>
      <c r="K299" t="s">
        <v>90</v>
      </c>
      <c r="L299" t="s">
        <v>29</v>
      </c>
      <c r="M299" t="s">
        <v>91</v>
      </c>
      <c r="N299" t="s">
        <v>29</v>
      </c>
      <c r="O299" t="s">
        <v>29</v>
      </c>
      <c r="P299" t="s">
        <v>29</v>
      </c>
      <c r="Q299" t="s">
        <v>29</v>
      </c>
      <c r="R299" t="s">
        <v>32</v>
      </c>
      <c r="S299" t="s">
        <v>29</v>
      </c>
      <c r="T299" t="s">
        <v>40</v>
      </c>
      <c r="U299" t="s">
        <v>96</v>
      </c>
      <c r="V299" s="6" t="s">
        <v>35</v>
      </c>
      <c r="W299" t="s">
        <v>93</v>
      </c>
      <c r="X299" t="s">
        <v>29</v>
      </c>
      <c r="Y299" s="6" t="s">
        <v>89</v>
      </c>
    </row>
    <row r="300" spans="2:25" x14ac:dyDescent="0.3">
      <c r="B300" s="5" t="s">
        <v>70</v>
      </c>
      <c r="C300" s="5" t="str">
        <f>VLOOKUP(B300,[1]물질정보!B:C,2,0)</f>
        <v>10095-14-4</v>
      </c>
      <c r="D300" t="str">
        <f>VLOOKUP(B300,[1]물질정보!B:D,3,0)</f>
        <v>6-hydroxybutyl acrylate</v>
      </c>
      <c r="E300" t="str">
        <f>VLOOKUP(B300,[1]물질정보!B:E,4,0)</f>
        <v>C9H16O3</v>
      </c>
      <c r="F300" t="str">
        <f>VLOOKUP(B300,[1]물질정보!B:F,5,0)</f>
        <v>172.22 g/mol</v>
      </c>
      <c r="G300" s="5" t="str">
        <f>VLOOKUP(B300,[1]물질정보!B:G,6,0)</f>
        <v>C=CC(=O)OCCCCCCO</v>
      </c>
      <c r="H300" t="s">
        <v>79</v>
      </c>
      <c r="I300" t="s">
        <v>97</v>
      </c>
      <c r="J300" t="s">
        <v>98</v>
      </c>
      <c r="K300" t="s">
        <v>99</v>
      </c>
      <c r="L300" t="s">
        <v>29</v>
      </c>
      <c r="M300" t="s">
        <v>100</v>
      </c>
      <c r="N300" t="s">
        <v>101</v>
      </c>
      <c r="O300" t="s">
        <v>29</v>
      </c>
      <c r="P300" t="s">
        <v>29</v>
      </c>
      <c r="Q300" t="s">
        <v>29</v>
      </c>
      <c r="R300" t="s">
        <v>32</v>
      </c>
      <c r="S300" t="s">
        <v>29</v>
      </c>
      <c r="T300" t="s">
        <v>40</v>
      </c>
      <c r="U300" t="s">
        <v>102</v>
      </c>
      <c r="V300" s="6" t="s">
        <v>35</v>
      </c>
      <c r="W300" t="s">
        <v>101</v>
      </c>
      <c r="X300" t="s">
        <v>29</v>
      </c>
      <c r="Y300" s="6" t="s">
        <v>98</v>
      </c>
    </row>
    <row r="301" spans="2:25" x14ac:dyDescent="0.3">
      <c r="B301" s="5" t="s">
        <v>70</v>
      </c>
      <c r="C301" s="5" t="str">
        <f>VLOOKUP(B301,[1]물질정보!B:C,2,0)</f>
        <v>10095-14-4</v>
      </c>
      <c r="D301" t="str">
        <f>VLOOKUP(B301,[1]물질정보!B:D,3,0)</f>
        <v>6-hydroxybutyl acrylate</v>
      </c>
      <c r="E301" t="str">
        <f>VLOOKUP(B301,[1]물질정보!B:E,4,0)</f>
        <v>C9H16O3</v>
      </c>
      <c r="F301" t="str">
        <f>VLOOKUP(B301,[1]물질정보!B:F,5,0)</f>
        <v>172.22 g/mol</v>
      </c>
      <c r="G301" s="5" t="str">
        <f>VLOOKUP(B301,[1]물질정보!B:G,6,0)</f>
        <v>C=CC(=O)OCCCCCCO</v>
      </c>
      <c r="H301" t="s">
        <v>79</v>
      </c>
      <c r="I301" t="s">
        <v>97</v>
      </c>
      <c r="J301" t="s">
        <v>98</v>
      </c>
      <c r="K301" t="s">
        <v>99</v>
      </c>
      <c r="L301" t="s">
        <v>29</v>
      </c>
      <c r="M301" t="s">
        <v>100</v>
      </c>
      <c r="N301" t="s">
        <v>101</v>
      </c>
      <c r="O301" t="s">
        <v>29</v>
      </c>
      <c r="P301" t="s">
        <v>29</v>
      </c>
      <c r="Q301" t="s">
        <v>29</v>
      </c>
      <c r="R301" t="s">
        <v>32</v>
      </c>
      <c r="S301" t="s">
        <v>29</v>
      </c>
      <c r="T301" t="s">
        <v>40</v>
      </c>
      <c r="U301" t="s">
        <v>103</v>
      </c>
      <c r="V301" s="6" t="s">
        <v>35</v>
      </c>
      <c r="W301" t="s">
        <v>101</v>
      </c>
      <c r="X301" t="s">
        <v>29</v>
      </c>
      <c r="Y301" s="6" t="s">
        <v>98</v>
      </c>
    </row>
    <row r="302" spans="2:25" x14ac:dyDescent="0.3">
      <c r="B302" s="5" t="s">
        <v>70</v>
      </c>
      <c r="C302" s="5" t="str">
        <f>VLOOKUP(B302,[1]물질정보!B:C,2,0)</f>
        <v>10095-14-4</v>
      </c>
      <c r="D302" t="str">
        <f>VLOOKUP(B302,[1]물질정보!B:D,3,0)</f>
        <v>6-hydroxybutyl acrylate</v>
      </c>
      <c r="E302" t="str">
        <f>VLOOKUP(B302,[1]물질정보!B:E,4,0)</f>
        <v>C9H16O3</v>
      </c>
      <c r="F302" t="str">
        <f>VLOOKUP(B302,[1]물질정보!B:F,5,0)</f>
        <v>172.22 g/mol</v>
      </c>
      <c r="G302" s="5" t="str">
        <f>VLOOKUP(B302,[1]물질정보!B:G,6,0)</f>
        <v>C=CC(=O)OCCCCCCO</v>
      </c>
      <c r="H302" t="s">
        <v>79</v>
      </c>
      <c r="I302" t="s">
        <v>97</v>
      </c>
      <c r="J302" t="s">
        <v>98</v>
      </c>
      <c r="K302" t="s">
        <v>99</v>
      </c>
      <c r="L302" t="s">
        <v>29</v>
      </c>
      <c r="M302" t="s">
        <v>100</v>
      </c>
      <c r="N302" t="s">
        <v>101</v>
      </c>
      <c r="O302" t="s">
        <v>29</v>
      </c>
      <c r="P302" t="s">
        <v>29</v>
      </c>
      <c r="Q302" t="s">
        <v>29</v>
      </c>
      <c r="R302" t="s">
        <v>32</v>
      </c>
      <c r="S302" t="s">
        <v>29</v>
      </c>
      <c r="T302" t="s">
        <v>40</v>
      </c>
      <c r="U302" t="s">
        <v>104</v>
      </c>
      <c r="V302" s="6" t="s">
        <v>35</v>
      </c>
      <c r="W302" t="s">
        <v>101</v>
      </c>
      <c r="X302" t="s">
        <v>29</v>
      </c>
      <c r="Y302" s="6" t="s">
        <v>98</v>
      </c>
    </row>
    <row r="303" spans="2:25" x14ac:dyDescent="0.3">
      <c r="B303" s="5" t="s">
        <v>70</v>
      </c>
      <c r="C303" s="5" t="str">
        <f>VLOOKUP(B303,[1]물질정보!B:C,2,0)</f>
        <v>10095-14-4</v>
      </c>
      <c r="D303" t="str">
        <f>VLOOKUP(B303,[1]물질정보!B:D,3,0)</f>
        <v>6-hydroxybutyl acrylate</v>
      </c>
      <c r="E303" t="str">
        <f>VLOOKUP(B303,[1]물질정보!B:E,4,0)</f>
        <v>C9H16O3</v>
      </c>
      <c r="F303" t="str">
        <f>VLOOKUP(B303,[1]물질정보!B:F,5,0)</f>
        <v>172.22 g/mol</v>
      </c>
      <c r="G303" s="5" t="str">
        <f>VLOOKUP(B303,[1]물질정보!B:G,6,0)</f>
        <v>C=CC(=O)OCCCCCCO</v>
      </c>
      <c r="H303" t="s">
        <v>79</v>
      </c>
      <c r="I303" t="s">
        <v>97</v>
      </c>
      <c r="J303" t="s">
        <v>98</v>
      </c>
      <c r="K303" t="s">
        <v>29</v>
      </c>
      <c r="L303" t="s">
        <v>29</v>
      </c>
      <c r="M303" t="s">
        <v>100</v>
      </c>
      <c r="N303" t="s">
        <v>101</v>
      </c>
      <c r="O303" t="s">
        <v>29</v>
      </c>
      <c r="P303" t="s">
        <v>29</v>
      </c>
      <c r="Q303" t="s">
        <v>29</v>
      </c>
      <c r="R303" t="s">
        <v>32</v>
      </c>
      <c r="S303" t="s">
        <v>29</v>
      </c>
      <c r="T303" t="s">
        <v>66</v>
      </c>
      <c r="U303" t="s">
        <v>105</v>
      </c>
      <c r="V303" s="6" t="s">
        <v>35</v>
      </c>
      <c r="W303" t="s">
        <v>101</v>
      </c>
      <c r="X303" t="s">
        <v>29</v>
      </c>
      <c r="Y303" s="6" t="s">
        <v>98</v>
      </c>
    </row>
    <row r="304" spans="2:25" x14ac:dyDescent="0.3">
      <c r="B304" s="5" t="s">
        <v>70</v>
      </c>
      <c r="C304" s="5" t="str">
        <f>VLOOKUP(B304,[1]물질정보!B:C,2,0)</f>
        <v>10095-14-4</v>
      </c>
      <c r="D304" t="str">
        <f>VLOOKUP(B304,[1]물질정보!B:D,3,0)</f>
        <v>6-hydroxybutyl acrylate</v>
      </c>
      <c r="E304" t="str">
        <f>VLOOKUP(B304,[1]물질정보!B:E,4,0)</f>
        <v>C9H16O3</v>
      </c>
      <c r="F304" t="str">
        <f>VLOOKUP(B304,[1]물질정보!B:F,5,0)</f>
        <v>172.22 g/mol</v>
      </c>
      <c r="G304" s="5" t="str">
        <f>VLOOKUP(B304,[1]물질정보!B:G,6,0)</f>
        <v>C=CC(=O)OCCCCCCO</v>
      </c>
      <c r="H304" t="s">
        <v>79</v>
      </c>
      <c r="I304" t="s">
        <v>97</v>
      </c>
      <c r="J304" t="s">
        <v>98</v>
      </c>
      <c r="K304" t="s">
        <v>99</v>
      </c>
      <c r="L304" t="s">
        <v>29</v>
      </c>
      <c r="M304" t="s">
        <v>100</v>
      </c>
      <c r="N304" t="s">
        <v>106</v>
      </c>
      <c r="O304" t="s">
        <v>29</v>
      </c>
      <c r="P304" t="s">
        <v>29</v>
      </c>
      <c r="Q304" t="s">
        <v>29</v>
      </c>
      <c r="R304" t="s">
        <v>32</v>
      </c>
      <c r="S304" t="s">
        <v>29</v>
      </c>
      <c r="T304" t="s">
        <v>40</v>
      </c>
      <c r="U304" t="s">
        <v>107</v>
      </c>
      <c r="V304" s="6" t="s">
        <v>35</v>
      </c>
      <c r="W304" t="s">
        <v>236</v>
      </c>
      <c r="X304" t="s">
        <v>29</v>
      </c>
      <c r="Y304" s="6" t="s">
        <v>98</v>
      </c>
    </row>
    <row r="305" spans="2:25" x14ac:dyDescent="0.3">
      <c r="B305" s="5" t="s">
        <v>70</v>
      </c>
      <c r="C305" s="5" t="str">
        <f>VLOOKUP(B305,[1]물질정보!B:C,2,0)</f>
        <v>10095-14-4</v>
      </c>
      <c r="D305" t="str">
        <f>VLOOKUP(B305,[1]물질정보!B:D,3,0)</f>
        <v>6-hydroxybutyl acrylate</v>
      </c>
      <c r="E305" t="str">
        <f>VLOOKUP(B305,[1]물질정보!B:E,4,0)</f>
        <v>C9H16O3</v>
      </c>
      <c r="F305" t="str">
        <f>VLOOKUP(B305,[1]물질정보!B:F,5,0)</f>
        <v>172.22 g/mol</v>
      </c>
      <c r="G305" s="5" t="str">
        <f>VLOOKUP(B305,[1]물질정보!B:G,6,0)</f>
        <v>C=CC(=O)OCCCCCCO</v>
      </c>
      <c r="H305" t="s">
        <v>79</v>
      </c>
      <c r="I305" t="s">
        <v>97</v>
      </c>
      <c r="J305" t="s">
        <v>98</v>
      </c>
      <c r="K305" t="s">
        <v>99</v>
      </c>
      <c r="L305" t="s">
        <v>29</v>
      </c>
      <c r="M305" t="s">
        <v>100</v>
      </c>
      <c r="N305" t="s">
        <v>106</v>
      </c>
      <c r="O305" t="s">
        <v>29</v>
      </c>
      <c r="P305" t="s">
        <v>29</v>
      </c>
      <c r="Q305" t="s">
        <v>29</v>
      </c>
      <c r="R305" t="s">
        <v>32</v>
      </c>
      <c r="S305" t="s">
        <v>29</v>
      </c>
      <c r="T305" t="s">
        <v>40</v>
      </c>
      <c r="U305" t="s">
        <v>108</v>
      </c>
      <c r="V305" s="6" t="s">
        <v>35</v>
      </c>
      <c r="W305" t="s">
        <v>106</v>
      </c>
      <c r="X305" t="s">
        <v>29</v>
      </c>
      <c r="Y305" s="6" t="s">
        <v>98</v>
      </c>
    </row>
    <row r="306" spans="2:25" x14ac:dyDescent="0.3">
      <c r="B306" s="5" t="s">
        <v>70</v>
      </c>
      <c r="C306" s="5" t="str">
        <f>VLOOKUP(B306,[1]물질정보!B:C,2,0)</f>
        <v>10095-14-4</v>
      </c>
      <c r="D306" t="str">
        <f>VLOOKUP(B306,[1]물질정보!B:D,3,0)</f>
        <v>6-hydroxybutyl acrylate</v>
      </c>
      <c r="E306" t="str">
        <f>VLOOKUP(B306,[1]물질정보!B:E,4,0)</f>
        <v>C9H16O3</v>
      </c>
      <c r="F306" t="str">
        <f>VLOOKUP(B306,[1]물질정보!B:F,5,0)</f>
        <v>172.22 g/mol</v>
      </c>
      <c r="G306" s="5" t="str">
        <f>VLOOKUP(B306,[1]물질정보!B:G,6,0)</f>
        <v>C=CC(=O)OCCCCCCO</v>
      </c>
      <c r="H306" t="s">
        <v>79</v>
      </c>
      <c r="I306" t="s">
        <v>97</v>
      </c>
      <c r="J306" t="s">
        <v>98</v>
      </c>
      <c r="K306" t="s">
        <v>99</v>
      </c>
      <c r="L306" t="s">
        <v>29</v>
      </c>
      <c r="M306" t="s">
        <v>100</v>
      </c>
      <c r="N306" t="s">
        <v>106</v>
      </c>
      <c r="O306" t="s">
        <v>29</v>
      </c>
      <c r="P306" t="s">
        <v>29</v>
      </c>
      <c r="Q306" t="s">
        <v>29</v>
      </c>
      <c r="R306" t="s">
        <v>32</v>
      </c>
      <c r="S306" t="s">
        <v>29</v>
      </c>
      <c r="T306" t="s">
        <v>40</v>
      </c>
      <c r="U306" t="s">
        <v>109</v>
      </c>
      <c r="V306" s="6" t="s">
        <v>35</v>
      </c>
      <c r="W306" t="s">
        <v>106</v>
      </c>
      <c r="X306" t="s">
        <v>29</v>
      </c>
      <c r="Y306" s="6" t="s">
        <v>98</v>
      </c>
    </row>
    <row r="307" spans="2:25" x14ac:dyDescent="0.3">
      <c r="B307" s="5" t="s">
        <v>70</v>
      </c>
      <c r="C307" s="5" t="str">
        <f>VLOOKUP(B307,[1]물질정보!B:C,2,0)</f>
        <v>10095-14-4</v>
      </c>
      <c r="D307" t="str">
        <f>VLOOKUP(B307,[1]물질정보!B:D,3,0)</f>
        <v>6-hydroxybutyl acrylate</v>
      </c>
      <c r="E307" t="str">
        <f>VLOOKUP(B307,[1]물질정보!B:E,4,0)</f>
        <v>C9H16O3</v>
      </c>
      <c r="F307" t="str">
        <f>VLOOKUP(B307,[1]물질정보!B:F,5,0)</f>
        <v>172.22 g/mol</v>
      </c>
      <c r="G307" s="5" t="str">
        <f>VLOOKUP(B307,[1]물질정보!B:G,6,0)</f>
        <v>C=CC(=O)OCCCCCCO</v>
      </c>
      <c r="H307" t="s">
        <v>79</v>
      </c>
      <c r="I307" t="s">
        <v>97</v>
      </c>
      <c r="J307" t="s">
        <v>98</v>
      </c>
      <c r="K307" t="s">
        <v>90</v>
      </c>
      <c r="L307" t="s">
        <v>29</v>
      </c>
      <c r="M307" t="s">
        <v>100</v>
      </c>
      <c r="N307" t="s">
        <v>106</v>
      </c>
      <c r="O307" t="s">
        <v>29</v>
      </c>
      <c r="P307" t="s">
        <v>29</v>
      </c>
      <c r="Q307" t="s">
        <v>29</v>
      </c>
      <c r="R307" t="s">
        <v>32</v>
      </c>
      <c r="S307" t="s">
        <v>29</v>
      </c>
      <c r="T307" t="s">
        <v>40</v>
      </c>
      <c r="U307" t="s">
        <v>110</v>
      </c>
      <c r="V307" s="6" t="s">
        <v>35</v>
      </c>
      <c r="W307" t="s">
        <v>106</v>
      </c>
      <c r="X307" t="s">
        <v>29</v>
      </c>
      <c r="Y307" s="6" t="s">
        <v>98</v>
      </c>
    </row>
    <row r="308" spans="2:25" x14ac:dyDescent="0.3">
      <c r="B308" s="5" t="s">
        <v>70</v>
      </c>
      <c r="C308" s="5" t="str">
        <f>VLOOKUP(B308,[1]물질정보!B:C,2,0)</f>
        <v>10095-14-4</v>
      </c>
      <c r="D308" t="str">
        <f>VLOOKUP(B308,[1]물질정보!B:D,3,0)</f>
        <v>6-hydroxybutyl acrylate</v>
      </c>
      <c r="E308" t="str">
        <f>VLOOKUP(B308,[1]물질정보!B:E,4,0)</f>
        <v>C9H16O3</v>
      </c>
      <c r="F308" t="str">
        <f>VLOOKUP(B308,[1]물질정보!B:F,5,0)</f>
        <v>172.22 g/mol</v>
      </c>
      <c r="G308" s="5" t="str">
        <f>VLOOKUP(B308,[1]물질정보!B:G,6,0)</f>
        <v>C=CC(=O)OCCCCCCO</v>
      </c>
      <c r="H308" t="s">
        <v>79</v>
      </c>
      <c r="I308" t="s">
        <v>111</v>
      </c>
      <c r="J308" t="s">
        <v>824</v>
      </c>
      <c r="K308" t="s">
        <v>90</v>
      </c>
      <c r="L308" t="s">
        <v>29</v>
      </c>
      <c r="M308" t="s">
        <v>122</v>
      </c>
      <c r="N308" t="s">
        <v>29</v>
      </c>
      <c r="O308" t="s">
        <v>29</v>
      </c>
      <c r="P308" t="s">
        <v>29</v>
      </c>
      <c r="Q308" t="s">
        <v>29</v>
      </c>
      <c r="R308" t="s">
        <v>32</v>
      </c>
      <c r="S308" t="s">
        <v>29</v>
      </c>
      <c r="T308" t="s">
        <v>40</v>
      </c>
      <c r="U308" t="s">
        <v>121</v>
      </c>
      <c r="V308" s="6" t="s">
        <v>35</v>
      </c>
      <c r="W308" t="s">
        <v>112</v>
      </c>
      <c r="X308" t="s">
        <v>29</v>
      </c>
      <c r="Y308" s="6" t="s">
        <v>753</v>
      </c>
    </row>
    <row r="309" spans="2:25" x14ac:dyDescent="0.3">
      <c r="B309" s="5" t="s">
        <v>70</v>
      </c>
      <c r="C309" s="5" t="str">
        <f>VLOOKUP(B309,[1]물질정보!B:C,2,0)</f>
        <v>10095-14-4</v>
      </c>
      <c r="D309" t="str">
        <f>VLOOKUP(B309,[1]물질정보!B:D,3,0)</f>
        <v>6-hydroxybutyl acrylate</v>
      </c>
      <c r="E309" t="str">
        <f>VLOOKUP(B309,[1]물질정보!B:E,4,0)</f>
        <v>C9H16O3</v>
      </c>
      <c r="F309" t="str">
        <f>VLOOKUP(B309,[1]물질정보!B:F,5,0)</f>
        <v>172.22 g/mol</v>
      </c>
      <c r="G309" s="5" t="str">
        <f>VLOOKUP(B309,[1]물질정보!B:G,6,0)</f>
        <v>C=CC(=O)OCCCCCCO</v>
      </c>
      <c r="H309" t="s">
        <v>79</v>
      </c>
      <c r="I309" t="s">
        <v>111</v>
      </c>
      <c r="J309" t="s">
        <v>824</v>
      </c>
      <c r="K309" t="s">
        <v>90</v>
      </c>
      <c r="L309" t="s">
        <v>29</v>
      </c>
      <c r="M309" t="s">
        <v>122</v>
      </c>
      <c r="N309" t="s">
        <v>29</v>
      </c>
      <c r="O309" t="s">
        <v>29</v>
      </c>
      <c r="P309" t="s">
        <v>29</v>
      </c>
      <c r="Q309" t="s">
        <v>29</v>
      </c>
      <c r="R309" t="s">
        <v>32</v>
      </c>
      <c r="S309" t="s">
        <v>29</v>
      </c>
      <c r="T309" t="s">
        <v>40</v>
      </c>
      <c r="U309" t="s">
        <v>114</v>
      </c>
      <c r="V309" s="6" t="s">
        <v>42</v>
      </c>
      <c r="W309" t="s">
        <v>112</v>
      </c>
      <c r="X309" t="s">
        <v>29</v>
      </c>
      <c r="Y309" s="6" t="s">
        <v>753</v>
      </c>
    </row>
    <row r="310" spans="2:25" x14ac:dyDescent="0.3">
      <c r="B310" s="5" t="s">
        <v>70</v>
      </c>
      <c r="C310" s="5" t="str">
        <f>VLOOKUP(B310,[1]물질정보!B:C,2,0)</f>
        <v>10095-14-4</v>
      </c>
      <c r="D310" t="str">
        <f>VLOOKUP(B310,[1]물질정보!B:D,3,0)</f>
        <v>6-hydroxybutyl acrylate</v>
      </c>
      <c r="E310" t="str">
        <f>VLOOKUP(B310,[1]물질정보!B:E,4,0)</f>
        <v>C9H16O3</v>
      </c>
      <c r="F310" t="str">
        <f>VLOOKUP(B310,[1]물질정보!B:F,5,0)</f>
        <v>172.22 g/mol</v>
      </c>
      <c r="G310" s="5" t="str">
        <f>VLOOKUP(B310,[1]물질정보!B:G,6,0)</f>
        <v>C=CC(=O)OCCCCCCO</v>
      </c>
      <c r="H310" t="s">
        <v>79</v>
      </c>
      <c r="I310" t="s">
        <v>111</v>
      </c>
      <c r="J310" t="s">
        <v>824</v>
      </c>
      <c r="K310" t="s">
        <v>90</v>
      </c>
      <c r="L310" t="s">
        <v>29</v>
      </c>
      <c r="M310" t="s">
        <v>122</v>
      </c>
      <c r="N310" t="s">
        <v>29</v>
      </c>
      <c r="O310" t="s">
        <v>29</v>
      </c>
      <c r="P310" t="s">
        <v>29</v>
      </c>
      <c r="Q310" t="s">
        <v>29</v>
      </c>
      <c r="R310" t="s">
        <v>32</v>
      </c>
      <c r="S310" t="s">
        <v>29</v>
      </c>
      <c r="T310" t="s">
        <v>40</v>
      </c>
      <c r="U310" t="s">
        <v>115</v>
      </c>
      <c r="V310" s="6" t="s">
        <v>35</v>
      </c>
      <c r="W310" t="s">
        <v>112</v>
      </c>
      <c r="X310" t="s">
        <v>29</v>
      </c>
      <c r="Y310" s="6" t="s">
        <v>753</v>
      </c>
    </row>
    <row r="311" spans="2:25" x14ac:dyDescent="0.3">
      <c r="B311" s="5" t="s">
        <v>70</v>
      </c>
      <c r="C311" s="5" t="str">
        <f>VLOOKUP(B311,[1]물질정보!B:C,2,0)</f>
        <v>10095-14-4</v>
      </c>
      <c r="D311" t="str">
        <f>VLOOKUP(B311,[1]물질정보!B:D,3,0)</f>
        <v>6-hydroxybutyl acrylate</v>
      </c>
      <c r="E311" t="str">
        <f>VLOOKUP(B311,[1]물질정보!B:E,4,0)</f>
        <v>C9H16O3</v>
      </c>
      <c r="F311" t="str">
        <f>VLOOKUP(B311,[1]물질정보!B:F,5,0)</f>
        <v>172.22 g/mol</v>
      </c>
      <c r="G311" s="5" t="str">
        <f>VLOOKUP(B311,[1]물질정보!B:G,6,0)</f>
        <v>C=CC(=O)OCCCCCCO</v>
      </c>
      <c r="H311" t="s">
        <v>79</v>
      </c>
      <c r="I311" t="s">
        <v>111</v>
      </c>
      <c r="J311" t="s">
        <v>824</v>
      </c>
      <c r="K311" t="s">
        <v>29</v>
      </c>
      <c r="L311" t="s">
        <v>29</v>
      </c>
      <c r="M311" t="s">
        <v>122</v>
      </c>
      <c r="N311" t="s">
        <v>29</v>
      </c>
      <c r="O311" t="s">
        <v>29</v>
      </c>
      <c r="P311" t="s">
        <v>29</v>
      </c>
      <c r="Q311" t="s">
        <v>29</v>
      </c>
      <c r="R311" t="s">
        <v>32</v>
      </c>
      <c r="S311" t="s">
        <v>29</v>
      </c>
      <c r="T311" t="s">
        <v>66</v>
      </c>
      <c r="U311" t="s">
        <v>116</v>
      </c>
      <c r="V311" s="6" t="s">
        <v>35</v>
      </c>
      <c r="W311" t="s">
        <v>112</v>
      </c>
      <c r="X311" t="s">
        <v>29</v>
      </c>
      <c r="Y311" s="6" t="s">
        <v>753</v>
      </c>
    </row>
    <row r="312" spans="2:25" x14ac:dyDescent="0.3">
      <c r="B312" s="5" t="s">
        <v>70</v>
      </c>
      <c r="C312" s="5" t="str">
        <f>VLOOKUP(B312,[1]물질정보!B:C,2,0)</f>
        <v>10095-14-4</v>
      </c>
      <c r="D312" t="str">
        <f>VLOOKUP(B312,[1]물질정보!B:D,3,0)</f>
        <v>6-hydroxybutyl acrylate</v>
      </c>
      <c r="E312" t="str">
        <f>VLOOKUP(B312,[1]물질정보!B:E,4,0)</f>
        <v>C9H16O3</v>
      </c>
      <c r="F312" t="str">
        <f>VLOOKUP(B312,[1]물질정보!B:F,5,0)</f>
        <v>172.22 g/mol</v>
      </c>
      <c r="G312" s="5" t="str">
        <f>VLOOKUP(B312,[1]물질정보!B:G,6,0)</f>
        <v>C=CC(=O)OCCCCCCO</v>
      </c>
      <c r="H312" t="s">
        <v>79</v>
      </c>
      <c r="I312" t="s">
        <v>685</v>
      </c>
      <c r="J312" t="s">
        <v>117</v>
      </c>
      <c r="K312" t="s">
        <v>123</v>
      </c>
      <c r="L312" t="s">
        <v>29</v>
      </c>
      <c r="M312" t="s">
        <v>29</v>
      </c>
      <c r="N312" t="s">
        <v>29</v>
      </c>
      <c r="O312" t="s">
        <v>29</v>
      </c>
      <c r="P312" t="s">
        <v>29</v>
      </c>
      <c r="Q312" t="s">
        <v>29</v>
      </c>
      <c r="R312" t="s">
        <v>32</v>
      </c>
      <c r="S312" t="s">
        <v>29</v>
      </c>
      <c r="T312" t="s">
        <v>29</v>
      </c>
      <c r="U312" t="s">
        <v>119</v>
      </c>
      <c r="V312" s="6" t="s">
        <v>35</v>
      </c>
      <c r="W312" t="s">
        <v>120</v>
      </c>
      <c r="X312" t="s">
        <v>29</v>
      </c>
      <c r="Y312" s="6" t="s">
        <v>117</v>
      </c>
    </row>
    <row r="313" spans="2:25" x14ac:dyDescent="0.3">
      <c r="B313" s="5" t="s">
        <v>71</v>
      </c>
      <c r="C313" s="5" t="str">
        <f>VLOOKUP(B313,[1]물질정보!B:C,2,0)</f>
        <v>97-63-2</v>
      </c>
      <c r="D313" t="str">
        <f>VLOOKUP(B313,[1]물질정보!B:D,3,0)</f>
        <v>ethyl methacrylate</v>
      </c>
      <c r="E313" t="str">
        <f>VLOOKUP(B313,[1]물질정보!B:E,4,0)</f>
        <v>C6H10O2</v>
      </c>
      <c r="F313" t="str">
        <f>VLOOKUP(B313,[1]물질정보!B:F,5,0)</f>
        <v>114.14 g/mol</v>
      </c>
      <c r="G313" s="5" t="str">
        <f>VLOOKUP(B313,[1]물질정보!B:G,6,0)</f>
        <v>CCOC(=O)C(=C)C</v>
      </c>
      <c r="H313" t="s">
        <v>79</v>
      </c>
      <c r="I313" t="s">
        <v>80</v>
      </c>
      <c r="J313" t="s">
        <v>81</v>
      </c>
      <c r="K313" t="s">
        <v>29</v>
      </c>
      <c r="L313" t="s">
        <v>82</v>
      </c>
      <c r="M313" t="s">
        <v>83</v>
      </c>
      <c r="N313" t="s">
        <v>29</v>
      </c>
      <c r="O313" t="s">
        <v>29</v>
      </c>
      <c r="P313">
        <v>48</v>
      </c>
      <c r="Q313" t="s">
        <v>31</v>
      </c>
      <c r="R313" t="s">
        <v>32</v>
      </c>
      <c r="S313" t="s">
        <v>29</v>
      </c>
      <c r="T313" t="s">
        <v>66</v>
      </c>
      <c r="U313" t="s">
        <v>84</v>
      </c>
      <c r="V313" s="6" t="s">
        <v>35</v>
      </c>
      <c r="W313" t="s">
        <v>83</v>
      </c>
      <c r="X313" t="s">
        <v>29</v>
      </c>
      <c r="Y313" s="6" t="s">
        <v>81</v>
      </c>
    </row>
    <row r="314" spans="2:25" x14ac:dyDescent="0.3">
      <c r="B314" s="5" t="s">
        <v>71</v>
      </c>
      <c r="C314" s="5" t="str">
        <f>VLOOKUP(B314,[1]물질정보!B:C,2,0)</f>
        <v>97-63-2</v>
      </c>
      <c r="D314" t="str">
        <f>VLOOKUP(B314,[1]물질정보!B:D,3,0)</f>
        <v>ethyl methacrylate</v>
      </c>
      <c r="E314" t="str">
        <f>VLOOKUP(B314,[1]물질정보!B:E,4,0)</f>
        <v>C6H10O2</v>
      </c>
      <c r="F314" t="str">
        <f>VLOOKUP(B314,[1]물질정보!B:F,5,0)</f>
        <v>114.14 g/mol</v>
      </c>
      <c r="G314" s="5" t="str">
        <f>VLOOKUP(B314,[1]물질정보!B:G,6,0)</f>
        <v>CCOC(=O)C(=C)C</v>
      </c>
      <c r="H314" t="s">
        <v>79</v>
      </c>
      <c r="I314" t="s">
        <v>80</v>
      </c>
      <c r="J314" t="s">
        <v>81</v>
      </c>
      <c r="K314" t="s">
        <v>29</v>
      </c>
      <c r="L314" t="s">
        <v>82</v>
      </c>
      <c r="M314" t="s">
        <v>86</v>
      </c>
      <c r="N314" t="s">
        <v>29</v>
      </c>
      <c r="O314" t="s">
        <v>29</v>
      </c>
      <c r="P314">
        <v>48</v>
      </c>
      <c r="Q314" t="s">
        <v>31</v>
      </c>
      <c r="R314" t="s">
        <v>32</v>
      </c>
      <c r="S314" t="s">
        <v>29</v>
      </c>
      <c r="T314" t="s">
        <v>66</v>
      </c>
      <c r="U314" t="s">
        <v>87</v>
      </c>
      <c r="V314" s="6" t="s">
        <v>35</v>
      </c>
      <c r="W314" t="s">
        <v>86</v>
      </c>
      <c r="X314" t="s">
        <v>29</v>
      </c>
      <c r="Y314" s="6" t="s">
        <v>81</v>
      </c>
    </row>
    <row r="315" spans="2:25" x14ac:dyDescent="0.3">
      <c r="B315" s="5" t="s">
        <v>71</v>
      </c>
      <c r="C315" s="5" t="str">
        <f>VLOOKUP(B315,[1]물질정보!B:C,2,0)</f>
        <v>97-63-2</v>
      </c>
      <c r="D315" t="str">
        <f>VLOOKUP(B315,[1]물질정보!B:D,3,0)</f>
        <v>ethyl methacrylate</v>
      </c>
      <c r="E315" t="str">
        <f>VLOOKUP(B315,[1]물질정보!B:E,4,0)</f>
        <v>C6H10O2</v>
      </c>
      <c r="F315" t="str">
        <f>VLOOKUP(B315,[1]물질정보!B:F,5,0)</f>
        <v>114.14 g/mol</v>
      </c>
      <c r="G315" s="5" t="str">
        <f>VLOOKUP(B315,[1]물질정보!B:G,6,0)</f>
        <v>CCOC(=O)C(=C)C</v>
      </c>
      <c r="H315" t="s">
        <v>79</v>
      </c>
      <c r="I315" t="s">
        <v>88</v>
      </c>
      <c r="J315" t="s">
        <v>89</v>
      </c>
      <c r="K315" t="s">
        <v>90</v>
      </c>
      <c r="L315" t="s">
        <v>29</v>
      </c>
      <c r="M315" t="s">
        <v>91</v>
      </c>
      <c r="N315" t="s">
        <v>29</v>
      </c>
      <c r="O315" t="s">
        <v>29</v>
      </c>
      <c r="P315" t="s">
        <v>29</v>
      </c>
      <c r="Q315" t="s">
        <v>29</v>
      </c>
      <c r="R315" t="s">
        <v>32</v>
      </c>
      <c r="S315" t="s">
        <v>29</v>
      </c>
      <c r="T315" t="s">
        <v>40</v>
      </c>
      <c r="U315" t="s">
        <v>92</v>
      </c>
      <c r="V315" s="6" t="s">
        <v>35</v>
      </c>
      <c r="W315" t="s">
        <v>93</v>
      </c>
      <c r="X315" t="s">
        <v>29</v>
      </c>
      <c r="Y315" s="6" t="s">
        <v>89</v>
      </c>
    </row>
    <row r="316" spans="2:25" x14ac:dyDescent="0.3">
      <c r="B316" s="5" t="s">
        <v>71</v>
      </c>
      <c r="C316" s="5" t="str">
        <f>VLOOKUP(B316,[1]물질정보!B:C,2,0)</f>
        <v>97-63-2</v>
      </c>
      <c r="D316" t="str">
        <f>VLOOKUP(B316,[1]물질정보!B:D,3,0)</f>
        <v>ethyl methacrylate</v>
      </c>
      <c r="E316" t="str">
        <f>VLOOKUP(B316,[1]물질정보!B:E,4,0)</f>
        <v>C6H10O2</v>
      </c>
      <c r="F316" t="str">
        <f>VLOOKUP(B316,[1]물질정보!B:F,5,0)</f>
        <v>114.14 g/mol</v>
      </c>
      <c r="G316" s="5" t="str">
        <f>VLOOKUP(B316,[1]물질정보!B:G,6,0)</f>
        <v>CCOC(=O)C(=C)C</v>
      </c>
      <c r="H316" t="s">
        <v>79</v>
      </c>
      <c r="I316" t="s">
        <v>88</v>
      </c>
      <c r="J316" t="s">
        <v>89</v>
      </c>
      <c r="K316" t="s">
        <v>90</v>
      </c>
      <c r="L316" t="s">
        <v>29</v>
      </c>
      <c r="M316" t="s">
        <v>91</v>
      </c>
      <c r="N316" t="s">
        <v>29</v>
      </c>
      <c r="O316" t="s">
        <v>29</v>
      </c>
      <c r="P316" t="s">
        <v>29</v>
      </c>
      <c r="Q316" t="s">
        <v>29</v>
      </c>
      <c r="R316" t="s">
        <v>32</v>
      </c>
      <c r="S316" t="s">
        <v>29</v>
      </c>
      <c r="T316" t="s">
        <v>40</v>
      </c>
      <c r="U316" t="s">
        <v>94</v>
      </c>
      <c r="V316" s="6" t="s">
        <v>35</v>
      </c>
      <c r="W316" t="s">
        <v>93</v>
      </c>
      <c r="X316" t="s">
        <v>29</v>
      </c>
      <c r="Y316" s="6" t="s">
        <v>89</v>
      </c>
    </row>
    <row r="317" spans="2:25" x14ac:dyDescent="0.3">
      <c r="B317" s="5" t="s">
        <v>71</v>
      </c>
      <c r="C317" s="5" t="str">
        <f>VLOOKUP(B317,[1]물질정보!B:C,2,0)</f>
        <v>97-63-2</v>
      </c>
      <c r="D317" t="str">
        <f>VLOOKUP(B317,[1]물질정보!B:D,3,0)</f>
        <v>ethyl methacrylate</v>
      </c>
      <c r="E317" t="str">
        <f>VLOOKUP(B317,[1]물질정보!B:E,4,0)</f>
        <v>C6H10O2</v>
      </c>
      <c r="F317" t="str">
        <f>VLOOKUP(B317,[1]물질정보!B:F,5,0)</f>
        <v>114.14 g/mol</v>
      </c>
      <c r="G317" s="5" t="str">
        <f>VLOOKUP(B317,[1]물질정보!B:G,6,0)</f>
        <v>CCOC(=O)C(=C)C</v>
      </c>
      <c r="H317" t="s">
        <v>79</v>
      </c>
      <c r="I317" t="s">
        <v>88</v>
      </c>
      <c r="J317" t="s">
        <v>89</v>
      </c>
      <c r="K317" t="s">
        <v>90</v>
      </c>
      <c r="L317" t="s">
        <v>29</v>
      </c>
      <c r="M317" t="s">
        <v>91</v>
      </c>
      <c r="N317" t="s">
        <v>29</v>
      </c>
      <c r="O317" t="s">
        <v>29</v>
      </c>
      <c r="P317" t="s">
        <v>29</v>
      </c>
      <c r="Q317" t="s">
        <v>29</v>
      </c>
      <c r="R317" t="s">
        <v>32</v>
      </c>
      <c r="S317" t="s">
        <v>29</v>
      </c>
      <c r="T317" t="s">
        <v>40</v>
      </c>
      <c r="U317" t="s">
        <v>95</v>
      </c>
      <c r="V317" s="6" t="s">
        <v>35</v>
      </c>
      <c r="W317" t="s">
        <v>93</v>
      </c>
      <c r="X317" t="s">
        <v>29</v>
      </c>
      <c r="Y317" s="6" t="s">
        <v>89</v>
      </c>
    </row>
    <row r="318" spans="2:25" x14ac:dyDescent="0.3">
      <c r="B318" s="5" t="s">
        <v>71</v>
      </c>
      <c r="C318" s="5" t="str">
        <f>VLOOKUP(B318,[1]물질정보!B:C,2,0)</f>
        <v>97-63-2</v>
      </c>
      <c r="D318" t="str">
        <f>VLOOKUP(B318,[1]물질정보!B:D,3,0)</f>
        <v>ethyl methacrylate</v>
      </c>
      <c r="E318" t="str">
        <f>VLOOKUP(B318,[1]물질정보!B:E,4,0)</f>
        <v>C6H10O2</v>
      </c>
      <c r="F318" t="str">
        <f>VLOOKUP(B318,[1]물질정보!B:F,5,0)</f>
        <v>114.14 g/mol</v>
      </c>
      <c r="G318" s="5" t="str">
        <f>VLOOKUP(B318,[1]물질정보!B:G,6,0)</f>
        <v>CCOC(=O)C(=C)C</v>
      </c>
      <c r="H318" t="s">
        <v>79</v>
      </c>
      <c r="I318" t="s">
        <v>88</v>
      </c>
      <c r="J318" t="s">
        <v>89</v>
      </c>
      <c r="K318" t="s">
        <v>90</v>
      </c>
      <c r="L318" t="s">
        <v>29</v>
      </c>
      <c r="M318" t="s">
        <v>91</v>
      </c>
      <c r="N318" t="s">
        <v>29</v>
      </c>
      <c r="O318" t="s">
        <v>29</v>
      </c>
      <c r="P318" t="s">
        <v>29</v>
      </c>
      <c r="Q318" t="s">
        <v>29</v>
      </c>
      <c r="R318" t="s">
        <v>32</v>
      </c>
      <c r="S318" t="s">
        <v>29</v>
      </c>
      <c r="T318" t="s">
        <v>40</v>
      </c>
      <c r="U318" t="s">
        <v>96</v>
      </c>
      <c r="V318" s="6" t="s">
        <v>35</v>
      </c>
      <c r="W318" t="s">
        <v>93</v>
      </c>
      <c r="X318" t="s">
        <v>29</v>
      </c>
      <c r="Y318" s="6" t="s">
        <v>89</v>
      </c>
    </row>
    <row r="319" spans="2:25" x14ac:dyDescent="0.3">
      <c r="B319" s="5" t="s">
        <v>71</v>
      </c>
      <c r="C319" s="5" t="str">
        <f>VLOOKUP(B319,[1]물질정보!B:C,2,0)</f>
        <v>97-63-2</v>
      </c>
      <c r="D319" t="str">
        <f>VLOOKUP(B319,[1]물질정보!B:D,3,0)</f>
        <v>ethyl methacrylate</v>
      </c>
      <c r="E319" t="str">
        <f>VLOOKUP(B319,[1]물질정보!B:E,4,0)</f>
        <v>C6H10O2</v>
      </c>
      <c r="F319" t="str">
        <f>VLOOKUP(B319,[1]물질정보!B:F,5,0)</f>
        <v>114.14 g/mol</v>
      </c>
      <c r="G319" s="5" t="str">
        <f>VLOOKUP(B319,[1]물질정보!B:G,6,0)</f>
        <v>CCOC(=O)C(=C)C</v>
      </c>
      <c r="H319" t="s">
        <v>79</v>
      </c>
      <c r="I319" t="s">
        <v>97</v>
      </c>
      <c r="J319" t="s">
        <v>98</v>
      </c>
      <c r="K319" t="s">
        <v>99</v>
      </c>
      <c r="L319" t="s">
        <v>29</v>
      </c>
      <c r="M319" t="s">
        <v>100</v>
      </c>
      <c r="N319" t="s">
        <v>101</v>
      </c>
      <c r="O319" t="s">
        <v>29</v>
      </c>
      <c r="P319" t="s">
        <v>29</v>
      </c>
      <c r="Q319" t="s">
        <v>29</v>
      </c>
      <c r="R319" t="s">
        <v>32</v>
      </c>
      <c r="S319" t="s">
        <v>29</v>
      </c>
      <c r="T319" t="s">
        <v>40</v>
      </c>
      <c r="U319" t="s">
        <v>102</v>
      </c>
      <c r="V319" s="6" t="s">
        <v>35</v>
      </c>
      <c r="W319" t="s">
        <v>101</v>
      </c>
      <c r="X319" t="s">
        <v>29</v>
      </c>
      <c r="Y319" s="6" t="s">
        <v>98</v>
      </c>
    </row>
    <row r="320" spans="2:25" x14ac:dyDescent="0.3">
      <c r="B320" s="5" t="s">
        <v>71</v>
      </c>
      <c r="C320" s="5" t="str">
        <f>VLOOKUP(B320,[1]물질정보!B:C,2,0)</f>
        <v>97-63-2</v>
      </c>
      <c r="D320" t="str">
        <f>VLOOKUP(B320,[1]물질정보!B:D,3,0)</f>
        <v>ethyl methacrylate</v>
      </c>
      <c r="E320" t="str">
        <f>VLOOKUP(B320,[1]물질정보!B:E,4,0)</f>
        <v>C6H10O2</v>
      </c>
      <c r="F320" t="str">
        <f>VLOOKUP(B320,[1]물질정보!B:F,5,0)</f>
        <v>114.14 g/mol</v>
      </c>
      <c r="G320" s="5" t="str">
        <f>VLOOKUP(B320,[1]물질정보!B:G,6,0)</f>
        <v>CCOC(=O)C(=C)C</v>
      </c>
      <c r="H320" t="s">
        <v>79</v>
      </c>
      <c r="I320" t="s">
        <v>97</v>
      </c>
      <c r="J320" t="s">
        <v>98</v>
      </c>
      <c r="K320" t="s">
        <v>99</v>
      </c>
      <c r="L320" t="s">
        <v>29</v>
      </c>
      <c r="M320" t="s">
        <v>100</v>
      </c>
      <c r="N320" t="s">
        <v>101</v>
      </c>
      <c r="O320" t="s">
        <v>29</v>
      </c>
      <c r="P320" t="s">
        <v>29</v>
      </c>
      <c r="Q320" t="s">
        <v>29</v>
      </c>
      <c r="R320" t="s">
        <v>32</v>
      </c>
      <c r="S320" t="s">
        <v>29</v>
      </c>
      <c r="T320" t="s">
        <v>40</v>
      </c>
      <c r="U320" t="s">
        <v>103</v>
      </c>
      <c r="V320" s="6" t="s">
        <v>35</v>
      </c>
      <c r="W320" t="s">
        <v>101</v>
      </c>
      <c r="X320" t="s">
        <v>29</v>
      </c>
      <c r="Y320" s="6" t="s">
        <v>98</v>
      </c>
    </row>
    <row r="321" spans="2:25" x14ac:dyDescent="0.3">
      <c r="B321" s="5" t="s">
        <v>71</v>
      </c>
      <c r="C321" s="5" t="str">
        <f>VLOOKUP(B321,[1]물질정보!B:C,2,0)</f>
        <v>97-63-2</v>
      </c>
      <c r="D321" t="str">
        <f>VLOOKUP(B321,[1]물질정보!B:D,3,0)</f>
        <v>ethyl methacrylate</v>
      </c>
      <c r="E321" t="str">
        <f>VLOOKUP(B321,[1]물질정보!B:E,4,0)</f>
        <v>C6H10O2</v>
      </c>
      <c r="F321" t="str">
        <f>VLOOKUP(B321,[1]물질정보!B:F,5,0)</f>
        <v>114.14 g/mol</v>
      </c>
      <c r="G321" s="5" t="str">
        <f>VLOOKUP(B321,[1]물질정보!B:G,6,0)</f>
        <v>CCOC(=O)C(=C)C</v>
      </c>
      <c r="H321" t="s">
        <v>79</v>
      </c>
      <c r="I321" t="s">
        <v>97</v>
      </c>
      <c r="J321" t="s">
        <v>98</v>
      </c>
      <c r="K321" t="s">
        <v>99</v>
      </c>
      <c r="L321" t="s">
        <v>29</v>
      </c>
      <c r="M321" t="s">
        <v>100</v>
      </c>
      <c r="N321" t="s">
        <v>101</v>
      </c>
      <c r="O321" t="s">
        <v>29</v>
      </c>
      <c r="P321" t="s">
        <v>29</v>
      </c>
      <c r="Q321" t="s">
        <v>29</v>
      </c>
      <c r="R321" t="s">
        <v>32</v>
      </c>
      <c r="S321" t="s">
        <v>29</v>
      </c>
      <c r="T321" t="s">
        <v>40</v>
      </c>
      <c r="U321" t="s">
        <v>104</v>
      </c>
      <c r="V321" s="6" t="s">
        <v>35</v>
      </c>
      <c r="W321" t="s">
        <v>101</v>
      </c>
      <c r="X321" t="s">
        <v>29</v>
      </c>
      <c r="Y321" s="6" t="s">
        <v>98</v>
      </c>
    </row>
    <row r="322" spans="2:25" x14ac:dyDescent="0.3">
      <c r="B322" s="5" t="s">
        <v>71</v>
      </c>
      <c r="C322" s="5" t="str">
        <f>VLOOKUP(B322,[1]물질정보!B:C,2,0)</f>
        <v>97-63-2</v>
      </c>
      <c r="D322" t="str">
        <f>VLOOKUP(B322,[1]물질정보!B:D,3,0)</f>
        <v>ethyl methacrylate</v>
      </c>
      <c r="E322" t="str">
        <f>VLOOKUP(B322,[1]물질정보!B:E,4,0)</f>
        <v>C6H10O2</v>
      </c>
      <c r="F322" t="str">
        <f>VLOOKUP(B322,[1]물질정보!B:F,5,0)</f>
        <v>114.14 g/mol</v>
      </c>
      <c r="G322" s="5" t="str">
        <f>VLOOKUP(B322,[1]물질정보!B:G,6,0)</f>
        <v>CCOC(=O)C(=C)C</v>
      </c>
      <c r="H322" t="s">
        <v>79</v>
      </c>
      <c r="I322" t="s">
        <v>97</v>
      </c>
      <c r="J322" t="s">
        <v>98</v>
      </c>
      <c r="K322" t="s">
        <v>29</v>
      </c>
      <c r="L322" t="s">
        <v>29</v>
      </c>
      <c r="M322" t="s">
        <v>100</v>
      </c>
      <c r="N322" t="s">
        <v>101</v>
      </c>
      <c r="O322" t="s">
        <v>29</v>
      </c>
      <c r="P322" t="s">
        <v>29</v>
      </c>
      <c r="Q322" t="s">
        <v>29</v>
      </c>
      <c r="R322" t="s">
        <v>32</v>
      </c>
      <c r="S322" t="s">
        <v>29</v>
      </c>
      <c r="T322" t="s">
        <v>66</v>
      </c>
      <c r="U322" t="s">
        <v>105</v>
      </c>
      <c r="V322" s="6" t="s">
        <v>35</v>
      </c>
      <c r="W322" t="s">
        <v>101</v>
      </c>
      <c r="X322" t="s">
        <v>29</v>
      </c>
      <c r="Y322" s="6" t="s">
        <v>98</v>
      </c>
    </row>
    <row r="323" spans="2:25" x14ac:dyDescent="0.3">
      <c r="B323" s="5" t="s">
        <v>71</v>
      </c>
      <c r="C323" s="5" t="str">
        <f>VLOOKUP(B323,[1]물질정보!B:C,2,0)</f>
        <v>97-63-2</v>
      </c>
      <c r="D323" t="str">
        <f>VLOOKUP(B323,[1]물질정보!B:D,3,0)</f>
        <v>ethyl methacrylate</v>
      </c>
      <c r="E323" t="str">
        <f>VLOOKUP(B323,[1]물질정보!B:E,4,0)</f>
        <v>C6H10O2</v>
      </c>
      <c r="F323" t="str">
        <f>VLOOKUP(B323,[1]물질정보!B:F,5,0)</f>
        <v>114.14 g/mol</v>
      </c>
      <c r="G323" s="5" t="str">
        <f>VLOOKUP(B323,[1]물질정보!B:G,6,0)</f>
        <v>CCOC(=O)C(=C)C</v>
      </c>
      <c r="H323" t="s">
        <v>79</v>
      </c>
      <c r="I323" t="s">
        <v>97</v>
      </c>
      <c r="J323" t="s">
        <v>98</v>
      </c>
      <c r="K323" t="s">
        <v>99</v>
      </c>
      <c r="L323" t="s">
        <v>29</v>
      </c>
      <c r="M323" t="s">
        <v>100</v>
      </c>
      <c r="N323" t="s">
        <v>106</v>
      </c>
      <c r="O323" t="s">
        <v>29</v>
      </c>
      <c r="P323" t="s">
        <v>29</v>
      </c>
      <c r="Q323" t="s">
        <v>29</v>
      </c>
      <c r="R323" t="s">
        <v>32</v>
      </c>
      <c r="S323" t="s">
        <v>29</v>
      </c>
      <c r="T323" t="s">
        <v>40</v>
      </c>
      <c r="U323" t="s">
        <v>107</v>
      </c>
      <c r="V323" s="6" t="s">
        <v>35</v>
      </c>
      <c r="W323" t="s">
        <v>106</v>
      </c>
      <c r="X323" t="s">
        <v>29</v>
      </c>
      <c r="Y323" s="6" t="s">
        <v>98</v>
      </c>
    </row>
    <row r="324" spans="2:25" x14ac:dyDescent="0.3">
      <c r="B324" s="5" t="s">
        <v>71</v>
      </c>
      <c r="C324" s="5" t="str">
        <f>VLOOKUP(B324,[1]물질정보!B:C,2,0)</f>
        <v>97-63-2</v>
      </c>
      <c r="D324" t="str">
        <f>VLOOKUP(B324,[1]물질정보!B:D,3,0)</f>
        <v>ethyl methacrylate</v>
      </c>
      <c r="E324" t="str">
        <f>VLOOKUP(B324,[1]물질정보!B:E,4,0)</f>
        <v>C6H10O2</v>
      </c>
      <c r="F324" t="str">
        <f>VLOOKUP(B324,[1]물질정보!B:F,5,0)</f>
        <v>114.14 g/mol</v>
      </c>
      <c r="G324" s="5" t="str">
        <f>VLOOKUP(B324,[1]물질정보!B:G,6,0)</f>
        <v>CCOC(=O)C(=C)C</v>
      </c>
      <c r="H324" t="s">
        <v>79</v>
      </c>
      <c r="I324" t="s">
        <v>97</v>
      </c>
      <c r="J324" t="s">
        <v>98</v>
      </c>
      <c r="K324" t="s">
        <v>99</v>
      </c>
      <c r="L324" t="s">
        <v>29</v>
      </c>
      <c r="M324" t="s">
        <v>100</v>
      </c>
      <c r="N324" t="s">
        <v>106</v>
      </c>
      <c r="O324" t="s">
        <v>29</v>
      </c>
      <c r="P324" t="s">
        <v>29</v>
      </c>
      <c r="Q324" t="s">
        <v>29</v>
      </c>
      <c r="R324" t="s">
        <v>32</v>
      </c>
      <c r="S324" t="s">
        <v>29</v>
      </c>
      <c r="T324" t="s">
        <v>40</v>
      </c>
      <c r="U324" t="s">
        <v>108</v>
      </c>
      <c r="V324" s="6" t="s">
        <v>35</v>
      </c>
      <c r="W324" t="s">
        <v>106</v>
      </c>
      <c r="X324" t="s">
        <v>29</v>
      </c>
      <c r="Y324" s="6" t="s">
        <v>98</v>
      </c>
    </row>
    <row r="325" spans="2:25" x14ac:dyDescent="0.3">
      <c r="B325" s="5" t="s">
        <v>71</v>
      </c>
      <c r="C325" s="5" t="str">
        <f>VLOOKUP(B325,[1]물질정보!B:C,2,0)</f>
        <v>97-63-2</v>
      </c>
      <c r="D325" t="str">
        <f>VLOOKUP(B325,[1]물질정보!B:D,3,0)</f>
        <v>ethyl methacrylate</v>
      </c>
      <c r="E325" t="str">
        <f>VLOOKUP(B325,[1]물질정보!B:E,4,0)</f>
        <v>C6H10O2</v>
      </c>
      <c r="F325" t="str">
        <f>VLOOKUP(B325,[1]물질정보!B:F,5,0)</f>
        <v>114.14 g/mol</v>
      </c>
      <c r="G325" s="5" t="str">
        <f>VLOOKUP(B325,[1]물질정보!B:G,6,0)</f>
        <v>CCOC(=O)C(=C)C</v>
      </c>
      <c r="H325" t="s">
        <v>79</v>
      </c>
      <c r="I325" t="s">
        <v>97</v>
      </c>
      <c r="J325" t="s">
        <v>98</v>
      </c>
      <c r="K325" t="s">
        <v>99</v>
      </c>
      <c r="L325" t="s">
        <v>29</v>
      </c>
      <c r="M325" t="s">
        <v>100</v>
      </c>
      <c r="N325" t="s">
        <v>106</v>
      </c>
      <c r="O325" t="s">
        <v>29</v>
      </c>
      <c r="P325" t="s">
        <v>29</v>
      </c>
      <c r="Q325" t="s">
        <v>29</v>
      </c>
      <c r="R325" t="s">
        <v>32</v>
      </c>
      <c r="S325" t="s">
        <v>29</v>
      </c>
      <c r="T325" t="s">
        <v>40</v>
      </c>
      <c r="U325" t="s">
        <v>109</v>
      </c>
      <c r="V325" s="6" t="s">
        <v>35</v>
      </c>
      <c r="W325" t="s">
        <v>106</v>
      </c>
      <c r="X325" t="s">
        <v>29</v>
      </c>
      <c r="Y325" s="6" t="s">
        <v>98</v>
      </c>
    </row>
    <row r="326" spans="2:25" x14ac:dyDescent="0.3">
      <c r="B326" s="5" t="s">
        <v>71</v>
      </c>
      <c r="C326" s="5" t="str">
        <f>VLOOKUP(B326,[1]물질정보!B:C,2,0)</f>
        <v>97-63-2</v>
      </c>
      <c r="D326" t="str">
        <f>VLOOKUP(B326,[1]물질정보!B:D,3,0)</f>
        <v>ethyl methacrylate</v>
      </c>
      <c r="E326" t="str">
        <f>VLOOKUP(B326,[1]물질정보!B:E,4,0)</f>
        <v>C6H10O2</v>
      </c>
      <c r="F326" t="str">
        <f>VLOOKUP(B326,[1]물질정보!B:F,5,0)</f>
        <v>114.14 g/mol</v>
      </c>
      <c r="G326" s="5" t="str">
        <f>VLOOKUP(B326,[1]물질정보!B:G,6,0)</f>
        <v>CCOC(=O)C(=C)C</v>
      </c>
      <c r="H326" t="s">
        <v>79</v>
      </c>
      <c r="I326" t="s">
        <v>97</v>
      </c>
      <c r="J326" t="s">
        <v>98</v>
      </c>
      <c r="K326" t="s">
        <v>99</v>
      </c>
      <c r="L326" t="s">
        <v>29</v>
      </c>
      <c r="M326" t="s">
        <v>100</v>
      </c>
      <c r="N326" t="s">
        <v>106</v>
      </c>
      <c r="O326" t="s">
        <v>29</v>
      </c>
      <c r="P326" t="s">
        <v>29</v>
      </c>
      <c r="Q326" t="s">
        <v>29</v>
      </c>
      <c r="R326" t="s">
        <v>32</v>
      </c>
      <c r="S326" t="s">
        <v>29</v>
      </c>
      <c r="T326" t="s">
        <v>40</v>
      </c>
      <c r="U326" t="s">
        <v>110</v>
      </c>
      <c r="V326" s="6" t="s">
        <v>35</v>
      </c>
      <c r="W326" t="s">
        <v>106</v>
      </c>
      <c r="X326" t="s">
        <v>29</v>
      </c>
      <c r="Y326" s="6" t="s">
        <v>98</v>
      </c>
    </row>
    <row r="327" spans="2:25" x14ac:dyDescent="0.3">
      <c r="B327" s="5" t="s">
        <v>71</v>
      </c>
      <c r="C327" s="5" t="str">
        <f>VLOOKUP(B327,[1]물질정보!B:C,2,0)</f>
        <v>97-63-2</v>
      </c>
      <c r="D327" t="str">
        <f>VLOOKUP(B327,[1]물질정보!B:D,3,0)</f>
        <v>ethyl methacrylate</v>
      </c>
      <c r="E327" t="str">
        <f>VLOOKUP(B327,[1]물질정보!B:E,4,0)</f>
        <v>C6H10O2</v>
      </c>
      <c r="F327" t="str">
        <f>VLOOKUP(B327,[1]물질정보!B:F,5,0)</f>
        <v>114.14 g/mol</v>
      </c>
      <c r="G327" s="5" t="str">
        <f>VLOOKUP(B327,[1]물질정보!B:G,6,0)</f>
        <v>CCOC(=O)C(=C)C</v>
      </c>
      <c r="H327" t="s">
        <v>79</v>
      </c>
      <c r="I327" t="s">
        <v>111</v>
      </c>
      <c r="J327" t="s">
        <v>824</v>
      </c>
      <c r="K327" t="s">
        <v>90</v>
      </c>
      <c r="L327" t="s">
        <v>29</v>
      </c>
      <c r="M327" t="s">
        <v>122</v>
      </c>
      <c r="N327" t="s">
        <v>29</v>
      </c>
      <c r="O327" t="s">
        <v>29</v>
      </c>
      <c r="P327" t="s">
        <v>29</v>
      </c>
      <c r="Q327" t="s">
        <v>29</v>
      </c>
      <c r="R327" t="s">
        <v>32</v>
      </c>
      <c r="S327" t="s">
        <v>29</v>
      </c>
      <c r="T327" t="s">
        <v>40</v>
      </c>
      <c r="U327" t="s">
        <v>121</v>
      </c>
      <c r="V327" s="6" t="s">
        <v>35</v>
      </c>
      <c r="W327" t="s">
        <v>112</v>
      </c>
      <c r="X327" t="s">
        <v>29</v>
      </c>
      <c r="Y327" s="6" t="s">
        <v>753</v>
      </c>
    </row>
    <row r="328" spans="2:25" x14ac:dyDescent="0.3">
      <c r="B328" s="5" t="s">
        <v>71</v>
      </c>
      <c r="C328" s="5" t="str">
        <f>VLOOKUP(B328,[1]물질정보!B:C,2,0)</f>
        <v>97-63-2</v>
      </c>
      <c r="D328" t="str">
        <f>VLOOKUP(B328,[1]물질정보!B:D,3,0)</f>
        <v>ethyl methacrylate</v>
      </c>
      <c r="E328" t="str">
        <f>VLOOKUP(B328,[1]물질정보!B:E,4,0)</f>
        <v>C6H10O2</v>
      </c>
      <c r="F328" t="str">
        <f>VLOOKUP(B328,[1]물질정보!B:F,5,0)</f>
        <v>114.14 g/mol</v>
      </c>
      <c r="G328" s="5" t="str">
        <f>VLOOKUP(B328,[1]물질정보!B:G,6,0)</f>
        <v>CCOC(=O)C(=C)C</v>
      </c>
      <c r="H328" t="s">
        <v>79</v>
      </c>
      <c r="I328" t="s">
        <v>111</v>
      </c>
      <c r="J328" t="s">
        <v>824</v>
      </c>
      <c r="K328" t="s">
        <v>29</v>
      </c>
      <c r="L328" t="s">
        <v>29</v>
      </c>
      <c r="M328" t="s">
        <v>122</v>
      </c>
      <c r="N328" t="s">
        <v>29</v>
      </c>
      <c r="O328" t="s">
        <v>29</v>
      </c>
      <c r="P328" t="s">
        <v>29</v>
      </c>
      <c r="Q328" t="s">
        <v>29</v>
      </c>
      <c r="R328" t="s">
        <v>32</v>
      </c>
      <c r="S328" t="s">
        <v>29</v>
      </c>
      <c r="T328" t="s">
        <v>66</v>
      </c>
      <c r="U328" t="s">
        <v>114</v>
      </c>
      <c r="V328" s="6" t="s">
        <v>35</v>
      </c>
      <c r="W328" t="s">
        <v>112</v>
      </c>
      <c r="X328" t="s">
        <v>29</v>
      </c>
      <c r="Y328" s="6" t="s">
        <v>753</v>
      </c>
    </row>
    <row r="329" spans="2:25" x14ac:dyDescent="0.3">
      <c r="B329" s="5" t="s">
        <v>71</v>
      </c>
      <c r="C329" s="5" t="str">
        <f>VLOOKUP(B329,[1]물질정보!B:C,2,0)</f>
        <v>97-63-2</v>
      </c>
      <c r="D329" t="str">
        <f>VLOOKUP(B329,[1]물질정보!B:D,3,0)</f>
        <v>ethyl methacrylate</v>
      </c>
      <c r="E329" t="str">
        <f>VLOOKUP(B329,[1]물질정보!B:E,4,0)</f>
        <v>C6H10O2</v>
      </c>
      <c r="F329" t="str">
        <f>VLOOKUP(B329,[1]물질정보!B:F,5,0)</f>
        <v>114.14 g/mol</v>
      </c>
      <c r="G329" s="5" t="str">
        <f>VLOOKUP(B329,[1]물질정보!B:G,6,0)</f>
        <v>CCOC(=O)C(=C)C</v>
      </c>
      <c r="H329" t="s">
        <v>79</v>
      </c>
      <c r="I329" t="s">
        <v>111</v>
      </c>
      <c r="J329" t="s">
        <v>824</v>
      </c>
      <c r="K329" t="s">
        <v>90</v>
      </c>
      <c r="L329" t="s">
        <v>29</v>
      </c>
      <c r="M329" t="s">
        <v>122</v>
      </c>
      <c r="N329" t="s">
        <v>29</v>
      </c>
      <c r="O329" t="s">
        <v>29</v>
      </c>
      <c r="P329" t="s">
        <v>29</v>
      </c>
      <c r="Q329" t="s">
        <v>29</v>
      </c>
      <c r="R329" t="s">
        <v>32</v>
      </c>
      <c r="S329" t="s">
        <v>29</v>
      </c>
      <c r="T329" t="s">
        <v>40</v>
      </c>
      <c r="U329" t="s">
        <v>115</v>
      </c>
      <c r="V329" s="6" t="s">
        <v>35</v>
      </c>
      <c r="W329" t="s">
        <v>112</v>
      </c>
      <c r="X329" t="s">
        <v>29</v>
      </c>
      <c r="Y329" s="6" t="s">
        <v>753</v>
      </c>
    </row>
    <row r="330" spans="2:25" x14ac:dyDescent="0.3">
      <c r="B330" s="5" t="s">
        <v>71</v>
      </c>
      <c r="C330" s="5" t="str">
        <f>VLOOKUP(B330,[1]물질정보!B:C,2,0)</f>
        <v>97-63-2</v>
      </c>
      <c r="D330" t="str">
        <f>VLOOKUP(B330,[1]물질정보!B:D,3,0)</f>
        <v>ethyl methacrylate</v>
      </c>
      <c r="E330" t="str">
        <f>VLOOKUP(B330,[1]물질정보!B:E,4,0)</f>
        <v>C6H10O2</v>
      </c>
      <c r="F330" t="str">
        <f>VLOOKUP(B330,[1]물질정보!B:F,5,0)</f>
        <v>114.14 g/mol</v>
      </c>
      <c r="G330" s="5" t="str">
        <f>VLOOKUP(B330,[1]물질정보!B:G,6,0)</f>
        <v>CCOC(=O)C(=C)C</v>
      </c>
      <c r="H330" t="s">
        <v>79</v>
      </c>
      <c r="I330" t="s">
        <v>111</v>
      </c>
      <c r="J330" t="s">
        <v>824</v>
      </c>
      <c r="K330" t="s">
        <v>90</v>
      </c>
      <c r="L330" t="s">
        <v>29</v>
      </c>
      <c r="M330" t="s">
        <v>122</v>
      </c>
      <c r="N330" t="s">
        <v>29</v>
      </c>
      <c r="O330" t="s">
        <v>29</v>
      </c>
      <c r="P330" t="s">
        <v>29</v>
      </c>
      <c r="Q330" t="s">
        <v>29</v>
      </c>
      <c r="R330" t="s">
        <v>32</v>
      </c>
      <c r="S330" t="s">
        <v>29</v>
      </c>
      <c r="T330" t="s">
        <v>40</v>
      </c>
      <c r="U330" t="s">
        <v>116</v>
      </c>
      <c r="V330" s="6" t="s">
        <v>35</v>
      </c>
      <c r="W330" t="s">
        <v>112</v>
      </c>
      <c r="X330" t="s">
        <v>29</v>
      </c>
      <c r="Y330" s="6" t="s">
        <v>753</v>
      </c>
    </row>
    <row r="331" spans="2:25" x14ac:dyDescent="0.3">
      <c r="B331" s="5" t="s">
        <v>71</v>
      </c>
      <c r="C331" s="5" t="str">
        <f>VLOOKUP(B331,[1]물질정보!B:C,2,0)</f>
        <v>97-63-2</v>
      </c>
      <c r="D331" t="str">
        <f>VLOOKUP(B331,[1]물질정보!B:D,3,0)</f>
        <v>ethyl methacrylate</v>
      </c>
      <c r="E331" t="str">
        <f>VLOOKUP(B331,[1]물질정보!B:E,4,0)</f>
        <v>C6H10O2</v>
      </c>
      <c r="F331" t="str">
        <f>VLOOKUP(B331,[1]물질정보!B:F,5,0)</f>
        <v>114.14 g/mol</v>
      </c>
      <c r="G331" s="5" t="str">
        <f>VLOOKUP(B331,[1]물질정보!B:G,6,0)</f>
        <v>CCOC(=O)C(=C)C</v>
      </c>
      <c r="H331" t="s">
        <v>79</v>
      </c>
      <c r="I331" t="s">
        <v>685</v>
      </c>
      <c r="J331" t="s">
        <v>117</v>
      </c>
      <c r="K331" t="s">
        <v>118</v>
      </c>
      <c r="L331" t="s">
        <v>29</v>
      </c>
      <c r="M331" t="s">
        <v>29</v>
      </c>
      <c r="N331" t="s">
        <v>29</v>
      </c>
      <c r="O331" t="s">
        <v>29</v>
      </c>
      <c r="P331" t="s">
        <v>29</v>
      </c>
      <c r="Q331" t="s">
        <v>29</v>
      </c>
      <c r="R331" t="s">
        <v>32</v>
      </c>
      <c r="S331" t="s">
        <v>29</v>
      </c>
      <c r="T331" t="s">
        <v>29</v>
      </c>
      <c r="U331" t="s">
        <v>119</v>
      </c>
      <c r="V331" s="6" t="s">
        <v>35</v>
      </c>
      <c r="W331" t="s">
        <v>120</v>
      </c>
      <c r="X331" t="s">
        <v>29</v>
      </c>
      <c r="Y331" s="6" t="s">
        <v>117</v>
      </c>
    </row>
    <row r="332" spans="2:25" x14ac:dyDescent="0.3">
      <c r="B332" s="5" t="s">
        <v>72</v>
      </c>
      <c r="C332" s="5" t="str">
        <f>VLOOKUP(B332,[1]물질정보!B:C,2,0)</f>
        <v>205-25-4</v>
      </c>
      <c r="D332" t="str">
        <f>VLOOKUP(B332,[1]물질정보!B:D,3,0)</f>
        <v xml:space="preserve">7H-Benzo[c]carbazole </v>
      </c>
      <c r="E332" t="str">
        <f>VLOOKUP(B332,[1]물질정보!B:E,4,0)</f>
        <v>C16H11N</v>
      </c>
      <c r="F332" t="str">
        <f>VLOOKUP(B332,[1]물질정보!B:F,5,0)</f>
        <v>217.26 g/mol</v>
      </c>
      <c r="G332" s="5" t="str">
        <f>VLOOKUP(B332,[1]물질정보!B:G,6,0)</f>
        <v>C1=CC=C2C(=C1)C=CC3=C2C4=CC=CC=C4N3</v>
      </c>
      <c r="H332" t="s">
        <v>79</v>
      </c>
      <c r="I332" t="s">
        <v>80</v>
      </c>
      <c r="J332" t="s">
        <v>81</v>
      </c>
      <c r="K332">
        <v>370</v>
      </c>
      <c r="L332" t="s">
        <v>85</v>
      </c>
      <c r="M332" t="s">
        <v>83</v>
      </c>
      <c r="N332" t="s">
        <v>29</v>
      </c>
      <c r="O332" t="s">
        <v>29</v>
      </c>
      <c r="P332">
        <v>48</v>
      </c>
      <c r="Q332" t="s">
        <v>31</v>
      </c>
      <c r="R332" t="s">
        <v>32</v>
      </c>
      <c r="S332" t="s">
        <v>29</v>
      </c>
      <c r="T332" t="s">
        <v>40</v>
      </c>
      <c r="U332" t="s">
        <v>84</v>
      </c>
      <c r="V332" s="6" t="s">
        <v>35</v>
      </c>
      <c r="W332" t="s">
        <v>83</v>
      </c>
      <c r="X332" t="s">
        <v>29</v>
      </c>
      <c r="Y332" s="6" t="s">
        <v>81</v>
      </c>
    </row>
    <row r="333" spans="2:25" x14ac:dyDescent="0.3">
      <c r="B333" s="5" t="s">
        <v>72</v>
      </c>
      <c r="C333" s="5" t="str">
        <f>VLOOKUP(B333,[1]물질정보!B:C,2,0)</f>
        <v>205-25-4</v>
      </c>
      <c r="D333" t="str">
        <f>VLOOKUP(B333,[1]물질정보!B:D,3,0)</f>
        <v xml:space="preserve">7H-Benzo[c]carbazole </v>
      </c>
      <c r="E333" t="str">
        <f>VLOOKUP(B333,[1]물질정보!B:E,4,0)</f>
        <v>C16H11N</v>
      </c>
      <c r="F333" t="str">
        <f>VLOOKUP(B333,[1]물질정보!B:F,5,0)</f>
        <v>217.26 g/mol</v>
      </c>
      <c r="G333" s="5" t="str">
        <f>VLOOKUP(B333,[1]물질정보!B:G,6,0)</f>
        <v>C1=CC=C2C(=C1)C=CC3=C2C4=CC=CC=C4N3</v>
      </c>
      <c r="H333" t="s">
        <v>79</v>
      </c>
      <c r="I333" t="s">
        <v>80</v>
      </c>
      <c r="J333" t="s">
        <v>81</v>
      </c>
      <c r="K333" t="s">
        <v>29</v>
      </c>
      <c r="L333" t="s">
        <v>82</v>
      </c>
      <c r="M333" t="s">
        <v>86</v>
      </c>
      <c r="N333" t="s">
        <v>29</v>
      </c>
      <c r="O333" t="s">
        <v>29</v>
      </c>
      <c r="P333">
        <v>48</v>
      </c>
      <c r="Q333" t="s">
        <v>31</v>
      </c>
      <c r="R333" t="s">
        <v>32</v>
      </c>
      <c r="S333" t="s">
        <v>29</v>
      </c>
      <c r="T333" t="s">
        <v>66</v>
      </c>
      <c r="U333" t="s">
        <v>87</v>
      </c>
      <c r="V333" s="6" t="s">
        <v>35</v>
      </c>
      <c r="W333" t="s">
        <v>86</v>
      </c>
      <c r="X333" t="s">
        <v>29</v>
      </c>
      <c r="Y333" s="6" t="s">
        <v>81</v>
      </c>
    </row>
    <row r="334" spans="2:25" x14ac:dyDescent="0.3">
      <c r="B334" s="5" t="s">
        <v>72</v>
      </c>
      <c r="C334" s="5" t="str">
        <f>VLOOKUP(B334,[1]물질정보!B:C,2,0)</f>
        <v>205-25-4</v>
      </c>
      <c r="D334" t="str">
        <f>VLOOKUP(B334,[1]물질정보!B:D,3,0)</f>
        <v xml:space="preserve">7H-Benzo[c]carbazole </v>
      </c>
      <c r="E334" t="str">
        <f>VLOOKUP(B334,[1]물질정보!B:E,4,0)</f>
        <v>C16H11N</v>
      </c>
      <c r="F334" t="str">
        <f>VLOOKUP(B334,[1]물질정보!B:F,5,0)</f>
        <v>217.26 g/mol</v>
      </c>
      <c r="G334" s="5" t="str">
        <f>VLOOKUP(B334,[1]물질정보!B:G,6,0)</f>
        <v>C1=CC=C2C(=C1)C=CC3=C2C4=CC=CC=C4N3</v>
      </c>
      <c r="H334" t="s">
        <v>79</v>
      </c>
      <c r="I334" t="s">
        <v>88</v>
      </c>
      <c r="J334" t="s">
        <v>89</v>
      </c>
      <c r="K334" t="s">
        <v>99</v>
      </c>
      <c r="L334" t="s">
        <v>29</v>
      </c>
      <c r="M334" t="s">
        <v>91</v>
      </c>
      <c r="N334" t="s">
        <v>29</v>
      </c>
      <c r="O334" t="s">
        <v>29</v>
      </c>
      <c r="P334" t="s">
        <v>29</v>
      </c>
      <c r="Q334" t="s">
        <v>29</v>
      </c>
      <c r="R334" t="s">
        <v>32</v>
      </c>
      <c r="S334" t="s">
        <v>29</v>
      </c>
      <c r="T334" t="s">
        <v>40</v>
      </c>
      <c r="U334" t="s">
        <v>92</v>
      </c>
      <c r="V334" s="6" t="s">
        <v>35</v>
      </c>
      <c r="W334" t="s">
        <v>93</v>
      </c>
      <c r="X334" t="s">
        <v>29</v>
      </c>
      <c r="Y334" s="6" t="s">
        <v>89</v>
      </c>
    </row>
    <row r="335" spans="2:25" x14ac:dyDescent="0.3">
      <c r="B335" s="5" t="s">
        <v>72</v>
      </c>
      <c r="C335" s="5" t="str">
        <f>VLOOKUP(B335,[1]물질정보!B:C,2,0)</f>
        <v>205-25-4</v>
      </c>
      <c r="D335" t="str">
        <f>VLOOKUP(B335,[1]물질정보!B:D,3,0)</f>
        <v xml:space="preserve">7H-Benzo[c]carbazole </v>
      </c>
      <c r="E335" t="str">
        <f>VLOOKUP(B335,[1]물질정보!B:E,4,0)</f>
        <v>C16H11N</v>
      </c>
      <c r="F335" t="str">
        <f>VLOOKUP(B335,[1]물질정보!B:F,5,0)</f>
        <v>217.26 g/mol</v>
      </c>
      <c r="G335" s="5" t="str">
        <f>VLOOKUP(B335,[1]물질정보!B:G,6,0)</f>
        <v>C1=CC=C2C(=C1)C=CC3=C2C4=CC=CC=C4N3</v>
      </c>
      <c r="H335" t="s">
        <v>79</v>
      </c>
      <c r="I335" t="s">
        <v>88</v>
      </c>
      <c r="J335" t="s">
        <v>89</v>
      </c>
      <c r="K335" t="s">
        <v>29</v>
      </c>
      <c r="L335" t="s">
        <v>29</v>
      </c>
      <c r="M335" t="s">
        <v>91</v>
      </c>
      <c r="N335" t="s">
        <v>29</v>
      </c>
      <c r="O335" t="s">
        <v>29</v>
      </c>
      <c r="P335" t="s">
        <v>29</v>
      </c>
      <c r="Q335" t="s">
        <v>29</v>
      </c>
      <c r="R335" t="s">
        <v>32</v>
      </c>
      <c r="S335" t="s">
        <v>29</v>
      </c>
      <c r="T335" t="s">
        <v>66</v>
      </c>
      <c r="U335" t="s">
        <v>94</v>
      </c>
      <c r="V335" s="6" t="s">
        <v>35</v>
      </c>
      <c r="W335" t="s">
        <v>93</v>
      </c>
      <c r="X335" t="s">
        <v>29</v>
      </c>
      <c r="Y335" s="6" t="s">
        <v>89</v>
      </c>
    </row>
    <row r="336" spans="2:25" x14ac:dyDescent="0.3">
      <c r="B336" s="5" t="s">
        <v>72</v>
      </c>
      <c r="C336" s="5" t="str">
        <f>VLOOKUP(B336,[1]물질정보!B:C,2,0)</f>
        <v>205-25-4</v>
      </c>
      <c r="D336" t="str">
        <f>VLOOKUP(B336,[1]물질정보!B:D,3,0)</f>
        <v xml:space="preserve">7H-Benzo[c]carbazole </v>
      </c>
      <c r="E336" t="str">
        <f>VLOOKUP(B336,[1]물질정보!B:E,4,0)</f>
        <v>C16H11N</v>
      </c>
      <c r="F336" t="str">
        <f>VLOOKUP(B336,[1]물질정보!B:F,5,0)</f>
        <v>217.26 g/mol</v>
      </c>
      <c r="G336" s="5" t="str">
        <f>VLOOKUP(B336,[1]물질정보!B:G,6,0)</f>
        <v>C1=CC=C2C(=C1)C=CC3=C2C4=CC=CC=C4N3</v>
      </c>
      <c r="H336" t="s">
        <v>79</v>
      </c>
      <c r="I336" t="s">
        <v>88</v>
      </c>
      <c r="J336" t="s">
        <v>89</v>
      </c>
      <c r="K336" t="s">
        <v>99</v>
      </c>
      <c r="L336" t="s">
        <v>29</v>
      </c>
      <c r="M336" t="s">
        <v>91</v>
      </c>
      <c r="N336" t="s">
        <v>29</v>
      </c>
      <c r="O336" t="s">
        <v>29</v>
      </c>
      <c r="P336" t="s">
        <v>29</v>
      </c>
      <c r="Q336" t="s">
        <v>29</v>
      </c>
      <c r="R336" t="s">
        <v>32</v>
      </c>
      <c r="S336" t="s">
        <v>29</v>
      </c>
      <c r="T336" t="s">
        <v>40</v>
      </c>
      <c r="U336" t="s">
        <v>95</v>
      </c>
      <c r="V336" s="6" t="s">
        <v>35</v>
      </c>
      <c r="W336" t="s">
        <v>93</v>
      </c>
      <c r="X336" t="s">
        <v>29</v>
      </c>
      <c r="Y336" s="6" t="s">
        <v>89</v>
      </c>
    </row>
    <row r="337" spans="2:25" x14ac:dyDescent="0.3">
      <c r="B337" s="5" t="s">
        <v>72</v>
      </c>
      <c r="C337" s="5" t="str">
        <f>VLOOKUP(B337,[1]물질정보!B:C,2,0)</f>
        <v>205-25-4</v>
      </c>
      <c r="D337" t="str">
        <f>VLOOKUP(B337,[1]물질정보!B:D,3,0)</f>
        <v xml:space="preserve">7H-Benzo[c]carbazole </v>
      </c>
      <c r="E337" t="str">
        <f>VLOOKUP(B337,[1]물질정보!B:E,4,0)</f>
        <v>C16H11N</v>
      </c>
      <c r="F337" t="str">
        <f>VLOOKUP(B337,[1]물질정보!B:F,5,0)</f>
        <v>217.26 g/mol</v>
      </c>
      <c r="G337" s="5" t="str">
        <f>VLOOKUP(B337,[1]물질정보!B:G,6,0)</f>
        <v>C1=CC=C2C(=C1)C=CC3=C2C4=CC=CC=C4N3</v>
      </c>
      <c r="H337" t="s">
        <v>79</v>
      </c>
      <c r="I337" t="s">
        <v>88</v>
      </c>
      <c r="J337" t="s">
        <v>89</v>
      </c>
      <c r="K337" t="s">
        <v>99</v>
      </c>
      <c r="L337" t="s">
        <v>29</v>
      </c>
      <c r="M337" t="s">
        <v>91</v>
      </c>
      <c r="N337" t="s">
        <v>29</v>
      </c>
      <c r="O337" t="s">
        <v>29</v>
      </c>
      <c r="P337" t="s">
        <v>29</v>
      </c>
      <c r="Q337" t="s">
        <v>29</v>
      </c>
      <c r="R337" t="s">
        <v>32</v>
      </c>
      <c r="S337" t="s">
        <v>29</v>
      </c>
      <c r="T337" t="s">
        <v>40</v>
      </c>
      <c r="U337" t="s">
        <v>96</v>
      </c>
      <c r="V337" s="6" t="s">
        <v>35</v>
      </c>
      <c r="W337" t="s">
        <v>93</v>
      </c>
      <c r="X337" t="s">
        <v>29</v>
      </c>
      <c r="Y337" s="6" t="s">
        <v>89</v>
      </c>
    </row>
    <row r="338" spans="2:25" x14ac:dyDescent="0.3">
      <c r="B338" s="5" t="s">
        <v>72</v>
      </c>
      <c r="C338" s="5" t="str">
        <f>VLOOKUP(B338,[1]물질정보!B:C,2,0)</f>
        <v>205-25-4</v>
      </c>
      <c r="D338" t="str">
        <f>VLOOKUP(B338,[1]물질정보!B:D,3,0)</f>
        <v xml:space="preserve">7H-Benzo[c]carbazole </v>
      </c>
      <c r="E338" t="str">
        <f>VLOOKUP(B338,[1]물질정보!B:E,4,0)</f>
        <v>C16H11N</v>
      </c>
      <c r="F338" t="str">
        <f>VLOOKUP(B338,[1]물질정보!B:F,5,0)</f>
        <v>217.26 g/mol</v>
      </c>
      <c r="G338" s="5" t="str">
        <f>VLOOKUP(B338,[1]물질정보!B:G,6,0)</f>
        <v>C1=CC=C2C(=C1)C=CC3=C2C4=CC=CC=C4N3</v>
      </c>
      <c r="H338" t="s">
        <v>79</v>
      </c>
      <c r="I338" t="s">
        <v>97</v>
      </c>
      <c r="J338" t="s">
        <v>98</v>
      </c>
      <c r="K338" t="s">
        <v>99</v>
      </c>
      <c r="L338" t="s">
        <v>29</v>
      </c>
      <c r="M338" t="s">
        <v>100</v>
      </c>
      <c r="N338" t="s">
        <v>101</v>
      </c>
      <c r="O338" t="s">
        <v>29</v>
      </c>
      <c r="P338" t="s">
        <v>29</v>
      </c>
      <c r="Q338" t="s">
        <v>29</v>
      </c>
      <c r="R338" t="s">
        <v>32</v>
      </c>
      <c r="S338" t="s">
        <v>29</v>
      </c>
      <c r="T338" t="s">
        <v>40</v>
      </c>
      <c r="U338" t="s">
        <v>102</v>
      </c>
      <c r="V338" s="6" t="s">
        <v>35</v>
      </c>
      <c r="W338" t="s">
        <v>101</v>
      </c>
      <c r="X338" t="s">
        <v>29</v>
      </c>
      <c r="Y338" s="6" t="s">
        <v>98</v>
      </c>
    </row>
    <row r="339" spans="2:25" x14ac:dyDescent="0.3">
      <c r="B339" s="5" t="s">
        <v>72</v>
      </c>
      <c r="C339" s="5" t="str">
        <f>VLOOKUP(B339,[1]물질정보!B:C,2,0)</f>
        <v>205-25-4</v>
      </c>
      <c r="D339" t="str">
        <f>VLOOKUP(B339,[1]물질정보!B:D,3,0)</f>
        <v xml:space="preserve">7H-Benzo[c]carbazole </v>
      </c>
      <c r="E339" t="str">
        <f>VLOOKUP(B339,[1]물질정보!B:E,4,0)</f>
        <v>C16H11N</v>
      </c>
      <c r="F339" t="str">
        <f>VLOOKUP(B339,[1]물질정보!B:F,5,0)</f>
        <v>217.26 g/mol</v>
      </c>
      <c r="G339" s="5" t="str">
        <f>VLOOKUP(B339,[1]물질정보!B:G,6,0)</f>
        <v>C1=CC=C2C(=C1)C=CC3=C2C4=CC=CC=C4N3</v>
      </c>
      <c r="H339" t="s">
        <v>79</v>
      </c>
      <c r="I339" t="s">
        <v>97</v>
      </c>
      <c r="J339" t="s">
        <v>98</v>
      </c>
      <c r="K339" t="s">
        <v>99</v>
      </c>
      <c r="L339" t="s">
        <v>29</v>
      </c>
      <c r="M339" t="s">
        <v>100</v>
      </c>
      <c r="N339" t="s">
        <v>101</v>
      </c>
      <c r="O339" t="s">
        <v>29</v>
      </c>
      <c r="P339" t="s">
        <v>29</v>
      </c>
      <c r="Q339" t="s">
        <v>29</v>
      </c>
      <c r="R339" t="s">
        <v>32</v>
      </c>
      <c r="S339" t="s">
        <v>29</v>
      </c>
      <c r="T339" t="s">
        <v>40</v>
      </c>
      <c r="U339" t="s">
        <v>103</v>
      </c>
      <c r="V339" s="6" t="s">
        <v>35</v>
      </c>
      <c r="W339" t="s">
        <v>101</v>
      </c>
      <c r="X339" t="s">
        <v>29</v>
      </c>
      <c r="Y339" s="6" t="s">
        <v>98</v>
      </c>
    </row>
    <row r="340" spans="2:25" x14ac:dyDescent="0.3">
      <c r="B340" s="5" t="s">
        <v>72</v>
      </c>
      <c r="C340" s="5" t="str">
        <f>VLOOKUP(B340,[1]물질정보!B:C,2,0)</f>
        <v>205-25-4</v>
      </c>
      <c r="D340" t="str">
        <f>VLOOKUP(B340,[1]물질정보!B:D,3,0)</f>
        <v xml:space="preserve">7H-Benzo[c]carbazole </v>
      </c>
      <c r="E340" t="str">
        <f>VLOOKUP(B340,[1]물질정보!B:E,4,0)</f>
        <v>C16H11N</v>
      </c>
      <c r="F340" t="str">
        <f>VLOOKUP(B340,[1]물질정보!B:F,5,0)</f>
        <v>217.26 g/mol</v>
      </c>
      <c r="G340" s="5" t="str">
        <f>VLOOKUP(B340,[1]물질정보!B:G,6,0)</f>
        <v>C1=CC=C2C(=C1)C=CC3=C2C4=CC=CC=C4N3</v>
      </c>
      <c r="H340" t="s">
        <v>79</v>
      </c>
      <c r="I340" t="s">
        <v>97</v>
      </c>
      <c r="J340" t="s">
        <v>98</v>
      </c>
      <c r="K340" t="s">
        <v>29</v>
      </c>
      <c r="L340" t="s">
        <v>29</v>
      </c>
      <c r="M340" t="s">
        <v>100</v>
      </c>
      <c r="N340" t="s">
        <v>101</v>
      </c>
      <c r="O340" t="s">
        <v>29</v>
      </c>
      <c r="P340" t="s">
        <v>29</v>
      </c>
      <c r="Q340" t="s">
        <v>29</v>
      </c>
      <c r="R340" t="s">
        <v>32</v>
      </c>
      <c r="S340" t="s">
        <v>29</v>
      </c>
      <c r="T340" t="s">
        <v>66</v>
      </c>
      <c r="U340" t="s">
        <v>104</v>
      </c>
      <c r="V340" s="6" t="s">
        <v>35</v>
      </c>
      <c r="W340" t="s">
        <v>101</v>
      </c>
      <c r="X340" t="s">
        <v>29</v>
      </c>
      <c r="Y340" s="6" t="s">
        <v>98</v>
      </c>
    </row>
    <row r="341" spans="2:25" x14ac:dyDescent="0.3">
      <c r="B341" s="5" t="s">
        <v>72</v>
      </c>
      <c r="C341" s="5" t="str">
        <f>VLOOKUP(B341,[1]물질정보!B:C,2,0)</f>
        <v>205-25-4</v>
      </c>
      <c r="D341" t="str">
        <f>VLOOKUP(B341,[1]물질정보!B:D,3,0)</f>
        <v xml:space="preserve">7H-Benzo[c]carbazole </v>
      </c>
      <c r="E341" t="str">
        <f>VLOOKUP(B341,[1]물질정보!B:E,4,0)</f>
        <v>C16H11N</v>
      </c>
      <c r="F341" t="str">
        <f>VLOOKUP(B341,[1]물질정보!B:F,5,0)</f>
        <v>217.26 g/mol</v>
      </c>
      <c r="G341" s="5" t="str">
        <f>VLOOKUP(B341,[1]물질정보!B:G,6,0)</f>
        <v>C1=CC=C2C(=C1)C=CC3=C2C4=CC=CC=C4N3</v>
      </c>
      <c r="H341" t="s">
        <v>79</v>
      </c>
      <c r="I341" t="s">
        <v>97</v>
      </c>
      <c r="J341" t="s">
        <v>98</v>
      </c>
      <c r="K341" t="s">
        <v>99</v>
      </c>
      <c r="L341" t="s">
        <v>29</v>
      </c>
      <c r="M341" t="s">
        <v>100</v>
      </c>
      <c r="N341" t="s">
        <v>101</v>
      </c>
      <c r="O341" t="s">
        <v>29</v>
      </c>
      <c r="P341" t="s">
        <v>29</v>
      </c>
      <c r="Q341" t="s">
        <v>29</v>
      </c>
      <c r="R341" t="s">
        <v>32</v>
      </c>
      <c r="S341" t="s">
        <v>29</v>
      </c>
      <c r="T341" t="s">
        <v>40</v>
      </c>
      <c r="U341" t="s">
        <v>105</v>
      </c>
      <c r="V341" s="6" t="s">
        <v>35</v>
      </c>
      <c r="W341" t="s">
        <v>101</v>
      </c>
      <c r="X341" t="s">
        <v>29</v>
      </c>
      <c r="Y341" s="6" t="s">
        <v>98</v>
      </c>
    </row>
    <row r="342" spans="2:25" x14ac:dyDescent="0.3">
      <c r="B342" s="5" t="s">
        <v>72</v>
      </c>
      <c r="C342" s="5" t="str">
        <f>VLOOKUP(B342,[1]물질정보!B:C,2,0)</f>
        <v>205-25-4</v>
      </c>
      <c r="D342" t="str">
        <f>VLOOKUP(B342,[1]물질정보!B:D,3,0)</f>
        <v xml:space="preserve">7H-Benzo[c]carbazole </v>
      </c>
      <c r="E342" t="str">
        <f>VLOOKUP(B342,[1]물질정보!B:E,4,0)</f>
        <v>C16H11N</v>
      </c>
      <c r="F342" t="str">
        <f>VLOOKUP(B342,[1]물질정보!B:F,5,0)</f>
        <v>217.26 g/mol</v>
      </c>
      <c r="G342" s="5" t="str">
        <f>VLOOKUP(B342,[1]물질정보!B:G,6,0)</f>
        <v>C1=CC=C2C(=C1)C=CC3=C2C4=CC=CC=C4N3</v>
      </c>
      <c r="H342" t="s">
        <v>79</v>
      </c>
      <c r="I342" t="s">
        <v>97</v>
      </c>
      <c r="J342" t="s">
        <v>98</v>
      </c>
      <c r="K342" t="s">
        <v>29</v>
      </c>
      <c r="L342" t="s">
        <v>29</v>
      </c>
      <c r="M342" t="s">
        <v>100</v>
      </c>
      <c r="N342" t="s">
        <v>106</v>
      </c>
      <c r="O342" t="s">
        <v>29</v>
      </c>
      <c r="P342" t="s">
        <v>29</v>
      </c>
      <c r="Q342" t="s">
        <v>29</v>
      </c>
      <c r="R342" t="s">
        <v>32</v>
      </c>
      <c r="S342" t="s">
        <v>29</v>
      </c>
      <c r="T342" t="s">
        <v>66</v>
      </c>
      <c r="U342" t="s">
        <v>107</v>
      </c>
      <c r="V342" s="6" t="s">
        <v>35</v>
      </c>
      <c r="W342" t="s">
        <v>106</v>
      </c>
      <c r="X342" t="s">
        <v>29</v>
      </c>
      <c r="Y342" s="6" t="s">
        <v>98</v>
      </c>
    </row>
    <row r="343" spans="2:25" x14ac:dyDescent="0.3">
      <c r="B343" s="5" t="s">
        <v>72</v>
      </c>
      <c r="C343" s="5" t="str">
        <f>VLOOKUP(B343,[1]물질정보!B:C,2,0)</f>
        <v>205-25-4</v>
      </c>
      <c r="D343" t="str">
        <f>VLOOKUP(B343,[1]물질정보!B:D,3,0)</f>
        <v xml:space="preserve">7H-Benzo[c]carbazole </v>
      </c>
      <c r="E343" t="str">
        <f>VLOOKUP(B343,[1]물질정보!B:E,4,0)</f>
        <v>C16H11N</v>
      </c>
      <c r="F343" t="str">
        <f>VLOOKUP(B343,[1]물질정보!B:F,5,0)</f>
        <v>217.26 g/mol</v>
      </c>
      <c r="G343" s="5" t="str">
        <f>VLOOKUP(B343,[1]물질정보!B:G,6,0)</f>
        <v>C1=CC=C2C(=C1)C=CC3=C2C4=CC=CC=C4N3</v>
      </c>
      <c r="H343" t="s">
        <v>79</v>
      </c>
      <c r="I343" t="s">
        <v>97</v>
      </c>
      <c r="J343" t="s">
        <v>98</v>
      </c>
      <c r="K343" t="s">
        <v>29</v>
      </c>
      <c r="L343" t="s">
        <v>29</v>
      </c>
      <c r="M343" t="s">
        <v>100</v>
      </c>
      <c r="N343" t="s">
        <v>106</v>
      </c>
      <c r="O343" t="s">
        <v>29</v>
      </c>
      <c r="P343" t="s">
        <v>29</v>
      </c>
      <c r="Q343" t="s">
        <v>29</v>
      </c>
      <c r="R343" t="s">
        <v>32</v>
      </c>
      <c r="S343" t="s">
        <v>29</v>
      </c>
      <c r="T343" t="s">
        <v>66</v>
      </c>
      <c r="U343" t="s">
        <v>108</v>
      </c>
      <c r="V343" s="6" t="s">
        <v>35</v>
      </c>
      <c r="W343" t="s">
        <v>106</v>
      </c>
      <c r="X343" t="s">
        <v>29</v>
      </c>
      <c r="Y343" s="6" t="s">
        <v>98</v>
      </c>
    </row>
    <row r="344" spans="2:25" x14ac:dyDescent="0.3">
      <c r="B344" s="5" t="s">
        <v>72</v>
      </c>
      <c r="C344" s="5" t="str">
        <f>VLOOKUP(B344,[1]물질정보!B:C,2,0)</f>
        <v>205-25-4</v>
      </c>
      <c r="D344" t="str">
        <f>VLOOKUP(B344,[1]물질정보!B:D,3,0)</f>
        <v xml:space="preserve">7H-Benzo[c]carbazole </v>
      </c>
      <c r="E344" t="str">
        <f>VLOOKUP(B344,[1]물질정보!B:E,4,0)</f>
        <v>C16H11N</v>
      </c>
      <c r="F344" t="str">
        <f>VLOOKUP(B344,[1]물질정보!B:F,5,0)</f>
        <v>217.26 g/mol</v>
      </c>
      <c r="G344" s="5" t="str">
        <f>VLOOKUP(B344,[1]물질정보!B:G,6,0)</f>
        <v>C1=CC=C2C(=C1)C=CC3=C2C4=CC=CC=C4N3</v>
      </c>
      <c r="H344" t="s">
        <v>79</v>
      </c>
      <c r="I344" t="s">
        <v>97</v>
      </c>
      <c r="J344" t="s">
        <v>98</v>
      </c>
      <c r="K344" t="s">
        <v>29</v>
      </c>
      <c r="L344" t="s">
        <v>29</v>
      </c>
      <c r="M344" t="s">
        <v>100</v>
      </c>
      <c r="N344" t="s">
        <v>106</v>
      </c>
      <c r="O344" t="s">
        <v>29</v>
      </c>
      <c r="P344" t="s">
        <v>29</v>
      </c>
      <c r="Q344" t="s">
        <v>29</v>
      </c>
      <c r="R344" t="s">
        <v>32</v>
      </c>
      <c r="S344" t="s">
        <v>29</v>
      </c>
      <c r="T344" t="s">
        <v>66</v>
      </c>
      <c r="U344" t="s">
        <v>109</v>
      </c>
      <c r="V344" s="6" t="s">
        <v>35</v>
      </c>
      <c r="W344" t="s">
        <v>106</v>
      </c>
      <c r="X344" t="s">
        <v>29</v>
      </c>
      <c r="Y344" s="6" t="s">
        <v>98</v>
      </c>
    </row>
    <row r="345" spans="2:25" x14ac:dyDescent="0.3">
      <c r="B345" s="5" t="s">
        <v>72</v>
      </c>
      <c r="C345" s="5" t="str">
        <f>VLOOKUP(B345,[1]물질정보!B:C,2,0)</f>
        <v>205-25-4</v>
      </c>
      <c r="D345" t="str">
        <f>VLOOKUP(B345,[1]물질정보!B:D,3,0)</f>
        <v xml:space="preserve">7H-Benzo[c]carbazole </v>
      </c>
      <c r="E345" t="str">
        <f>VLOOKUP(B345,[1]물질정보!B:E,4,0)</f>
        <v>C16H11N</v>
      </c>
      <c r="F345" t="str">
        <f>VLOOKUP(B345,[1]물질정보!B:F,5,0)</f>
        <v>217.26 g/mol</v>
      </c>
      <c r="G345" s="5" t="str">
        <f>VLOOKUP(B345,[1]물질정보!B:G,6,0)</f>
        <v>C1=CC=C2C(=C1)C=CC3=C2C4=CC=CC=C4N3</v>
      </c>
      <c r="H345" t="s">
        <v>79</v>
      </c>
      <c r="I345" t="s">
        <v>97</v>
      </c>
      <c r="J345" t="s">
        <v>98</v>
      </c>
      <c r="K345" t="s">
        <v>29</v>
      </c>
      <c r="L345" t="s">
        <v>29</v>
      </c>
      <c r="M345" t="s">
        <v>100</v>
      </c>
      <c r="N345" t="s">
        <v>106</v>
      </c>
      <c r="O345" t="s">
        <v>29</v>
      </c>
      <c r="P345" t="s">
        <v>29</v>
      </c>
      <c r="Q345" t="s">
        <v>29</v>
      </c>
      <c r="R345" t="s">
        <v>32</v>
      </c>
      <c r="S345" t="s">
        <v>29</v>
      </c>
      <c r="T345" t="s">
        <v>66</v>
      </c>
      <c r="U345" t="s">
        <v>110</v>
      </c>
      <c r="V345" s="6" t="s">
        <v>35</v>
      </c>
      <c r="W345" t="s">
        <v>106</v>
      </c>
      <c r="X345" t="s">
        <v>29</v>
      </c>
      <c r="Y345" s="6" t="s">
        <v>98</v>
      </c>
    </row>
    <row r="346" spans="2:25" x14ac:dyDescent="0.3">
      <c r="B346" s="5" t="s">
        <v>72</v>
      </c>
      <c r="C346" s="5" t="str">
        <f>VLOOKUP(B346,[1]물질정보!B:C,2,0)</f>
        <v>205-25-4</v>
      </c>
      <c r="D346" t="str">
        <f>VLOOKUP(B346,[1]물질정보!B:D,3,0)</f>
        <v xml:space="preserve">7H-Benzo[c]carbazole </v>
      </c>
      <c r="E346" t="str">
        <f>VLOOKUP(B346,[1]물질정보!B:E,4,0)</f>
        <v>C16H11N</v>
      </c>
      <c r="F346" t="str">
        <f>VLOOKUP(B346,[1]물질정보!B:F,5,0)</f>
        <v>217.26 g/mol</v>
      </c>
      <c r="G346" s="5" t="str">
        <f>VLOOKUP(B346,[1]물질정보!B:G,6,0)</f>
        <v>C1=CC=C2C(=C1)C=CC3=C2C4=CC=CC=C4N3</v>
      </c>
      <c r="H346" t="s">
        <v>79</v>
      </c>
      <c r="I346" t="s">
        <v>111</v>
      </c>
      <c r="J346" t="s">
        <v>824</v>
      </c>
      <c r="K346" t="s">
        <v>29</v>
      </c>
      <c r="L346" t="s">
        <v>29</v>
      </c>
      <c r="M346" t="s">
        <v>122</v>
      </c>
      <c r="N346" t="s">
        <v>29</v>
      </c>
      <c r="O346" t="s">
        <v>29</v>
      </c>
      <c r="P346" t="s">
        <v>29</v>
      </c>
      <c r="Q346" t="s">
        <v>29</v>
      </c>
      <c r="R346" t="s">
        <v>32</v>
      </c>
      <c r="S346" t="s">
        <v>29</v>
      </c>
      <c r="T346" t="s">
        <v>66</v>
      </c>
      <c r="U346" t="s">
        <v>121</v>
      </c>
      <c r="V346" s="6" t="s">
        <v>35</v>
      </c>
      <c r="W346" t="s">
        <v>112</v>
      </c>
      <c r="X346" t="s">
        <v>29</v>
      </c>
      <c r="Y346" s="6" t="s">
        <v>753</v>
      </c>
    </row>
    <row r="347" spans="2:25" x14ac:dyDescent="0.3">
      <c r="B347" s="5" t="s">
        <v>72</v>
      </c>
      <c r="C347" s="5" t="str">
        <f>VLOOKUP(B347,[1]물질정보!B:C,2,0)</f>
        <v>205-25-4</v>
      </c>
      <c r="D347" t="str">
        <f>VLOOKUP(B347,[1]물질정보!B:D,3,0)</f>
        <v xml:space="preserve">7H-Benzo[c]carbazole </v>
      </c>
      <c r="E347" t="str">
        <f>VLOOKUP(B347,[1]물질정보!B:E,4,0)</f>
        <v>C16H11N</v>
      </c>
      <c r="F347" t="str">
        <f>VLOOKUP(B347,[1]물질정보!B:F,5,0)</f>
        <v>217.26 g/mol</v>
      </c>
      <c r="G347" s="5" t="str">
        <f>VLOOKUP(B347,[1]물질정보!B:G,6,0)</f>
        <v>C1=CC=C2C(=C1)C=CC3=C2C4=CC=CC=C4N3</v>
      </c>
      <c r="H347" t="s">
        <v>79</v>
      </c>
      <c r="I347" t="s">
        <v>111</v>
      </c>
      <c r="J347" t="s">
        <v>824</v>
      </c>
      <c r="K347" t="s">
        <v>29</v>
      </c>
      <c r="L347" t="s">
        <v>29</v>
      </c>
      <c r="M347" t="s">
        <v>122</v>
      </c>
      <c r="N347" t="s">
        <v>29</v>
      </c>
      <c r="O347" t="s">
        <v>29</v>
      </c>
      <c r="P347" t="s">
        <v>29</v>
      </c>
      <c r="Q347" t="s">
        <v>29</v>
      </c>
      <c r="R347" t="s">
        <v>32</v>
      </c>
      <c r="S347" t="s">
        <v>29</v>
      </c>
      <c r="T347" t="s">
        <v>66</v>
      </c>
      <c r="U347" t="s">
        <v>114</v>
      </c>
      <c r="V347" s="6" t="s">
        <v>35</v>
      </c>
      <c r="W347" t="s">
        <v>112</v>
      </c>
      <c r="X347" t="s">
        <v>29</v>
      </c>
      <c r="Y347" s="6" t="s">
        <v>753</v>
      </c>
    </row>
    <row r="348" spans="2:25" x14ac:dyDescent="0.3">
      <c r="B348" s="5" t="s">
        <v>72</v>
      </c>
      <c r="C348" s="5" t="str">
        <f>VLOOKUP(B348,[1]물질정보!B:C,2,0)</f>
        <v>205-25-4</v>
      </c>
      <c r="D348" t="str">
        <f>VLOOKUP(B348,[1]물질정보!B:D,3,0)</f>
        <v xml:space="preserve">7H-Benzo[c]carbazole </v>
      </c>
      <c r="E348" t="str">
        <f>VLOOKUP(B348,[1]물질정보!B:E,4,0)</f>
        <v>C16H11N</v>
      </c>
      <c r="F348" t="str">
        <f>VLOOKUP(B348,[1]물질정보!B:F,5,0)</f>
        <v>217.26 g/mol</v>
      </c>
      <c r="G348" s="5" t="str">
        <f>VLOOKUP(B348,[1]물질정보!B:G,6,0)</f>
        <v>C1=CC=C2C(=C1)C=CC3=C2C4=CC=CC=C4N3</v>
      </c>
      <c r="H348" t="s">
        <v>79</v>
      </c>
      <c r="I348" t="s">
        <v>111</v>
      </c>
      <c r="J348" t="s">
        <v>824</v>
      </c>
      <c r="K348" t="s">
        <v>29</v>
      </c>
      <c r="L348" t="s">
        <v>29</v>
      </c>
      <c r="M348" t="s">
        <v>122</v>
      </c>
      <c r="N348" t="s">
        <v>29</v>
      </c>
      <c r="O348" t="s">
        <v>29</v>
      </c>
      <c r="P348" t="s">
        <v>29</v>
      </c>
      <c r="Q348" t="s">
        <v>29</v>
      </c>
      <c r="R348" t="s">
        <v>32</v>
      </c>
      <c r="S348" t="s">
        <v>29</v>
      </c>
      <c r="T348" t="s">
        <v>66</v>
      </c>
      <c r="U348" t="s">
        <v>115</v>
      </c>
      <c r="V348" s="6" t="s">
        <v>35</v>
      </c>
      <c r="W348" t="s">
        <v>112</v>
      </c>
      <c r="X348" t="s">
        <v>29</v>
      </c>
      <c r="Y348" s="6" t="s">
        <v>753</v>
      </c>
    </row>
    <row r="349" spans="2:25" x14ac:dyDescent="0.3">
      <c r="B349" s="5" t="s">
        <v>72</v>
      </c>
      <c r="C349" s="5" t="str">
        <f>VLOOKUP(B349,[1]물질정보!B:C,2,0)</f>
        <v>205-25-4</v>
      </c>
      <c r="D349" t="str">
        <f>VLOOKUP(B349,[1]물질정보!B:D,3,0)</f>
        <v xml:space="preserve">7H-Benzo[c]carbazole </v>
      </c>
      <c r="E349" t="str">
        <f>VLOOKUP(B349,[1]물질정보!B:E,4,0)</f>
        <v>C16H11N</v>
      </c>
      <c r="F349" t="str">
        <f>VLOOKUP(B349,[1]물질정보!B:F,5,0)</f>
        <v>217.26 g/mol</v>
      </c>
      <c r="G349" s="5" t="str">
        <f>VLOOKUP(B349,[1]물질정보!B:G,6,0)</f>
        <v>C1=CC=C2C(=C1)C=CC3=C2C4=CC=CC=C4N3</v>
      </c>
      <c r="H349" t="s">
        <v>79</v>
      </c>
      <c r="I349" t="s">
        <v>111</v>
      </c>
      <c r="J349" t="s">
        <v>824</v>
      </c>
      <c r="K349" t="s">
        <v>99</v>
      </c>
      <c r="L349" t="s">
        <v>29</v>
      </c>
      <c r="M349" t="s">
        <v>122</v>
      </c>
      <c r="N349" t="s">
        <v>29</v>
      </c>
      <c r="O349" t="s">
        <v>29</v>
      </c>
      <c r="P349" t="s">
        <v>29</v>
      </c>
      <c r="Q349" t="s">
        <v>29</v>
      </c>
      <c r="R349" t="s">
        <v>32</v>
      </c>
      <c r="S349" t="s">
        <v>29</v>
      </c>
      <c r="T349" t="s">
        <v>40</v>
      </c>
      <c r="U349" t="s">
        <v>116</v>
      </c>
      <c r="V349" s="6" t="s">
        <v>35</v>
      </c>
      <c r="W349" t="s">
        <v>112</v>
      </c>
      <c r="X349" t="s">
        <v>29</v>
      </c>
      <c r="Y349" s="6" t="s">
        <v>753</v>
      </c>
    </row>
    <row r="350" spans="2:25" x14ac:dyDescent="0.3">
      <c r="B350" s="5" t="s">
        <v>72</v>
      </c>
      <c r="C350" s="5" t="str">
        <f>VLOOKUP(B350,[1]물질정보!B:C,2,0)</f>
        <v>205-25-4</v>
      </c>
      <c r="D350" t="str">
        <f>VLOOKUP(B350,[1]물질정보!B:D,3,0)</f>
        <v xml:space="preserve">7H-Benzo[c]carbazole </v>
      </c>
      <c r="E350" t="str">
        <f>VLOOKUP(B350,[1]물질정보!B:E,4,0)</f>
        <v>C16H11N</v>
      </c>
      <c r="F350" t="str">
        <f>VLOOKUP(B350,[1]물질정보!B:F,5,0)</f>
        <v>217.26 g/mol</v>
      </c>
      <c r="G350" s="5" t="str">
        <f>VLOOKUP(B350,[1]물질정보!B:G,6,0)</f>
        <v>C1=CC=C2C(=C1)C=CC3=C2C4=CC=CC=C4N3</v>
      </c>
      <c r="H350" t="s">
        <v>79</v>
      </c>
      <c r="I350" t="s">
        <v>685</v>
      </c>
      <c r="J350" t="s">
        <v>117</v>
      </c>
      <c r="K350" t="s">
        <v>124</v>
      </c>
      <c r="L350" t="s">
        <v>29</v>
      </c>
      <c r="M350" t="s">
        <v>29</v>
      </c>
      <c r="N350" t="s">
        <v>29</v>
      </c>
      <c r="O350" t="s">
        <v>29</v>
      </c>
      <c r="P350" t="s">
        <v>29</v>
      </c>
      <c r="Q350" t="s">
        <v>29</v>
      </c>
      <c r="R350" t="s">
        <v>32</v>
      </c>
      <c r="S350" t="s">
        <v>29</v>
      </c>
      <c r="T350" t="s">
        <v>29</v>
      </c>
      <c r="U350" t="s">
        <v>119</v>
      </c>
      <c r="V350" s="6" t="s">
        <v>35</v>
      </c>
      <c r="W350" t="s">
        <v>120</v>
      </c>
      <c r="X350" t="s">
        <v>29</v>
      </c>
      <c r="Y350" s="6" t="s">
        <v>117</v>
      </c>
    </row>
    <row r="351" spans="2:25" x14ac:dyDescent="0.3">
      <c r="B351" s="5" t="s">
        <v>77</v>
      </c>
      <c r="C351" s="5" t="str">
        <f>VLOOKUP(B351,[1]물질정보!B:C,2,0)</f>
        <v>140-88-5</v>
      </c>
      <c r="D351" t="str">
        <f>VLOOKUP(B351,[1]물질정보!B:D,3,0)</f>
        <v>ethyl acrylate</v>
      </c>
      <c r="E351" t="str">
        <f>VLOOKUP(B351,[1]물질정보!B:E,4,0)</f>
        <v>C5H8O2</v>
      </c>
      <c r="F351" t="str">
        <f>VLOOKUP(B351,[1]물질정보!B:F,5,0)</f>
        <v>100.12 g/mol</v>
      </c>
      <c r="G351" s="5" t="str">
        <f>VLOOKUP(B351,[1]물질정보!B:G,6,0)</f>
        <v>CCOC(=O)C=C</v>
      </c>
      <c r="H351" t="s">
        <v>79</v>
      </c>
      <c r="I351" t="s">
        <v>80</v>
      </c>
      <c r="J351" t="s">
        <v>81</v>
      </c>
      <c r="K351" t="s">
        <v>29</v>
      </c>
      <c r="L351" t="s">
        <v>82</v>
      </c>
      <c r="M351" t="s">
        <v>83</v>
      </c>
      <c r="N351" t="s">
        <v>29</v>
      </c>
      <c r="O351" t="s">
        <v>29</v>
      </c>
      <c r="P351">
        <v>48</v>
      </c>
      <c r="Q351" t="s">
        <v>31</v>
      </c>
      <c r="R351" t="s">
        <v>32</v>
      </c>
      <c r="S351" t="s">
        <v>29</v>
      </c>
      <c r="T351" t="s">
        <v>66</v>
      </c>
      <c r="U351" t="s">
        <v>84</v>
      </c>
      <c r="V351" s="6" t="s">
        <v>35</v>
      </c>
      <c r="W351" t="s">
        <v>83</v>
      </c>
      <c r="X351" t="s">
        <v>29</v>
      </c>
      <c r="Y351" s="6" t="s">
        <v>81</v>
      </c>
    </row>
    <row r="352" spans="2:25" x14ac:dyDescent="0.3">
      <c r="B352" s="5" t="s">
        <v>77</v>
      </c>
      <c r="C352" s="5" t="str">
        <f>VLOOKUP(B352,[1]물질정보!B:C,2,0)</f>
        <v>140-88-5</v>
      </c>
      <c r="D352" t="str">
        <f>VLOOKUP(B352,[1]물질정보!B:D,3,0)</f>
        <v>ethyl acrylate</v>
      </c>
      <c r="E352" t="str">
        <f>VLOOKUP(B352,[1]물질정보!B:E,4,0)</f>
        <v>C5H8O2</v>
      </c>
      <c r="F352" t="str">
        <f>VLOOKUP(B352,[1]물질정보!B:F,5,0)</f>
        <v>100.12 g/mol</v>
      </c>
      <c r="G352" s="5" t="str">
        <f>VLOOKUP(B352,[1]물질정보!B:G,6,0)</f>
        <v>CCOC(=O)C=C</v>
      </c>
      <c r="H352" t="s">
        <v>79</v>
      </c>
      <c r="I352" t="s">
        <v>80</v>
      </c>
      <c r="J352" t="s">
        <v>81</v>
      </c>
      <c r="K352">
        <v>850</v>
      </c>
      <c r="L352" t="s">
        <v>85</v>
      </c>
      <c r="M352" t="s">
        <v>86</v>
      </c>
      <c r="N352" t="s">
        <v>29</v>
      </c>
      <c r="O352" t="s">
        <v>29</v>
      </c>
      <c r="P352">
        <v>48</v>
      </c>
      <c r="Q352" t="s">
        <v>31</v>
      </c>
      <c r="R352" t="s">
        <v>32</v>
      </c>
      <c r="S352" t="s">
        <v>29</v>
      </c>
      <c r="T352" t="s">
        <v>40</v>
      </c>
      <c r="U352" t="s">
        <v>87</v>
      </c>
      <c r="V352" s="6" t="s">
        <v>35</v>
      </c>
      <c r="W352" t="s">
        <v>86</v>
      </c>
      <c r="X352" t="s">
        <v>29</v>
      </c>
      <c r="Y352" s="6" t="s">
        <v>81</v>
      </c>
    </row>
    <row r="353" spans="2:25" x14ac:dyDescent="0.3">
      <c r="B353" s="5" t="s">
        <v>77</v>
      </c>
      <c r="C353" s="5" t="str">
        <f>VLOOKUP(B353,[1]물질정보!B:C,2,0)</f>
        <v>140-88-5</v>
      </c>
      <c r="D353" t="str">
        <f>VLOOKUP(B353,[1]물질정보!B:D,3,0)</f>
        <v>ethyl acrylate</v>
      </c>
      <c r="E353" t="str">
        <f>VLOOKUP(B353,[1]물질정보!B:E,4,0)</f>
        <v>C5H8O2</v>
      </c>
      <c r="F353" t="str">
        <f>VLOOKUP(B353,[1]물질정보!B:F,5,0)</f>
        <v>100.12 g/mol</v>
      </c>
      <c r="G353" s="5" t="str">
        <f>VLOOKUP(B353,[1]물질정보!B:G,6,0)</f>
        <v>CCOC(=O)C=C</v>
      </c>
      <c r="H353" t="s">
        <v>79</v>
      </c>
      <c r="I353" t="s">
        <v>88</v>
      </c>
      <c r="J353" t="s">
        <v>89</v>
      </c>
      <c r="K353" t="s">
        <v>90</v>
      </c>
      <c r="L353" t="s">
        <v>29</v>
      </c>
      <c r="M353" t="s">
        <v>91</v>
      </c>
      <c r="N353" t="s">
        <v>29</v>
      </c>
      <c r="O353" t="s">
        <v>29</v>
      </c>
      <c r="P353" t="s">
        <v>29</v>
      </c>
      <c r="Q353" t="s">
        <v>29</v>
      </c>
      <c r="R353" t="s">
        <v>32</v>
      </c>
      <c r="S353" t="s">
        <v>29</v>
      </c>
      <c r="T353" t="s">
        <v>40</v>
      </c>
      <c r="U353" t="s">
        <v>92</v>
      </c>
      <c r="V353" s="6" t="s">
        <v>35</v>
      </c>
      <c r="W353" t="s">
        <v>93</v>
      </c>
      <c r="X353" t="s">
        <v>29</v>
      </c>
      <c r="Y353" s="6" t="s">
        <v>89</v>
      </c>
    </row>
    <row r="354" spans="2:25" x14ac:dyDescent="0.3">
      <c r="B354" s="5" t="s">
        <v>77</v>
      </c>
      <c r="C354" s="5" t="str">
        <f>VLOOKUP(B354,[1]물질정보!B:C,2,0)</f>
        <v>140-88-5</v>
      </c>
      <c r="D354" t="str">
        <f>VLOOKUP(B354,[1]물질정보!B:D,3,0)</f>
        <v>ethyl acrylate</v>
      </c>
      <c r="E354" t="str">
        <f>VLOOKUP(B354,[1]물질정보!B:E,4,0)</f>
        <v>C5H8O2</v>
      </c>
      <c r="F354" t="str">
        <f>VLOOKUP(B354,[1]물질정보!B:F,5,0)</f>
        <v>100.12 g/mol</v>
      </c>
      <c r="G354" s="5" t="str">
        <f>VLOOKUP(B354,[1]물질정보!B:G,6,0)</f>
        <v>CCOC(=O)C=C</v>
      </c>
      <c r="H354" t="s">
        <v>79</v>
      </c>
      <c r="I354" t="s">
        <v>88</v>
      </c>
      <c r="J354" t="s">
        <v>89</v>
      </c>
      <c r="K354" t="s">
        <v>90</v>
      </c>
      <c r="L354" t="s">
        <v>29</v>
      </c>
      <c r="M354" t="s">
        <v>91</v>
      </c>
      <c r="N354" t="s">
        <v>29</v>
      </c>
      <c r="O354" t="s">
        <v>29</v>
      </c>
      <c r="P354" t="s">
        <v>29</v>
      </c>
      <c r="Q354" t="s">
        <v>29</v>
      </c>
      <c r="R354" t="s">
        <v>32</v>
      </c>
      <c r="S354" t="s">
        <v>29</v>
      </c>
      <c r="T354" t="s">
        <v>40</v>
      </c>
      <c r="U354" t="s">
        <v>94</v>
      </c>
      <c r="V354" s="6" t="s">
        <v>35</v>
      </c>
      <c r="W354" t="s">
        <v>93</v>
      </c>
      <c r="X354" t="s">
        <v>29</v>
      </c>
      <c r="Y354" s="6" t="s">
        <v>89</v>
      </c>
    </row>
    <row r="355" spans="2:25" x14ac:dyDescent="0.3">
      <c r="B355" s="5" t="s">
        <v>77</v>
      </c>
      <c r="C355" s="5" t="str">
        <f>VLOOKUP(B355,[1]물질정보!B:C,2,0)</f>
        <v>140-88-5</v>
      </c>
      <c r="D355" t="str">
        <f>VLOOKUP(B355,[1]물질정보!B:D,3,0)</f>
        <v>ethyl acrylate</v>
      </c>
      <c r="E355" t="str">
        <f>VLOOKUP(B355,[1]물질정보!B:E,4,0)</f>
        <v>C5H8O2</v>
      </c>
      <c r="F355" t="str">
        <f>VLOOKUP(B355,[1]물질정보!B:F,5,0)</f>
        <v>100.12 g/mol</v>
      </c>
      <c r="G355" s="5" t="str">
        <f>VLOOKUP(B355,[1]물질정보!B:G,6,0)</f>
        <v>CCOC(=O)C=C</v>
      </c>
      <c r="H355" t="s">
        <v>79</v>
      </c>
      <c r="I355" t="s">
        <v>88</v>
      </c>
      <c r="J355" t="s">
        <v>89</v>
      </c>
      <c r="K355" t="s">
        <v>90</v>
      </c>
      <c r="L355" t="s">
        <v>29</v>
      </c>
      <c r="M355" t="s">
        <v>91</v>
      </c>
      <c r="N355" t="s">
        <v>29</v>
      </c>
      <c r="O355" t="s">
        <v>29</v>
      </c>
      <c r="P355" t="s">
        <v>29</v>
      </c>
      <c r="Q355" t="s">
        <v>29</v>
      </c>
      <c r="R355" t="s">
        <v>32</v>
      </c>
      <c r="S355" t="s">
        <v>29</v>
      </c>
      <c r="T355" t="s">
        <v>40</v>
      </c>
      <c r="U355" t="s">
        <v>95</v>
      </c>
      <c r="V355" s="6" t="s">
        <v>35</v>
      </c>
      <c r="W355" t="s">
        <v>93</v>
      </c>
      <c r="X355" t="s">
        <v>29</v>
      </c>
      <c r="Y355" s="6" t="s">
        <v>89</v>
      </c>
    </row>
    <row r="356" spans="2:25" x14ac:dyDescent="0.3">
      <c r="B356" s="5" t="s">
        <v>77</v>
      </c>
      <c r="C356" s="5" t="str">
        <f>VLOOKUP(B356,[1]물질정보!B:C,2,0)</f>
        <v>140-88-5</v>
      </c>
      <c r="D356" t="str">
        <f>VLOOKUP(B356,[1]물질정보!B:D,3,0)</f>
        <v>ethyl acrylate</v>
      </c>
      <c r="E356" t="str">
        <f>VLOOKUP(B356,[1]물질정보!B:E,4,0)</f>
        <v>C5H8O2</v>
      </c>
      <c r="F356" t="str">
        <f>VLOOKUP(B356,[1]물질정보!B:F,5,0)</f>
        <v>100.12 g/mol</v>
      </c>
      <c r="G356" s="5" t="str">
        <f>VLOOKUP(B356,[1]물질정보!B:G,6,0)</f>
        <v>CCOC(=O)C=C</v>
      </c>
      <c r="H356" t="s">
        <v>79</v>
      </c>
      <c r="I356" t="s">
        <v>88</v>
      </c>
      <c r="J356" t="s">
        <v>89</v>
      </c>
      <c r="K356" t="s">
        <v>90</v>
      </c>
      <c r="L356" t="s">
        <v>29</v>
      </c>
      <c r="M356" t="s">
        <v>91</v>
      </c>
      <c r="N356" t="s">
        <v>29</v>
      </c>
      <c r="O356" t="s">
        <v>29</v>
      </c>
      <c r="P356" t="s">
        <v>29</v>
      </c>
      <c r="Q356" t="s">
        <v>29</v>
      </c>
      <c r="R356" t="s">
        <v>32</v>
      </c>
      <c r="S356" t="s">
        <v>29</v>
      </c>
      <c r="T356" t="s">
        <v>40</v>
      </c>
      <c r="U356" t="s">
        <v>96</v>
      </c>
      <c r="V356" s="6" t="s">
        <v>35</v>
      </c>
      <c r="W356" t="s">
        <v>93</v>
      </c>
      <c r="X356" t="s">
        <v>29</v>
      </c>
      <c r="Y356" s="6" t="s">
        <v>89</v>
      </c>
    </row>
    <row r="357" spans="2:25" x14ac:dyDescent="0.3">
      <c r="B357" s="5" t="s">
        <v>77</v>
      </c>
      <c r="C357" s="5" t="str">
        <f>VLOOKUP(B357,[1]물질정보!B:C,2,0)</f>
        <v>140-88-5</v>
      </c>
      <c r="D357" t="str">
        <f>VLOOKUP(B357,[1]물질정보!B:D,3,0)</f>
        <v>ethyl acrylate</v>
      </c>
      <c r="E357" t="str">
        <f>VLOOKUP(B357,[1]물질정보!B:E,4,0)</f>
        <v>C5H8O2</v>
      </c>
      <c r="F357" t="str">
        <f>VLOOKUP(B357,[1]물질정보!B:F,5,0)</f>
        <v>100.12 g/mol</v>
      </c>
      <c r="G357" s="5" t="str">
        <f>VLOOKUP(B357,[1]물질정보!B:G,6,0)</f>
        <v>CCOC(=O)C=C</v>
      </c>
      <c r="H357" t="s">
        <v>79</v>
      </c>
      <c r="I357" t="s">
        <v>97</v>
      </c>
      <c r="J357" t="s">
        <v>98</v>
      </c>
      <c r="K357" t="s">
        <v>99</v>
      </c>
      <c r="L357" t="s">
        <v>29</v>
      </c>
      <c r="M357" t="s">
        <v>100</v>
      </c>
      <c r="N357" t="s">
        <v>101</v>
      </c>
      <c r="O357" t="s">
        <v>29</v>
      </c>
      <c r="P357" t="s">
        <v>29</v>
      </c>
      <c r="Q357" t="s">
        <v>29</v>
      </c>
      <c r="R357" t="s">
        <v>32</v>
      </c>
      <c r="S357" t="s">
        <v>29</v>
      </c>
      <c r="T357" t="s">
        <v>40</v>
      </c>
      <c r="U357" t="s">
        <v>102</v>
      </c>
      <c r="V357" s="6" t="s">
        <v>35</v>
      </c>
      <c r="W357" t="s">
        <v>101</v>
      </c>
      <c r="X357" t="s">
        <v>29</v>
      </c>
      <c r="Y357" s="6" t="s">
        <v>98</v>
      </c>
    </row>
    <row r="358" spans="2:25" x14ac:dyDescent="0.3">
      <c r="B358" s="5" t="s">
        <v>77</v>
      </c>
      <c r="C358" s="5" t="str">
        <f>VLOOKUP(B358,[1]물질정보!B:C,2,0)</f>
        <v>140-88-5</v>
      </c>
      <c r="D358" t="str">
        <f>VLOOKUP(B358,[1]물질정보!B:D,3,0)</f>
        <v>ethyl acrylate</v>
      </c>
      <c r="E358" t="str">
        <f>VLOOKUP(B358,[1]물질정보!B:E,4,0)</f>
        <v>C5H8O2</v>
      </c>
      <c r="F358" t="str">
        <f>VLOOKUP(B358,[1]물질정보!B:F,5,0)</f>
        <v>100.12 g/mol</v>
      </c>
      <c r="G358" s="5" t="str">
        <f>VLOOKUP(B358,[1]물질정보!B:G,6,0)</f>
        <v>CCOC(=O)C=C</v>
      </c>
      <c r="H358" t="s">
        <v>79</v>
      </c>
      <c r="I358" t="s">
        <v>97</v>
      </c>
      <c r="J358" t="s">
        <v>98</v>
      </c>
      <c r="K358" t="s">
        <v>99</v>
      </c>
      <c r="L358" t="s">
        <v>29</v>
      </c>
      <c r="M358" t="s">
        <v>100</v>
      </c>
      <c r="N358" t="s">
        <v>101</v>
      </c>
      <c r="O358" t="s">
        <v>29</v>
      </c>
      <c r="P358" t="s">
        <v>29</v>
      </c>
      <c r="Q358" t="s">
        <v>29</v>
      </c>
      <c r="R358" t="s">
        <v>32</v>
      </c>
      <c r="S358" t="s">
        <v>29</v>
      </c>
      <c r="T358" t="s">
        <v>40</v>
      </c>
      <c r="U358" t="s">
        <v>103</v>
      </c>
      <c r="V358" s="6" t="s">
        <v>35</v>
      </c>
      <c r="W358" t="s">
        <v>101</v>
      </c>
      <c r="X358" t="s">
        <v>29</v>
      </c>
      <c r="Y358" s="6" t="s">
        <v>98</v>
      </c>
    </row>
    <row r="359" spans="2:25" x14ac:dyDescent="0.3">
      <c r="B359" s="5" t="s">
        <v>77</v>
      </c>
      <c r="C359" s="5" t="str">
        <f>VLOOKUP(B359,[1]물질정보!B:C,2,0)</f>
        <v>140-88-5</v>
      </c>
      <c r="D359" t="str">
        <f>VLOOKUP(B359,[1]물질정보!B:D,3,0)</f>
        <v>ethyl acrylate</v>
      </c>
      <c r="E359" t="str">
        <f>VLOOKUP(B359,[1]물질정보!B:E,4,0)</f>
        <v>C5H8O2</v>
      </c>
      <c r="F359" t="str">
        <f>VLOOKUP(B359,[1]물질정보!B:F,5,0)</f>
        <v>100.12 g/mol</v>
      </c>
      <c r="G359" s="5" t="str">
        <f>VLOOKUP(B359,[1]물질정보!B:G,6,0)</f>
        <v>CCOC(=O)C=C</v>
      </c>
      <c r="H359" t="s">
        <v>79</v>
      </c>
      <c r="I359" t="s">
        <v>97</v>
      </c>
      <c r="J359" t="s">
        <v>98</v>
      </c>
      <c r="K359" t="s">
        <v>99</v>
      </c>
      <c r="L359" t="s">
        <v>29</v>
      </c>
      <c r="M359" t="s">
        <v>100</v>
      </c>
      <c r="N359" t="s">
        <v>101</v>
      </c>
      <c r="O359" t="s">
        <v>29</v>
      </c>
      <c r="P359" t="s">
        <v>29</v>
      </c>
      <c r="Q359" t="s">
        <v>29</v>
      </c>
      <c r="R359" t="s">
        <v>32</v>
      </c>
      <c r="S359" t="s">
        <v>29</v>
      </c>
      <c r="T359" t="s">
        <v>40</v>
      </c>
      <c r="U359" t="s">
        <v>104</v>
      </c>
      <c r="V359" s="6" t="s">
        <v>35</v>
      </c>
      <c r="W359" t="s">
        <v>101</v>
      </c>
      <c r="X359" t="s">
        <v>29</v>
      </c>
      <c r="Y359" s="6" t="s">
        <v>98</v>
      </c>
    </row>
    <row r="360" spans="2:25" x14ac:dyDescent="0.3">
      <c r="B360" s="5" t="s">
        <v>77</v>
      </c>
      <c r="C360" s="5" t="str">
        <f>VLOOKUP(B360,[1]물질정보!B:C,2,0)</f>
        <v>140-88-5</v>
      </c>
      <c r="D360" t="str">
        <f>VLOOKUP(B360,[1]물질정보!B:D,3,0)</f>
        <v>ethyl acrylate</v>
      </c>
      <c r="E360" t="str">
        <f>VLOOKUP(B360,[1]물질정보!B:E,4,0)</f>
        <v>C5H8O2</v>
      </c>
      <c r="F360" t="str">
        <f>VLOOKUP(B360,[1]물질정보!B:F,5,0)</f>
        <v>100.12 g/mol</v>
      </c>
      <c r="G360" s="5" t="str">
        <f>VLOOKUP(B360,[1]물질정보!B:G,6,0)</f>
        <v>CCOC(=O)C=C</v>
      </c>
      <c r="H360" t="s">
        <v>79</v>
      </c>
      <c r="I360" t="s">
        <v>97</v>
      </c>
      <c r="J360" t="s">
        <v>98</v>
      </c>
      <c r="K360" t="s">
        <v>29</v>
      </c>
      <c r="L360" t="s">
        <v>29</v>
      </c>
      <c r="M360" t="s">
        <v>100</v>
      </c>
      <c r="N360" t="s">
        <v>101</v>
      </c>
      <c r="O360" t="s">
        <v>29</v>
      </c>
      <c r="P360" t="s">
        <v>29</v>
      </c>
      <c r="Q360" t="s">
        <v>29</v>
      </c>
      <c r="R360" t="s">
        <v>32</v>
      </c>
      <c r="S360" t="s">
        <v>29</v>
      </c>
      <c r="T360" t="s">
        <v>66</v>
      </c>
      <c r="U360" t="s">
        <v>105</v>
      </c>
      <c r="V360" s="6" t="s">
        <v>35</v>
      </c>
      <c r="W360" t="s">
        <v>101</v>
      </c>
      <c r="X360" t="s">
        <v>29</v>
      </c>
      <c r="Y360" s="6" t="s">
        <v>98</v>
      </c>
    </row>
    <row r="361" spans="2:25" x14ac:dyDescent="0.3">
      <c r="B361" s="5" t="s">
        <v>77</v>
      </c>
      <c r="C361" s="5" t="str">
        <f>VLOOKUP(B361,[1]물질정보!B:C,2,0)</f>
        <v>140-88-5</v>
      </c>
      <c r="D361" t="str">
        <f>VLOOKUP(B361,[1]물질정보!B:D,3,0)</f>
        <v>ethyl acrylate</v>
      </c>
      <c r="E361" t="str">
        <f>VLOOKUP(B361,[1]물질정보!B:E,4,0)</f>
        <v>C5H8O2</v>
      </c>
      <c r="F361" t="str">
        <f>VLOOKUP(B361,[1]물질정보!B:F,5,0)</f>
        <v>100.12 g/mol</v>
      </c>
      <c r="G361" s="5" t="str">
        <f>VLOOKUP(B361,[1]물질정보!B:G,6,0)</f>
        <v>CCOC(=O)C=C</v>
      </c>
      <c r="H361" t="s">
        <v>79</v>
      </c>
      <c r="I361" t="s">
        <v>97</v>
      </c>
      <c r="J361" t="s">
        <v>98</v>
      </c>
      <c r="K361" t="s">
        <v>99</v>
      </c>
      <c r="L361" t="s">
        <v>29</v>
      </c>
      <c r="M361" t="s">
        <v>100</v>
      </c>
      <c r="N361" t="s">
        <v>106</v>
      </c>
      <c r="O361" t="s">
        <v>29</v>
      </c>
      <c r="P361" t="s">
        <v>29</v>
      </c>
      <c r="Q361" t="s">
        <v>29</v>
      </c>
      <c r="R361" t="s">
        <v>32</v>
      </c>
      <c r="S361" t="s">
        <v>29</v>
      </c>
      <c r="T361" t="s">
        <v>40</v>
      </c>
      <c r="U361" t="s">
        <v>107</v>
      </c>
      <c r="V361" s="6" t="s">
        <v>35</v>
      </c>
      <c r="W361" t="s">
        <v>106</v>
      </c>
      <c r="X361" t="s">
        <v>29</v>
      </c>
      <c r="Y361" s="6" t="s">
        <v>98</v>
      </c>
    </row>
    <row r="362" spans="2:25" x14ac:dyDescent="0.3">
      <c r="B362" s="5" t="s">
        <v>77</v>
      </c>
      <c r="C362" s="5" t="str">
        <f>VLOOKUP(B362,[1]물질정보!B:C,2,0)</f>
        <v>140-88-5</v>
      </c>
      <c r="D362" t="str">
        <f>VLOOKUP(B362,[1]물질정보!B:D,3,0)</f>
        <v>ethyl acrylate</v>
      </c>
      <c r="E362" t="str">
        <f>VLOOKUP(B362,[1]물질정보!B:E,4,0)</f>
        <v>C5H8O2</v>
      </c>
      <c r="F362" t="str">
        <f>VLOOKUP(B362,[1]물질정보!B:F,5,0)</f>
        <v>100.12 g/mol</v>
      </c>
      <c r="G362" s="5" t="str">
        <f>VLOOKUP(B362,[1]물질정보!B:G,6,0)</f>
        <v>CCOC(=O)C=C</v>
      </c>
      <c r="H362" t="s">
        <v>79</v>
      </c>
      <c r="I362" t="s">
        <v>97</v>
      </c>
      <c r="J362" t="s">
        <v>98</v>
      </c>
      <c r="K362" t="s">
        <v>99</v>
      </c>
      <c r="L362" t="s">
        <v>29</v>
      </c>
      <c r="M362" t="s">
        <v>100</v>
      </c>
      <c r="N362" t="s">
        <v>106</v>
      </c>
      <c r="O362" t="s">
        <v>29</v>
      </c>
      <c r="P362" t="s">
        <v>29</v>
      </c>
      <c r="Q362" t="s">
        <v>29</v>
      </c>
      <c r="R362" t="s">
        <v>32</v>
      </c>
      <c r="S362" t="s">
        <v>29</v>
      </c>
      <c r="T362" t="s">
        <v>40</v>
      </c>
      <c r="U362" t="s">
        <v>108</v>
      </c>
      <c r="V362" s="6" t="s">
        <v>35</v>
      </c>
      <c r="W362" t="s">
        <v>106</v>
      </c>
      <c r="X362" t="s">
        <v>29</v>
      </c>
      <c r="Y362" s="6" t="s">
        <v>98</v>
      </c>
    </row>
    <row r="363" spans="2:25" x14ac:dyDescent="0.3">
      <c r="B363" s="5" t="s">
        <v>77</v>
      </c>
      <c r="C363" s="5" t="str">
        <f>VLOOKUP(B363,[1]물질정보!B:C,2,0)</f>
        <v>140-88-5</v>
      </c>
      <c r="D363" t="str">
        <f>VLOOKUP(B363,[1]물질정보!B:D,3,0)</f>
        <v>ethyl acrylate</v>
      </c>
      <c r="E363" t="str">
        <f>VLOOKUP(B363,[1]물질정보!B:E,4,0)</f>
        <v>C5H8O2</v>
      </c>
      <c r="F363" t="str">
        <f>VLOOKUP(B363,[1]물질정보!B:F,5,0)</f>
        <v>100.12 g/mol</v>
      </c>
      <c r="G363" s="5" t="str">
        <f>VLOOKUP(B363,[1]물질정보!B:G,6,0)</f>
        <v>CCOC(=O)C=C</v>
      </c>
      <c r="H363" t="s">
        <v>79</v>
      </c>
      <c r="I363" t="s">
        <v>97</v>
      </c>
      <c r="J363" t="s">
        <v>98</v>
      </c>
      <c r="K363" t="s">
        <v>99</v>
      </c>
      <c r="L363" t="s">
        <v>29</v>
      </c>
      <c r="M363" t="s">
        <v>100</v>
      </c>
      <c r="N363" t="s">
        <v>106</v>
      </c>
      <c r="O363" t="s">
        <v>29</v>
      </c>
      <c r="P363" t="s">
        <v>29</v>
      </c>
      <c r="Q363" t="s">
        <v>29</v>
      </c>
      <c r="R363" t="s">
        <v>32</v>
      </c>
      <c r="S363" t="s">
        <v>29</v>
      </c>
      <c r="T363" t="s">
        <v>40</v>
      </c>
      <c r="U363" t="s">
        <v>109</v>
      </c>
      <c r="V363" s="6" t="s">
        <v>35</v>
      </c>
      <c r="W363" t="s">
        <v>106</v>
      </c>
      <c r="X363" t="s">
        <v>29</v>
      </c>
      <c r="Y363" s="6" t="s">
        <v>98</v>
      </c>
    </row>
    <row r="364" spans="2:25" x14ac:dyDescent="0.3">
      <c r="B364" s="5" t="s">
        <v>77</v>
      </c>
      <c r="C364" s="5" t="str">
        <f>VLOOKUP(B364,[1]물질정보!B:C,2,0)</f>
        <v>140-88-5</v>
      </c>
      <c r="D364" t="str">
        <f>VLOOKUP(B364,[1]물질정보!B:D,3,0)</f>
        <v>ethyl acrylate</v>
      </c>
      <c r="E364" t="str">
        <f>VLOOKUP(B364,[1]물질정보!B:E,4,0)</f>
        <v>C5H8O2</v>
      </c>
      <c r="F364" t="str">
        <f>VLOOKUP(B364,[1]물질정보!B:F,5,0)</f>
        <v>100.12 g/mol</v>
      </c>
      <c r="G364" s="5" t="str">
        <f>VLOOKUP(B364,[1]물질정보!B:G,6,0)</f>
        <v>CCOC(=O)C=C</v>
      </c>
      <c r="H364" t="s">
        <v>79</v>
      </c>
      <c r="I364" t="s">
        <v>97</v>
      </c>
      <c r="J364" t="s">
        <v>98</v>
      </c>
      <c r="K364" t="s">
        <v>99</v>
      </c>
      <c r="L364" t="s">
        <v>29</v>
      </c>
      <c r="M364" t="s">
        <v>100</v>
      </c>
      <c r="N364" t="s">
        <v>106</v>
      </c>
      <c r="O364" t="s">
        <v>29</v>
      </c>
      <c r="P364" t="s">
        <v>29</v>
      </c>
      <c r="Q364" t="s">
        <v>29</v>
      </c>
      <c r="R364" t="s">
        <v>32</v>
      </c>
      <c r="S364" t="s">
        <v>29</v>
      </c>
      <c r="T364" t="s">
        <v>40</v>
      </c>
      <c r="U364" t="s">
        <v>110</v>
      </c>
      <c r="V364" s="6" t="s">
        <v>35</v>
      </c>
      <c r="W364" t="s">
        <v>106</v>
      </c>
      <c r="X364" t="s">
        <v>29</v>
      </c>
      <c r="Y364" s="6" t="s">
        <v>98</v>
      </c>
    </row>
    <row r="365" spans="2:25" x14ac:dyDescent="0.3">
      <c r="B365" s="5" t="s">
        <v>77</v>
      </c>
      <c r="C365" s="5" t="str">
        <f>VLOOKUP(B365,[1]물질정보!B:C,2,0)</f>
        <v>140-88-5</v>
      </c>
      <c r="D365" t="str">
        <f>VLOOKUP(B365,[1]물질정보!B:D,3,0)</f>
        <v>ethyl acrylate</v>
      </c>
      <c r="E365" t="str">
        <f>VLOOKUP(B365,[1]물질정보!B:E,4,0)</f>
        <v>C5H8O2</v>
      </c>
      <c r="F365" t="str">
        <f>VLOOKUP(B365,[1]물질정보!B:F,5,0)</f>
        <v>100.12 g/mol</v>
      </c>
      <c r="G365" s="5" t="str">
        <f>VLOOKUP(B365,[1]물질정보!B:G,6,0)</f>
        <v>CCOC(=O)C=C</v>
      </c>
      <c r="H365" t="s">
        <v>79</v>
      </c>
      <c r="I365" t="s">
        <v>111</v>
      </c>
      <c r="J365" t="s">
        <v>824</v>
      </c>
      <c r="K365" t="s">
        <v>90</v>
      </c>
      <c r="L365" t="s">
        <v>29</v>
      </c>
      <c r="M365" t="s">
        <v>122</v>
      </c>
      <c r="N365" t="s">
        <v>29</v>
      </c>
      <c r="O365" t="s">
        <v>29</v>
      </c>
      <c r="P365" t="s">
        <v>29</v>
      </c>
      <c r="Q365" t="s">
        <v>29</v>
      </c>
      <c r="R365" t="s">
        <v>32</v>
      </c>
      <c r="S365" t="s">
        <v>29</v>
      </c>
      <c r="T365" t="s">
        <v>40</v>
      </c>
      <c r="U365" t="s">
        <v>121</v>
      </c>
      <c r="V365" s="6" t="s">
        <v>35</v>
      </c>
      <c r="W365" t="s">
        <v>112</v>
      </c>
      <c r="X365" t="s">
        <v>29</v>
      </c>
      <c r="Y365" s="6" t="s">
        <v>753</v>
      </c>
    </row>
    <row r="366" spans="2:25" x14ac:dyDescent="0.3">
      <c r="B366" s="5" t="s">
        <v>77</v>
      </c>
      <c r="C366" s="5" t="str">
        <f>VLOOKUP(B366,[1]물질정보!B:C,2,0)</f>
        <v>140-88-5</v>
      </c>
      <c r="D366" t="str">
        <f>VLOOKUP(B366,[1]물질정보!B:D,3,0)</f>
        <v>ethyl acrylate</v>
      </c>
      <c r="E366" t="str">
        <f>VLOOKUP(B366,[1]물질정보!B:E,4,0)</f>
        <v>C5H8O2</v>
      </c>
      <c r="F366" t="str">
        <f>VLOOKUP(B366,[1]물질정보!B:F,5,0)</f>
        <v>100.12 g/mol</v>
      </c>
      <c r="G366" s="5" t="str">
        <f>VLOOKUP(B366,[1]물질정보!B:G,6,0)</f>
        <v>CCOC(=O)C=C</v>
      </c>
      <c r="H366" t="s">
        <v>79</v>
      </c>
      <c r="I366" t="s">
        <v>111</v>
      </c>
      <c r="J366" t="s">
        <v>824</v>
      </c>
      <c r="K366" t="s">
        <v>90</v>
      </c>
      <c r="L366" t="s">
        <v>29</v>
      </c>
      <c r="M366" t="s">
        <v>122</v>
      </c>
      <c r="N366" t="s">
        <v>29</v>
      </c>
      <c r="O366" t="s">
        <v>29</v>
      </c>
      <c r="P366" t="s">
        <v>29</v>
      </c>
      <c r="Q366" t="s">
        <v>29</v>
      </c>
      <c r="R366" t="s">
        <v>32</v>
      </c>
      <c r="S366" t="s">
        <v>29</v>
      </c>
      <c r="T366" t="s">
        <v>40</v>
      </c>
      <c r="U366" t="s">
        <v>114</v>
      </c>
      <c r="V366" s="6" t="s">
        <v>35</v>
      </c>
      <c r="W366" t="s">
        <v>112</v>
      </c>
      <c r="X366" t="s">
        <v>29</v>
      </c>
      <c r="Y366" s="6" t="s">
        <v>753</v>
      </c>
    </row>
    <row r="367" spans="2:25" x14ac:dyDescent="0.3">
      <c r="B367" s="5" t="s">
        <v>77</v>
      </c>
      <c r="C367" s="5" t="str">
        <f>VLOOKUP(B367,[1]물질정보!B:C,2,0)</f>
        <v>140-88-5</v>
      </c>
      <c r="D367" t="str">
        <f>VLOOKUP(B367,[1]물질정보!B:D,3,0)</f>
        <v>ethyl acrylate</v>
      </c>
      <c r="E367" t="str">
        <f>VLOOKUP(B367,[1]물질정보!B:E,4,0)</f>
        <v>C5H8O2</v>
      </c>
      <c r="F367" t="str">
        <f>VLOOKUP(B367,[1]물질정보!B:F,5,0)</f>
        <v>100.12 g/mol</v>
      </c>
      <c r="G367" s="5" t="str">
        <f>VLOOKUP(B367,[1]물질정보!B:G,6,0)</f>
        <v>CCOC(=O)C=C</v>
      </c>
      <c r="H367" t="s">
        <v>79</v>
      </c>
      <c r="I367" t="s">
        <v>111</v>
      </c>
      <c r="J367" t="s">
        <v>824</v>
      </c>
      <c r="K367" t="s">
        <v>29</v>
      </c>
      <c r="L367" t="s">
        <v>29</v>
      </c>
      <c r="M367" t="s">
        <v>122</v>
      </c>
      <c r="N367" t="s">
        <v>29</v>
      </c>
      <c r="O367" t="s">
        <v>29</v>
      </c>
      <c r="P367" t="s">
        <v>29</v>
      </c>
      <c r="Q367" t="s">
        <v>29</v>
      </c>
      <c r="R367" t="s">
        <v>32</v>
      </c>
      <c r="S367" t="s">
        <v>29</v>
      </c>
      <c r="T367" t="s">
        <v>66</v>
      </c>
      <c r="U367" t="s">
        <v>115</v>
      </c>
      <c r="V367" s="6" t="s">
        <v>35</v>
      </c>
      <c r="W367" t="s">
        <v>112</v>
      </c>
      <c r="X367" t="s">
        <v>29</v>
      </c>
      <c r="Y367" s="6" t="s">
        <v>753</v>
      </c>
    </row>
    <row r="368" spans="2:25" x14ac:dyDescent="0.3">
      <c r="B368" s="5" t="s">
        <v>77</v>
      </c>
      <c r="C368" s="5" t="str">
        <f>VLOOKUP(B368,[1]물질정보!B:C,2,0)</f>
        <v>140-88-5</v>
      </c>
      <c r="D368" t="str">
        <f>VLOOKUP(B368,[1]물질정보!B:D,3,0)</f>
        <v>ethyl acrylate</v>
      </c>
      <c r="E368" t="str">
        <f>VLOOKUP(B368,[1]물질정보!B:E,4,0)</f>
        <v>C5H8O2</v>
      </c>
      <c r="F368" t="str">
        <f>VLOOKUP(B368,[1]물질정보!B:F,5,0)</f>
        <v>100.12 g/mol</v>
      </c>
      <c r="G368" s="5" t="str">
        <f>VLOOKUP(B368,[1]물질정보!B:G,6,0)</f>
        <v>CCOC(=O)C=C</v>
      </c>
      <c r="H368" t="s">
        <v>79</v>
      </c>
      <c r="I368" t="s">
        <v>111</v>
      </c>
      <c r="J368" t="s">
        <v>824</v>
      </c>
      <c r="K368" t="s">
        <v>90</v>
      </c>
      <c r="L368" t="s">
        <v>29</v>
      </c>
      <c r="M368" t="s">
        <v>122</v>
      </c>
      <c r="N368" t="s">
        <v>29</v>
      </c>
      <c r="O368" t="s">
        <v>29</v>
      </c>
      <c r="P368" t="s">
        <v>29</v>
      </c>
      <c r="Q368" t="s">
        <v>29</v>
      </c>
      <c r="R368" t="s">
        <v>32</v>
      </c>
      <c r="S368" t="s">
        <v>29</v>
      </c>
      <c r="T368" t="s">
        <v>40</v>
      </c>
      <c r="U368" t="s">
        <v>116</v>
      </c>
      <c r="V368" s="6" t="s">
        <v>35</v>
      </c>
      <c r="W368" t="s">
        <v>112</v>
      </c>
      <c r="X368" t="s">
        <v>29</v>
      </c>
      <c r="Y368" s="6" t="s">
        <v>753</v>
      </c>
    </row>
    <row r="369" spans="2:25" x14ac:dyDescent="0.3">
      <c r="B369" s="5" t="s">
        <v>77</v>
      </c>
      <c r="C369" s="5" t="str">
        <f>VLOOKUP(B369,[1]물질정보!B:C,2,0)</f>
        <v>140-88-5</v>
      </c>
      <c r="D369" t="str">
        <f>VLOOKUP(B369,[1]물질정보!B:D,3,0)</f>
        <v>ethyl acrylate</v>
      </c>
      <c r="E369" t="str">
        <f>VLOOKUP(B369,[1]물질정보!B:E,4,0)</f>
        <v>C5H8O2</v>
      </c>
      <c r="F369" t="str">
        <f>VLOOKUP(B369,[1]물질정보!B:F,5,0)</f>
        <v>100.12 g/mol</v>
      </c>
      <c r="G369" s="5" t="str">
        <f>VLOOKUP(B369,[1]물질정보!B:G,6,0)</f>
        <v>CCOC(=O)C=C</v>
      </c>
      <c r="H369" t="s">
        <v>79</v>
      </c>
      <c r="I369" t="s">
        <v>685</v>
      </c>
      <c r="J369" t="s">
        <v>117</v>
      </c>
      <c r="K369" t="s">
        <v>118</v>
      </c>
      <c r="L369" t="s">
        <v>29</v>
      </c>
      <c r="M369" t="s">
        <v>29</v>
      </c>
      <c r="N369" t="s">
        <v>29</v>
      </c>
      <c r="O369" t="s">
        <v>29</v>
      </c>
      <c r="P369" t="s">
        <v>29</v>
      </c>
      <c r="Q369" t="s">
        <v>29</v>
      </c>
      <c r="R369" t="s">
        <v>32</v>
      </c>
      <c r="S369" t="s">
        <v>29</v>
      </c>
      <c r="T369" t="s">
        <v>29</v>
      </c>
      <c r="U369" t="s">
        <v>119</v>
      </c>
      <c r="V369" s="6" t="s">
        <v>35</v>
      </c>
      <c r="W369" t="s">
        <v>120</v>
      </c>
      <c r="X369" t="s">
        <v>29</v>
      </c>
      <c r="Y369" s="6" t="s">
        <v>117</v>
      </c>
    </row>
    <row r="370" spans="2:25" x14ac:dyDescent="0.3">
      <c r="B370" s="5" t="s">
        <v>125</v>
      </c>
      <c r="C370" s="5" t="str">
        <f>VLOOKUP(B370,[1]물질정보!B:C,2,0)</f>
        <v>-</v>
      </c>
      <c r="D370" t="str">
        <f>VLOOKUP(B370,[1]물질정보!B:D,3,0)</f>
        <v xml:space="preserve">9-(9H-Carbazol-9-yl)-7H-benzo[c]carbazole </v>
      </c>
      <c r="E370" t="str">
        <f>VLOOKUP(B370,[1]물질정보!B:E,4,0)</f>
        <v>C28H18N2</v>
      </c>
      <c r="F370" t="str">
        <f>VLOOKUP(B370,[1]물질정보!B:F,5,0)</f>
        <v>382.5 g/mol</v>
      </c>
      <c r="G370" s="5" t="str">
        <f>VLOOKUP(B370,[1]물질정보!B:G,6,0)</f>
        <v>C1=CC=C2C(=C1)C=CC3=C2C4=C(N3)C=C(C=C4)N5C6=CC=CC=C6C7=CC=CC=C75</v>
      </c>
      <c r="H370" t="s">
        <v>79</v>
      </c>
      <c r="I370" t="s">
        <v>685</v>
      </c>
      <c r="J370" t="s">
        <v>117</v>
      </c>
      <c r="K370" t="s">
        <v>126</v>
      </c>
      <c r="L370" t="s">
        <v>29</v>
      </c>
      <c r="M370" t="s">
        <v>29</v>
      </c>
      <c r="N370" t="s">
        <v>29</v>
      </c>
      <c r="O370" t="s">
        <v>29</v>
      </c>
      <c r="P370" t="s">
        <v>29</v>
      </c>
      <c r="Q370" t="s">
        <v>29</v>
      </c>
      <c r="R370" t="s">
        <v>32</v>
      </c>
      <c r="S370" t="s">
        <v>29</v>
      </c>
      <c r="T370" t="s">
        <v>29</v>
      </c>
      <c r="U370" t="s">
        <v>119</v>
      </c>
      <c r="V370" s="6" t="s">
        <v>35</v>
      </c>
      <c r="W370" t="s">
        <v>120</v>
      </c>
      <c r="X370" t="s">
        <v>29</v>
      </c>
      <c r="Y370" s="6" t="s">
        <v>117</v>
      </c>
    </row>
    <row r="371" spans="2:25" x14ac:dyDescent="0.3">
      <c r="B371" s="5" t="s">
        <v>125</v>
      </c>
      <c r="C371" s="5" t="str">
        <f>VLOOKUP(B371,[1]물질정보!B:C,2,0)</f>
        <v>-</v>
      </c>
      <c r="D371" t="str">
        <f>VLOOKUP(B371,[1]물질정보!B:D,3,0)</f>
        <v xml:space="preserve">9-(9H-Carbazol-9-yl)-7H-benzo[c]carbazole </v>
      </c>
      <c r="E371" t="str">
        <f>VLOOKUP(B371,[1]물질정보!B:E,4,0)</f>
        <v>C28H18N2</v>
      </c>
      <c r="F371" t="str">
        <f>VLOOKUP(B371,[1]물질정보!B:F,5,0)</f>
        <v>382.5 g/mol</v>
      </c>
      <c r="G371" s="5" t="str">
        <f>VLOOKUP(B371,[1]물질정보!B:G,6,0)</f>
        <v>C1=CC=C2C(=C1)C=CC3=C2C4=C(N3)C=C(C=C4)N5C6=CC=CC=C6C7=CC=CC=C75</v>
      </c>
      <c r="H371" t="s">
        <v>26</v>
      </c>
      <c r="I371" t="s">
        <v>127</v>
      </c>
      <c r="J371" t="s">
        <v>128</v>
      </c>
      <c r="K371" t="s">
        <v>29</v>
      </c>
      <c r="L371" t="s">
        <v>129</v>
      </c>
      <c r="M371" t="s">
        <v>53</v>
      </c>
      <c r="N371" t="s">
        <v>29</v>
      </c>
      <c r="O371" t="s">
        <v>29</v>
      </c>
      <c r="P371">
        <v>96</v>
      </c>
      <c r="Q371" t="s">
        <v>31</v>
      </c>
      <c r="R371" t="s">
        <v>32</v>
      </c>
      <c r="S371" t="s">
        <v>29</v>
      </c>
      <c r="T371" t="s">
        <v>66</v>
      </c>
      <c r="U371" t="s">
        <v>130</v>
      </c>
      <c r="V371" s="6" t="s">
        <v>131</v>
      </c>
      <c r="W371" t="s">
        <v>53</v>
      </c>
      <c r="X371" t="s">
        <v>37</v>
      </c>
      <c r="Y371" s="6" t="s">
        <v>128</v>
      </c>
    </row>
    <row r="372" spans="2:25" x14ac:dyDescent="0.3">
      <c r="B372" s="5" t="s">
        <v>125</v>
      </c>
      <c r="C372" s="5" t="str">
        <f>VLOOKUP(B372,[1]물질정보!B:C,2,0)</f>
        <v>-</v>
      </c>
      <c r="D372" t="str">
        <f>VLOOKUP(B372,[1]물질정보!B:D,3,0)</f>
        <v xml:space="preserve">9-(9H-Carbazol-9-yl)-7H-benzo[c]carbazole </v>
      </c>
      <c r="E372" t="str">
        <f>VLOOKUP(B372,[1]물질정보!B:E,4,0)</f>
        <v>C28H18N2</v>
      </c>
      <c r="F372" t="str">
        <f>VLOOKUP(B372,[1]물질정보!B:F,5,0)</f>
        <v>382.5 g/mol</v>
      </c>
      <c r="G372" s="5" t="str">
        <f>VLOOKUP(B372,[1]물질정보!B:G,6,0)</f>
        <v>C1=CC=C2C(=C1)C=CC3=C2C4=C(N3)C=C(C=C4)N5C6=CC=CC=C6C7=CC=CC=C75</v>
      </c>
      <c r="H372" t="s">
        <v>26</v>
      </c>
      <c r="I372" t="s">
        <v>132</v>
      </c>
      <c r="J372" t="s">
        <v>28</v>
      </c>
      <c r="K372" t="s">
        <v>29</v>
      </c>
      <c r="L372" t="s">
        <v>129</v>
      </c>
      <c r="M372" t="s">
        <v>47</v>
      </c>
      <c r="N372" t="s">
        <v>29</v>
      </c>
      <c r="O372" t="s">
        <v>29</v>
      </c>
      <c r="P372">
        <v>48</v>
      </c>
      <c r="Q372" t="s">
        <v>31</v>
      </c>
      <c r="R372" t="s">
        <v>32</v>
      </c>
      <c r="S372" t="s">
        <v>29</v>
      </c>
      <c r="T372" t="s">
        <v>66</v>
      </c>
      <c r="U372" t="s">
        <v>133</v>
      </c>
      <c r="V372" s="6" t="s">
        <v>131</v>
      </c>
      <c r="W372" t="s">
        <v>47</v>
      </c>
      <c r="X372" t="s">
        <v>48</v>
      </c>
      <c r="Y372" s="6" t="s">
        <v>28</v>
      </c>
    </row>
    <row r="373" spans="2:25" x14ac:dyDescent="0.3">
      <c r="B373" s="5" t="s">
        <v>125</v>
      </c>
      <c r="C373" s="5" t="str">
        <f>VLOOKUP(B373,[1]물질정보!B:C,2,0)</f>
        <v>-</v>
      </c>
      <c r="D373" t="str">
        <f>VLOOKUP(B373,[1]물질정보!B:D,3,0)</f>
        <v xml:space="preserve">9-(9H-Carbazol-9-yl)-7H-benzo[c]carbazole </v>
      </c>
      <c r="E373" t="str">
        <f>VLOOKUP(B373,[1]물질정보!B:E,4,0)</f>
        <v>C28H18N2</v>
      </c>
      <c r="F373" t="str">
        <f>VLOOKUP(B373,[1]물질정보!B:F,5,0)</f>
        <v>382.5 g/mol</v>
      </c>
      <c r="G373" s="5" t="str">
        <f>VLOOKUP(B373,[1]물질정보!B:G,6,0)</f>
        <v>C1=CC=C2C(=C1)C=CC3=C2C4=C(N3)C=C(C=C4)N5C6=CC=CC=C6C7=CC=CC=C75</v>
      </c>
      <c r="H373" t="s">
        <v>26</v>
      </c>
      <c r="I373" t="s">
        <v>134</v>
      </c>
      <c r="J373" t="s">
        <v>28</v>
      </c>
      <c r="K373" t="s">
        <v>29</v>
      </c>
      <c r="L373" t="s">
        <v>129</v>
      </c>
      <c r="M373" t="s">
        <v>135</v>
      </c>
      <c r="N373" t="s">
        <v>29</v>
      </c>
      <c r="O373" t="s">
        <v>29</v>
      </c>
      <c r="P373">
        <v>72</v>
      </c>
      <c r="Q373" t="s">
        <v>31</v>
      </c>
      <c r="R373" t="s">
        <v>32</v>
      </c>
      <c r="S373" t="s">
        <v>29</v>
      </c>
      <c r="T373" t="s">
        <v>66</v>
      </c>
      <c r="U373" t="s">
        <v>136</v>
      </c>
      <c r="V373" s="6" t="s">
        <v>131</v>
      </c>
      <c r="W373" t="s">
        <v>43</v>
      </c>
      <c r="X373" t="s">
        <v>44</v>
      </c>
      <c r="Y373" s="6" t="s">
        <v>28</v>
      </c>
    </row>
    <row r="374" spans="2:25" x14ac:dyDescent="0.3">
      <c r="B374" s="5" t="s">
        <v>125</v>
      </c>
      <c r="C374" s="5" t="str">
        <f>VLOOKUP(B374,[1]물질정보!B:C,2,0)</f>
        <v>-</v>
      </c>
      <c r="D374" t="str">
        <f>VLOOKUP(B374,[1]물질정보!B:D,3,0)</f>
        <v xml:space="preserve">9-(9H-Carbazol-9-yl)-7H-benzo[c]carbazole </v>
      </c>
      <c r="E374" t="str">
        <f>VLOOKUP(B374,[1]물질정보!B:E,4,0)</f>
        <v>C28H18N2</v>
      </c>
      <c r="F374" t="str">
        <f>VLOOKUP(B374,[1]물질정보!B:F,5,0)</f>
        <v>382.5 g/mol</v>
      </c>
      <c r="G374" s="5" t="str">
        <f>VLOOKUP(B374,[1]물질정보!B:G,6,0)</f>
        <v>C1=CC=C2C(=C1)C=CC3=C2C4=C(N3)C=C(C=C4)N5C6=CC=CC=C6C7=CC=CC=C75</v>
      </c>
      <c r="H374" t="s">
        <v>79</v>
      </c>
      <c r="I374" t="s">
        <v>137</v>
      </c>
      <c r="J374" t="s">
        <v>89</v>
      </c>
      <c r="K374" t="s">
        <v>99</v>
      </c>
      <c r="L374" t="s">
        <v>29</v>
      </c>
      <c r="M374" t="s">
        <v>93</v>
      </c>
      <c r="N374" t="s">
        <v>29</v>
      </c>
      <c r="O374" t="s">
        <v>29</v>
      </c>
      <c r="P374" t="s">
        <v>29</v>
      </c>
      <c r="Q374" t="s">
        <v>29</v>
      </c>
      <c r="R374" t="s">
        <v>32</v>
      </c>
      <c r="S374" t="s">
        <v>29</v>
      </c>
      <c r="T374" t="s">
        <v>40</v>
      </c>
      <c r="U374" t="s">
        <v>138</v>
      </c>
      <c r="V374" s="6" t="s">
        <v>131</v>
      </c>
      <c r="W374" t="s">
        <v>93</v>
      </c>
      <c r="X374" t="s">
        <v>29</v>
      </c>
      <c r="Y374" s="6" t="s">
        <v>89</v>
      </c>
    </row>
    <row r="375" spans="2:25" x14ac:dyDescent="0.3">
      <c r="B375" s="5" t="s">
        <v>125</v>
      </c>
      <c r="C375" s="5" t="str">
        <f>VLOOKUP(B375,[1]물질정보!B:C,2,0)</f>
        <v>-</v>
      </c>
      <c r="D375" t="str">
        <f>VLOOKUP(B375,[1]물질정보!B:D,3,0)</f>
        <v xml:space="preserve">9-(9H-Carbazol-9-yl)-7H-benzo[c]carbazole </v>
      </c>
      <c r="E375" t="str">
        <f>VLOOKUP(B375,[1]물질정보!B:E,4,0)</f>
        <v>C28H18N2</v>
      </c>
      <c r="F375" t="str">
        <f>VLOOKUP(B375,[1]물질정보!B:F,5,0)</f>
        <v>382.5 g/mol</v>
      </c>
      <c r="G375" s="5" t="str">
        <f>VLOOKUP(B375,[1]물질정보!B:G,6,0)</f>
        <v>C1=CC=C2C(=C1)C=CC3=C2C4=C(N3)C=C(C=C4)N5C6=CC=CC=C6C7=CC=CC=C75</v>
      </c>
      <c r="H375" t="s">
        <v>79</v>
      </c>
      <c r="I375" t="s">
        <v>139</v>
      </c>
      <c r="J375" t="s">
        <v>98</v>
      </c>
      <c r="K375" t="s">
        <v>29</v>
      </c>
      <c r="L375" t="s">
        <v>29</v>
      </c>
      <c r="M375" t="s">
        <v>100</v>
      </c>
      <c r="N375" t="s">
        <v>101</v>
      </c>
      <c r="O375" t="s">
        <v>29</v>
      </c>
      <c r="P375" t="s">
        <v>29</v>
      </c>
      <c r="Q375" t="s">
        <v>29</v>
      </c>
      <c r="R375" t="s">
        <v>32</v>
      </c>
      <c r="S375" t="s">
        <v>29</v>
      </c>
      <c r="T375" t="s">
        <v>66</v>
      </c>
      <c r="U375" t="s">
        <v>140</v>
      </c>
      <c r="V375" s="6" t="s">
        <v>131</v>
      </c>
      <c r="W375" t="s">
        <v>101</v>
      </c>
      <c r="X375" t="s">
        <v>29</v>
      </c>
      <c r="Y375" s="6" t="s">
        <v>98</v>
      </c>
    </row>
    <row r="376" spans="2:25" x14ac:dyDescent="0.3">
      <c r="B376" s="5" t="s">
        <v>125</v>
      </c>
      <c r="C376" s="5" t="str">
        <f>VLOOKUP(B376,[1]물질정보!B:C,2,0)</f>
        <v>-</v>
      </c>
      <c r="D376" t="str">
        <f>VLOOKUP(B376,[1]물질정보!B:D,3,0)</f>
        <v xml:space="preserve">9-(9H-Carbazol-9-yl)-7H-benzo[c]carbazole </v>
      </c>
      <c r="E376" t="str">
        <f>VLOOKUP(B376,[1]물질정보!B:E,4,0)</f>
        <v>C28H18N2</v>
      </c>
      <c r="F376" t="str">
        <f>VLOOKUP(B376,[1]물질정보!B:F,5,0)</f>
        <v>382.5 g/mol</v>
      </c>
      <c r="G376" s="5" t="str">
        <f>VLOOKUP(B376,[1]물질정보!B:G,6,0)</f>
        <v>C1=CC=C2C(=C1)C=CC3=C2C4=C(N3)C=C(C=C4)N5C6=CC=CC=C6C7=CC=CC=C75</v>
      </c>
      <c r="H376" t="s">
        <v>79</v>
      </c>
      <c r="I376" t="s">
        <v>141</v>
      </c>
      <c r="J376" t="s">
        <v>824</v>
      </c>
      <c r="K376" t="s">
        <v>29</v>
      </c>
      <c r="L376" t="s">
        <v>29</v>
      </c>
      <c r="M376" t="s">
        <v>122</v>
      </c>
      <c r="N376" t="s">
        <v>29</v>
      </c>
      <c r="O376" t="s">
        <v>29</v>
      </c>
      <c r="P376" t="s">
        <v>29</v>
      </c>
      <c r="Q376" t="s">
        <v>29</v>
      </c>
      <c r="R376" t="s">
        <v>32</v>
      </c>
      <c r="S376" t="s">
        <v>29</v>
      </c>
      <c r="T376" t="s">
        <v>66</v>
      </c>
      <c r="U376" t="s">
        <v>142</v>
      </c>
      <c r="V376" s="6" t="s">
        <v>131</v>
      </c>
      <c r="W376" t="s">
        <v>112</v>
      </c>
      <c r="X376" t="s">
        <v>29</v>
      </c>
      <c r="Y376" s="6" t="s">
        <v>753</v>
      </c>
    </row>
    <row r="377" spans="2:25" x14ac:dyDescent="0.3">
      <c r="B377" s="5" t="s">
        <v>125</v>
      </c>
      <c r="C377" s="5" t="str">
        <f>VLOOKUP(B377,[1]물질정보!B:C,2,0)</f>
        <v>-</v>
      </c>
      <c r="D377" t="str">
        <f>VLOOKUP(B377,[1]물질정보!B:D,3,0)</f>
        <v xml:space="preserve">9-(9H-Carbazol-9-yl)-7H-benzo[c]carbazole </v>
      </c>
      <c r="E377" t="str">
        <f>VLOOKUP(B377,[1]물질정보!B:E,4,0)</f>
        <v>C28H18N2</v>
      </c>
      <c r="F377" t="str">
        <f>VLOOKUP(B377,[1]물질정보!B:F,5,0)</f>
        <v>382.5 g/mol</v>
      </c>
      <c r="G377" s="5" t="str">
        <f>VLOOKUP(B377,[1]물질정보!B:G,6,0)</f>
        <v>C1=CC=C2C(=C1)C=CC3=C2C4=C(N3)C=C(C=C4)N5C6=CC=CC=C6C7=CC=CC=C75</v>
      </c>
      <c r="H377" t="s">
        <v>26</v>
      </c>
      <c r="I377" t="s">
        <v>143</v>
      </c>
      <c r="J377" t="s">
        <v>144</v>
      </c>
      <c r="K377" t="s">
        <v>145</v>
      </c>
      <c r="L377" t="s">
        <v>29</v>
      </c>
      <c r="M377" t="s">
        <v>29</v>
      </c>
      <c r="N377" t="s">
        <v>29</v>
      </c>
      <c r="O377" t="s">
        <v>29</v>
      </c>
      <c r="P377" t="s">
        <v>29</v>
      </c>
      <c r="Q377" t="s">
        <v>29</v>
      </c>
      <c r="R377" t="s">
        <v>32</v>
      </c>
      <c r="S377" t="s">
        <v>29</v>
      </c>
      <c r="T377" t="s">
        <v>40</v>
      </c>
      <c r="U377" t="s">
        <v>146</v>
      </c>
      <c r="V377" s="6" t="s">
        <v>131</v>
      </c>
      <c r="W377" t="s">
        <v>147</v>
      </c>
      <c r="X377" t="s">
        <v>148</v>
      </c>
      <c r="Y377" s="6" t="s">
        <v>144</v>
      </c>
    </row>
    <row r="378" spans="2:25" x14ac:dyDescent="0.3">
      <c r="B378" s="5" t="s">
        <v>72</v>
      </c>
      <c r="C378" s="5" t="str">
        <f>VLOOKUP(B378,[1]물질정보!B:C,2,0)</f>
        <v>205-25-4</v>
      </c>
      <c r="D378" t="str">
        <f>VLOOKUP(B378,[1]물질정보!B:D,3,0)</f>
        <v xml:space="preserve">7H-Benzo[c]carbazole </v>
      </c>
      <c r="E378" t="str">
        <f>VLOOKUP(B378,[1]물질정보!B:E,4,0)</f>
        <v>C16H11N</v>
      </c>
      <c r="F378" t="str">
        <f>VLOOKUP(B378,[1]물질정보!B:F,5,0)</f>
        <v>217.26 g/mol</v>
      </c>
      <c r="G378" s="5" t="str">
        <f>VLOOKUP(B378,[1]물질정보!B:G,6,0)</f>
        <v>C1=CC=C2C(=C1)C=CC3=C2C4=CC=CC=C4N3</v>
      </c>
      <c r="H378" t="s">
        <v>26</v>
      </c>
      <c r="I378" t="s">
        <v>127</v>
      </c>
      <c r="J378" t="s">
        <v>128</v>
      </c>
      <c r="K378">
        <v>3.03</v>
      </c>
      <c r="L378" t="s">
        <v>129</v>
      </c>
      <c r="M378" t="s">
        <v>53</v>
      </c>
      <c r="N378" t="s">
        <v>29</v>
      </c>
      <c r="O378" t="s">
        <v>29</v>
      </c>
      <c r="P378">
        <v>96</v>
      </c>
      <c r="Q378" t="s">
        <v>31</v>
      </c>
      <c r="R378" t="s">
        <v>32</v>
      </c>
      <c r="S378" t="s">
        <v>29</v>
      </c>
      <c r="T378" t="s">
        <v>40</v>
      </c>
      <c r="U378" t="s">
        <v>130</v>
      </c>
      <c r="V378" s="6" t="s">
        <v>131</v>
      </c>
      <c r="W378" t="s">
        <v>53</v>
      </c>
      <c r="X378" t="s">
        <v>37</v>
      </c>
      <c r="Y378" s="6" t="s">
        <v>128</v>
      </c>
    </row>
    <row r="379" spans="2:25" x14ac:dyDescent="0.3">
      <c r="B379" s="5" t="s">
        <v>72</v>
      </c>
      <c r="C379" s="5" t="str">
        <f>VLOOKUP(B379,[1]물질정보!B:C,2,0)</f>
        <v>205-25-4</v>
      </c>
      <c r="D379" t="str">
        <f>VLOOKUP(B379,[1]물질정보!B:D,3,0)</f>
        <v xml:space="preserve">7H-Benzo[c]carbazole </v>
      </c>
      <c r="E379" t="str">
        <f>VLOOKUP(B379,[1]물질정보!B:E,4,0)</f>
        <v>C16H11N</v>
      </c>
      <c r="F379" t="str">
        <f>VLOOKUP(B379,[1]물질정보!B:F,5,0)</f>
        <v>217.26 g/mol</v>
      </c>
      <c r="G379" s="5" t="str">
        <f>VLOOKUP(B379,[1]물질정보!B:G,6,0)</f>
        <v>C1=CC=C2C(=C1)C=CC3=C2C4=CC=CC=C4N3</v>
      </c>
      <c r="H379" t="s">
        <v>26</v>
      </c>
      <c r="I379" t="s">
        <v>132</v>
      </c>
      <c r="J379" t="s">
        <v>28</v>
      </c>
      <c r="K379" t="s">
        <v>29</v>
      </c>
      <c r="L379" t="s">
        <v>129</v>
      </c>
      <c r="M379" t="s">
        <v>47</v>
      </c>
      <c r="N379" t="s">
        <v>29</v>
      </c>
      <c r="O379" t="s">
        <v>29</v>
      </c>
      <c r="P379">
        <v>48</v>
      </c>
      <c r="Q379" t="s">
        <v>31</v>
      </c>
      <c r="R379" t="s">
        <v>32</v>
      </c>
      <c r="S379" t="s">
        <v>29</v>
      </c>
      <c r="T379" t="s">
        <v>66</v>
      </c>
      <c r="U379" t="s">
        <v>149</v>
      </c>
      <c r="V379" s="6" t="s">
        <v>131</v>
      </c>
      <c r="W379" t="s">
        <v>47</v>
      </c>
      <c r="X379" t="s">
        <v>48</v>
      </c>
      <c r="Y379" s="6" t="s">
        <v>28</v>
      </c>
    </row>
    <row r="380" spans="2:25" x14ac:dyDescent="0.3">
      <c r="B380" s="5" t="s">
        <v>72</v>
      </c>
      <c r="C380" s="5" t="str">
        <f>VLOOKUP(B380,[1]물질정보!B:C,2,0)</f>
        <v>205-25-4</v>
      </c>
      <c r="D380" t="str">
        <f>VLOOKUP(B380,[1]물질정보!B:D,3,0)</f>
        <v xml:space="preserve">7H-Benzo[c]carbazole </v>
      </c>
      <c r="E380" t="str">
        <f>VLOOKUP(B380,[1]물질정보!B:E,4,0)</f>
        <v>C16H11N</v>
      </c>
      <c r="F380" t="str">
        <f>VLOOKUP(B380,[1]물질정보!B:F,5,0)</f>
        <v>217.26 g/mol</v>
      </c>
      <c r="G380" s="5" t="str">
        <f>VLOOKUP(B380,[1]물질정보!B:G,6,0)</f>
        <v>C1=CC=C2C(=C1)C=CC3=C2C4=CC=CC=C4N3</v>
      </c>
      <c r="H380" t="s">
        <v>26</v>
      </c>
      <c r="I380" t="s">
        <v>134</v>
      </c>
      <c r="J380" t="s">
        <v>28</v>
      </c>
      <c r="K380" t="s">
        <v>29</v>
      </c>
      <c r="L380" t="s">
        <v>129</v>
      </c>
      <c r="M380" t="s">
        <v>135</v>
      </c>
      <c r="N380" t="s">
        <v>29</v>
      </c>
      <c r="O380" t="s">
        <v>29</v>
      </c>
      <c r="P380">
        <v>72</v>
      </c>
      <c r="Q380" t="s">
        <v>31</v>
      </c>
      <c r="R380" t="s">
        <v>32</v>
      </c>
      <c r="S380" t="s">
        <v>29</v>
      </c>
      <c r="T380" t="s">
        <v>66</v>
      </c>
      <c r="U380" t="s">
        <v>150</v>
      </c>
      <c r="V380" s="6" t="s">
        <v>131</v>
      </c>
      <c r="W380" t="s">
        <v>43</v>
      </c>
      <c r="X380" t="s">
        <v>44</v>
      </c>
      <c r="Y380" s="6" t="s">
        <v>28</v>
      </c>
    </row>
    <row r="381" spans="2:25" x14ac:dyDescent="0.3">
      <c r="B381" s="5" t="s">
        <v>72</v>
      </c>
      <c r="C381" s="5" t="str">
        <f>VLOOKUP(B381,[1]물질정보!B:C,2,0)</f>
        <v>205-25-4</v>
      </c>
      <c r="D381" t="str">
        <f>VLOOKUP(B381,[1]물질정보!B:D,3,0)</f>
        <v xml:space="preserve">7H-Benzo[c]carbazole </v>
      </c>
      <c r="E381" t="str">
        <f>VLOOKUP(B381,[1]물질정보!B:E,4,0)</f>
        <v>C16H11N</v>
      </c>
      <c r="F381" t="str">
        <f>VLOOKUP(B381,[1]물질정보!B:F,5,0)</f>
        <v>217.26 g/mol</v>
      </c>
      <c r="G381" s="5" t="str">
        <f>VLOOKUP(B381,[1]물질정보!B:G,6,0)</f>
        <v>C1=CC=C2C(=C1)C=CC3=C2C4=CC=CC=C4N3</v>
      </c>
      <c r="H381" t="s">
        <v>26</v>
      </c>
      <c r="I381" t="s">
        <v>143</v>
      </c>
      <c r="J381" t="s">
        <v>144</v>
      </c>
      <c r="K381" t="s">
        <v>145</v>
      </c>
      <c r="L381" t="s">
        <v>29</v>
      </c>
      <c r="M381" t="s">
        <v>29</v>
      </c>
      <c r="N381" t="s">
        <v>29</v>
      </c>
      <c r="O381" t="s">
        <v>29</v>
      </c>
      <c r="P381" t="s">
        <v>29</v>
      </c>
      <c r="Q381" t="s">
        <v>29</v>
      </c>
      <c r="R381" t="s">
        <v>32</v>
      </c>
      <c r="S381" t="s">
        <v>29</v>
      </c>
      <c r="T381" t="s">
        <v>40</v>
      </c>
      <c r="U381" t="s">
        <v>146</v>
      </c>
      <c r="V381" s="6" t="s">
        <v>131</v>
      </c>
      <c r="W381" t="s">
        <v>147</v>
      </c>
      <c r="X381" t="s">
        <v>148</v>
      </c>
      <c r="Y381" s="6" t="s">
        <v>144</v>
      </c>
    </row>
    <row r="382" spans="2:25" x14ac:dyDescent="0.3">
      <c r="B382" s="5" t="s">
        <v>72</v>
      </c>
      <c r="C382" s="5" t="str">
        <f>VLOOKUP(B382,[1]물질정보!B:C,2,0)</f>
        <v>205-25-4</v>
      </c>
      <c r="D382" t="str">
        <f>VLOOKUP(B382,[1]물질정보!B:D,3,0)</f>
        <v xml:space="preserve">7H-Benzo[c]carbazole </v>
      </c>
      <c r="E382" t="str">
        <f>VLOOKUP(B382,[1]물질정보!B:E,4,0)</f>
        <v>C16H11N</v>
      </c>
      <c r="F382" t="str">
        <f>VLOOKUP(B382,[1]물질정보!B:F,5,0)</f>
        <v>217.26 g/mol</v>
      </c>
      <c r="G382" s="5" t="str">
        <f>VLOOKUP(B382,[1]물질정보!B:G,6,0)</f>
        <v>C1=CC=C2C(=C1)C=CC3=C2C4=CC=CC=C4N3</v>
      </c>
      <c r="H382" t="s">
        <v>79</v>
      </c>
      <c r="I382" t="s">
        <v>137</v>
      </c>
      <c r="J382" t="s">
        <v>89</v>
      </c>
      <c r="K382" t="s">
        <v>99</v>
      </c>
      <c r="L382" t="s">
        <v>29</v>
      </c>
      <c r="M382" t="s">
        <v>93</v>
      </c>
      <c r="N382" t="s">
        <v>29</v>
      </c>
      <c r="O382" t="s">
        <v>29</v>
      </c>
      <c r="P382" t="s">
        <v>29</v>
      </c>
      <c r="Q382" t="s">
        <v>29</v>
      </c>
      <c r="R382" t="s">
        <v>32</v>
      </c>
      <c r="S382" t="s">
        <v>29</v>
      </c>
      <c r="T382" t="s">
        <v>40</v>
      </c>
      <c r="U382" t="s">
        <v>151</v>
      </c>
      <c r="V382" s="6" t="s">
        <v>131</v>
      </c>
      <c r="W382" t="s">
        <v>93</v>
      </c>
      <c r="X382" t="s">
        <v>29</v>
      </c>
      <c r="Y382" s="6" t="s">
        <v>89</v>
      </c>
    </row>
    <row r="383" spans="2:25" x14ac:dyDescent="0.3">
      <c r="B383" s="5" t="s">
        <v>72</v>
      </c>
      <c r="C383" s="5" t="str">
        <f>VLOOKUP(B383,[1]물질정보!B:C,2,0)</f>
        <v>205-25-4</v>
      </c>
      <c r="D383" t="str">
        <f>VLOOKUP(B383,[1]물질정보!B:D,3,0)</f>
        <v xml:space="preserve">7H-Benzo[c]carbazole </v>
      </c>
      <c r="E383" t="str">
        <f>VLOOKUP(B383,[1]물질정보!B:E,4,0)</f>
        <v>C16H11N</v>
      </c>
      <c r="F383" t="str">
        <f>VLOOKUP(B383,[1]물질정보!B:F,5,0)</f>
        <v>217.26 g/mol</v>
      </c>
      <c r="G383" s="5" t="str">
        <f>VLOOKUP(B383,[1]물질정보!B:G,6,0)</f>
        <v>C1=CC=C2C(=C1)C=CC3=C2C4=CC=CC=C4N3</v>
      </c>
      <c r="H383" t="s">
        <v>79</v>
      </c>
      <c r="I383" t="s">
        <v>139</v>
      </c>
      <c r="J383" t="s">
        <v>98</v>
      </c>
      <c r="K383" t="s">
        <v>29</v>
      </c>
      <c r="L383" t="s">
        <v>29</v>
      </c>
      <c r="M383" t="s">
        <v>100</v>
      </c>
      <c r="N383" t="s">
        <v>29</v>
      </c>
      <c r="O383" t="s">
        <v>29</v>
      </c>
      <c r="P383" t="s">
        <v>29</v>
      </c>
      <c r="Q383" t="s">
        <v>29</v>
      </c>
      <c r="R383" t="s">
        <v>32</v>
      </c>
      <c r="S383" t="s">
        <v>29</v>
      </c>
      <c r="T383" t="s">
        <v>66</v>
      </c>
      <c r="U383" t="s">
        <v>140</v>
      </c>
      <c r="V383" s="6" t="s">
        <v>131</v>
      </c>
      <c r="W383" t="s">
        <v>101</v>
      </c>
      <c r="X383" t="s">
        <v>29</v>
      </c>
      <c r="Y383" s="6" t="s">
        <v>98</v>
      </c>
    </row>
    <row r="384" spans="2:25" x14ac:dyDescent="0.3">
      <c r="B384" s="5" t="s">
        <v>72</v>
      </c>
      <c r="C384" s="5" t="str">
        <f>VLOOKUP(B384,[1]물질정보!B:C,2,0)</f>
        <v>205-25-4</v>
      </c>
      <c r="D384" t="str">
        <f>VLOOKUP(B384,[1]물질정보!B:D,3,0)</f>
        <v xml:space="preserve">7H-Benzo[c]carbazole </v>
      </c>
      <c r="E384" t="str">
        <f>VLOOKUP(B384,[1]물질정보!B:E,4,0)</f>
        <v>C16H11N</v>
      </c>
      <c r="F384" t="str">
        <f>VLOOKUP(B384,[1]물질정보!B:F,5,0)</f>
        <v>217.26 g/mol</v>
      </c>
      <c r="G384" s="5" t="str">
        <f>VLOOKUP(B384,[1]물질정보!B:G,6,0)</f>
        <v>C1=CC=C2C(=C1)C=CC3=C2C4=CC=CC=C4N3</v>
      </c>
      <c r="H384" t="s">
        <v>79</v>
      </c>
      <c r="I384" t="s">
        <v>141</v>
      </c>
      <c r="J384" t="s">
        <v>824</v>
      </c>
      <c r="K384" t="s">
        <v>29</v>
      </c>
      <c r="L384" t="s">
        <v>29</v>
      </c>
      <c r="M384" t="s">
        <v>122</v>
      </c>
      <c r="N384" t="s">
        <v>29</v>
      </c>
      <c r="O384" t="s">
        <v>29</v>
      </c>
      <c r="P384" t="s">
        <v>29</v>
      </c>
      <c r="Q384" t="s">
        <v>29</v>
      </c>
      <c r="R384" t="s">
        <v>32</v>
      </c>
      <c r="S384" t="s">
        <v>29</v>
      </c>
      <c r="T384" t="s">
        <v>66</v>
      </c>
      <c r="U384" t="s">
        <v>152</v>
      </c>
      <c r="V384" s="6" t="s">
        <v>131</v>
      </c>
      <c r="W384" t="s">
        <v>112</v>
      </c>
      <c r="X384" t="s">
        <v>29</v>
      </c>
      <c r="Y384" s="6" t="s">
        <v>753</v>
      </c>
    </row>
    <row r="385" spans="2:25" x14ac:dyDescent="0.3">
      <c r="B385" s="5" t="s">
        <v>71</v>
      </c>
      <c r="C385" s="5" t="str">
        <f>VLOOKUP(B385,[1]물질정보!B:C,2,0)</f>
        <v>97-63-2</v>
      </c>
      <c r="D385" t="str">
        <f>VLOOKUP(B385,[1]물질정보!B:D,3,0)</f>
        <v>ethyl methacrylate</v>
      </c>
      <c r="E385" t="str">
        <f>VLOOKUP(B385,[1]물질정보!B:E,4,0)</f>
        <v>C6H10O2</v>
      </c>
      <c r="F385" t="str">
        <f>VLOOKUP(B385,[1]물질정보!B:F,5,0)</f>
        <v>114.14 g/mol</v>
      </c>
      <c r="G385" s="5" t="str">
        <f>VLOOKUP(B385,[1]물질정보!B:G,6,0)</f>
        <v>CCOC(=O)C(=C)C</v>
      </c>
      <c r="H385" t="s">
        <v>26</v>
      </c>
      <c r="I385" t="s">
        <v>127</v>
      </c>
      <c r="J385" t="s">
        <v>128</v>
      </c>
      <c r="K385">
        <v>40.86</v>
      </c>
      <c r="L385" t="s">
        <v>129</v>
      </c>
      <c r="M385" t="s">
        <v>53</v>
      </c>
      <c r="N385" t="s">
        <v>29</v>
      </c>
      <c r="O385" t="s">
        <v>29</v>
      </c>
      <c r="P385">
        <v>96</v>
      </c>
      <c r="Q385" t="s">
        <v>31</v>
      </c>
      <c r="R385" t="s">
        <v>32</v>
      </c>
      <c r="S385" t="s">
        <v>29</v>
      </c>
      <c r="T385" t="s">
        <v>40</v>
      </c>
      <c r="U385" t="s">
        <v>130</v>
      </c>
      <c r="V385" s="6" t="s">
        <v>131</v>
      </c>
      <c r="W385" t="s">
        <v>53</v>
      </c>
      <c r="X385" t="s">
        <v>37</v>
      </c>
      <c r="Y385" s="6" t="s">
        <v>128</v>
      </c>
    </row>
    <row r="386" spans="2:25" x14ac:dyDescent="0.3">
      <c r="B386" s="5" t="s">
        <v>71</v>
      </c>
      <c r="C386" s="5" t="str">
        <f>VLOOKUP(B386,[1]물질정보!B:C,2,0)</f>
        <v>97-63-2</v>
      </c>
      <c r="D386" t="str">
        <f>VLOOKUP(B386,[1]물질정보!B:D,3,0)</f>
        <v>ethyl methacrylate</v>
      </c>
      <c r="E386" t="str">
        <f>VLOOKUP(B386,[1]물질정보!B:E,4,0)</f>
        <v>C6H10O2</v>
      </c>
      <c r="F386" t="str">
        <f>VLOOKUP(B386,[1]물질정보!B:F,5,0)</f>
        <v>114.14 g/mol</v>
      </c>
      <c r="G386" s="5" t="str">
        <f>VLOOKUP(B386,[1]물질정보!B:G,6,0)</f>
        <v>CCOC(=O)C(=C)C</v>
      </c>
      <c r="H386" t="s">
        <v>26</v>
      </c>
      <c r="I386" t="s">
        <v>132</v>
      </c>
      <c r="J386" t="s">
        <v>28</v>
      </c>
      <c r="K386" t="s">
        <v>29</v>
      </c>
      <c r="L386" t="s">
        <v>129</v>
      </c>
      <c r="M386" t="s">
        <v>47</v>
      </c>
      <c r="N386" t="s">
        <v>29</v>
      </c>
      <c r="O386" t="s">
        <v>29</v>
      </c>
      <c r="P386">
        <v>48</v>
      </c>
      <c r="Q386" t="s">
        <v>31</v>
      </c>
      <c r="R386" t="s">
        <v>32</v>
      </c>
      <c r="S386" t="s">
        <v>29</v>
      </c>
      <c r="T386" t="s">
        <v>66</v>
      </c>
      <c r="U386" t="s">
        <v>149</v>
      </c>
      <c r="V386" s="6" t="s">
        <v>131</v>
      </c>
      <c r="W386" t="s">
        <v>47</v>
      </c>
      <c r="X386" t="s">
        <v>48</v>
      </c>
      <c r="Y386" s="6" t="s">
        <v>28</v>
      </c>
    </row>
    <row r="387" spans="2:25" x14ac:dyDescent="0.3">
      <c r="B387" s="5" t="s">
        <v>71</v>
      </c>
      <c r="C387" s="5" t="str">
        <f>VLOOKUP(B387,[1]물질정보!B:C,2,0)</f>
        <v>97-63-2</v>
      </c>
      <c r="D387" t="str">
        <f>VLOOKUP(B387,[1]물질정보!B:D,3,0)</f>
        <v>ethyl methacrylate</v>
      </c>
      <c r="E387" t="str">
        <f>VLOOKUP(B387,[1]물질정보!B:E,4,0)</f>
        <v>C6H10O2</v>
      </c>
      <c r="F387" t="str">
        <f>VLOOKUP(B387,[1]물질정보!B:F,5,0)</f>
        <v>114.14 g/mol</v>
      </c>
      <c r="G387" s="5" t="str">
        <f>VLOOKUP(B387,[1]물질정보!B:G,6,0)</f>
        <v>CCOC(=O)C(=C)C</v>
      </c>
      <c r="H387" t="s">
        <v>26</v>
      </c>
      <c r="I387" t="s">
        <v>134</v>
      </c>
      <c r="J387" t="s">
        <v>28</v>
      </c>
      <c r="K387">
        <v>60.44</v>
      </c>
      <c r="L387" t="s">
        <v>129</v>
      </c>
      <c r="M387" t="s">
        <v>135</v>
      </c>
      <c r="N387" t="s">
        <v>29</v>
      </c>
      <c r="O387" t="s">
        <v>29</v>
      </c>
      <c r="P387">
        <v>72</v>
      </c>
      <c r="Q387" t="s">
        <v>31</v>
      </c>
      <c r="R387" t="s">
        <v>32</v>
      </c>
      <c r="S387" t="s">
        <v>29</v>
      </c>
      <c r="T387" t="s">
        <v>40</v>
      </c>
      <c r="U387" t="s">
        <v>150</v>
      </c>
      <c r="V387" s="6" t="s">
        <v>131</v>
      </c>
      <c r="W387" t="s">
        <v>43</v>
      </c>
      <c r="X387" t="s">
        <v>44</v>
      </c>
      <c r="Y387" s="6" t="s">
        <v>28</v>
      </c>
    </row>
    <row r="388" spans="2:25" x14ac:dyDescent="0.3">
      <c r="B388" s="5" t="s">
        <v>71</v>
      </c>
      <c r="C388" s="5" t="str">
        <f>VLOOKUP(B388,[1]물질정보!B:C,2,0)</f>
        <v>97-63-2</v>
      </c>
      <c r="D388" t="str">
        <f>VLOOKUP(B388,[1]물질정보!B:D,3,0)</f>
        <v>ethyl methacrylate</v>
      </c>
      <c r="E388" t="str">
        <f>VLOOKUP(B388,[1]물질정보!B:E,4,0)</f>
        <v>C6H10O2</v>
      </c>
      <c r="F388" t="str">
        <f>VLOOKUP(B388,[1]물질정보!B:F,5,0)</f>
        <v>114.14 g/mol</v>
      </c>
      <c r="G388" s="5" t="str">
        <f>VLOOKUP(B388,[1]물질정보!B:G,6,0)</f>
        <v>CCOC(=O)C(=C)C</v>
      </c>
      <c r="H388" t="s">
        <v>26</v>
      </c>
      <c r="I388" t="s">
        <v>143</v>
      </c>
      <c r="J388" t="s">
        <v>144</v>
      </c>
      <c r="K388" t="s">
        <v>153</v>
      </c>
      <c r="L388" t="s">
        <v>29</v>
      </c>
      <c r="M388" t="s">
        <v>29</v>
      </c>
      <c r="N388" t="s">
        <v>29</v>
      </c>
      <c r="O388" t="s">
        <v>29</v>
      </c>
      <c r="P388" t="s">
        <v>29</v>
      </c>
      <c r="Q388" t="s">
        <v>29</v>
      </c>
      <c r="R388" t="s">
        <v>32</v>
      </c>
      <c r="S388" t="s">
        <v>29</v>
      </c>
      <c r="T388" t="s">
        <v>40</v>
      </c>
      <c r="U388" t="s">
        <v>146</v>
      </c>
      <c r="V388" s="6" t="s">
        <v>131</v>
      </c>
      <c r="W388" t="s">
        <v>147</v>
      </c>
      <c r="X388" t="s">
        <v>148</v>
      </c>
      <c r="Y388" s="6" t="s">
        <v>144</v>
      </c>
    </row>
    <row r="389" spans="2:25" x14ac:dyDescent="0.3">
      <c r="B389" s="5" t="s">
        <v>71</v>
      </c>
      <c r="C389" s="5" t="str">
        <f>VLOOKUP(B389,[1]물질정보!B:C,2,0)</f>
        <v>97-63-2</v>
      </c>
      <c r="D389" t="str">
        <f>VLOOKUP(B389,[1]물질정보!B:D,3,0)</f>
        <v>ethyl methacrylate</v>
      </c>
      <c r="E389" t="str">
        <f>VLOOKUP(B389,[1]물질정보!B:E,4,0)</f>
        <v>C6H10O2</v>
      </c>
      <c r="F389" t="str">
        <f>VLOOKUP(B389,[1]물질정보!B:F,5,0)</f>
        <v>114.14 g/mol</v>
      </c>
      <c r="G389" s="5" t="str">
        <f>VLOOKUP(B389,[1]물질정보!B:G,6,0)</f>
        <v>CCOC(=O)C(=C)C</v>
      </c>
      <c r="H389" t="s">
        <v>79</v>
      </c>
      <c r="I389" t="s">
        <v>137</v>
      </c>
      <c r="J389" t="s">
        <v>89</v>
      </c>
      <c r="K389" t="s">
        <v>90</v>
      </c>
      <c r="L389" t="s">
        <v>29</v>
      </c>
      <c r="M389" t="s">
        <v>93</v>
      </c>
      <c r="N389" t="s">
        <v>29</v>
      </c>
      <c r="O389" t="s">
        <v>29</v>
      </c>
      <c r="P389" t="s">
        <v>29</v>
      </c>
      <c r="Q389" t="s">
        <v>29</v>
      </c>
      <c r="R389" t="s">
        <v>32</v>
      </c>
      <c r="S389" t="s">
        <v>29</v>
      </c>
      <c r="T389" t="s">
        <v>40</v>
      </c>
      <c r="U389" t="s">
        <v>151</v>
      </c>
      <c r="V389" s="6" t="s">
        <v>131</v>
      </c>
      <c r="W389" t="s">
        <v>93</v>
      </c>
      <c r="X389" t="s">
        <v>29</v>
      </c>
      <c r="Y389" s="6" t="s">
        <v>89</v>
      </c>
    </row>
    <row r="390" spans="2:25" x14ac:dyDescent="0.3">
      <c r="B390" s="5" t="s">
        <v>71</v>
      </c>
      <c r="C390" s="5" t="str">
        <f>VLOOKUP(B390,[1]물질정보!B:C,2,0)</f>
        <v>97-63-2</v>
      </c>
      <c r="D390" t="str">
        <f>VLOOKUP(B390,[1]물질정보!B:D,3,0)</f>
        <v>ethyl methacrylate</v>
      </c>
      <c r="E390" t="str">
        <f>VLOOKUP(B390,[1]물질정보!B:E,4,0)</f>
        <v>C6H10O2</v>
      </c>
      <c r="F390" t="str">
        <f>VLOOKUP(B390,[1]물질정보!B:F,5,0)</f>
        <v>114.14 g/mol</v>
      </c>
      <c r="G390" s="5" t="str">
        <f>VLOOKUP(B390,[1]물질정보!B:G,6,0)</f>
        <v>CCOC(=O)C(=C)C</v>
      </c>
      <c r="H390" t="s">
        <v>79</v>
      </c>
      <c r="I390" t="s">
        <v>139</v>
      </c>
      <c r="J390" t="s">
        <v>98</v>
      </c>
      <c r="K390" t="s">
        <v>99</v>
      </c>
      <c r="L390" t="s">
        <v>29</v>
      </c>
      <c r="M390" t="s">
        <v>100</v>
      </c>
      <c r="N390" t="s">
        <v>29</v>
      </c>
      <c r="O390" t="s">
        <v>29</v>
      </c>
      <c r="P390" t="s">
        <v>29</v>
      </c>
      <c r="Q390" t="s">
        <v>29</v>
      </c>
      <c r="R390" t="s">
        <v>32</v>
      </c>
      <c r="S390" t="s">
        <v>29</v>
      </c>
      <c r="T390" t="s">
        <v>40</v>
      </c>
      <c r="U390" t="s">
        <v>140</v>
      </c>
      <c r="V390" s="6" t="s">
        <v>131</v>
      </c>
      <c r="W390" t="s">
        <v>101</v>
      </c>
      <c r="X390" t="s">
        <v>29</v>
      </c>
      <c r="Y390" s="6" t="s">
        <v>98</v>
      </c>
    </row>
    <row r="391" spans="2:25" x14ac:dyDescent="0.3">
      <c r="B391" s="5" t="s">
        <v>71</v>
      </c>
      <c r="C391" s="5" t="str">
        <f>VLOOKUP(B391,[1]물질정보!B:C,2,0)</f>
        <v>97-63-2</v>
      </c>
      <c r="D391" t="str">
        <f>VLOOKUP(B391,[1]물질정보!B:D,3,0)</f>
        <v>ethyl methacrylate</v>
      </c>
      <c r="E391" t="str">
        <f>VLOOKUP(B391,[1]물질정보!B:E,4,0)</f>
        <v>C6H10O2</v>
      </c>
      <c r="F391" t="str">
        <f>VLOOKUP(B391,[1]물질정보!B:F,5,0)</f>
        <v>114.14 g/mol</v>
      </c>
      <c r="G391" s="5" t="str">
        <f>VLOOKUP(B391,[1]물질정보!B:G,6,0)</f>
        <v>CCOC(=O)C(=C)C</v>
      </c>
      <c r="H391" t="s">
        <v>79</v>
      </c>
      <c r="I391" t="s">
        <v>141</v>
      </c>
      <c r="J391" t="s">
        <v>824</v>
      </c>
      <c r="K391" t="s">
        <v>90</v>
      </c>
      <c r="L391" t="s">
        <v>29</v>
      </c>
      <c r="M391" t="s">
        <v>122</v>
      </c>
      <c r="N391" t="s">
        <v>29</v>
      </c>
      <c r="O391" t="s">
        <v>29</v>
      </c>
      <c r="P391" t="s">
        <v>29</v>
      </c>
      <c r="Q391" t="s">
        <v>29</v>
      </c>
      <c r="R391" t="s">
        <v>32</v>
      </c>
      <c r="S391" t="s">
        <v>29</v>
      </c>
      <c r="T391" t="s">
        <v>40</v>
      </c>
      <c r="U391" t="s">
        <v>152</v>
      </c>
      <c r="V391" s="6" t="s">
        <v>131</v>
      </c>
      <c r="W391" t="s">
        <v>112</v>
      </c>
      <c r="X391" t="s">
        <v>29</v>
      </c>
      <c r="Y391" s="6" t="s">
        <v>753</v>
      </c>
    </row>
    <row r="392" spans="2:25" x14ac:dyDescent="0.3">
      <c r="B392" s="5" t="s">
        <v>69</v>
      </c>
      <c r="C392" s="5" t="str">
        <f>VLOOKUP(B392,[1]물질정보!B:C,2,0)</f>
        <v>868-77-9</v>
      </c>
      <c r="D392" t="str">
        <f>VLOOKUP(B392,[1]물질정보!B:D,3,0)</f>
        <v>2-hydroxyethyl methacrylate</v>
      </c>
      <c r="E392" t="str">
        <f>VLOOKUP(B392,[1]물질정보!B:E,4,0)</f>
        <v>C6H10O3</v>
      </c>
      <c r="F392" t="str">
        <f>VLOOKUP(B392,[1]물질정보!B:F,5,0)</f>
        <v>130.139 g/mol</v>
      </c>
      <c r="G392" s="5" t="str">
        <f>VLOOKUP(B392,[1]물질정보!B:G,6,0)</f>
        <v>CC(=C)C(=O)OCCO</v>
      </c>
      <c r="H392" t="s">
        <v>26</v>
      </c>
      <c r="I392" t="s">
        <v>127</v>
      </c>
      <c r="J392" t="s">
        <v>128</v>
      </c>
      <c r="K392">
        <v>137.5</v>
      </c>
      <c r="L392" t="s">
        <v>129</v>
      </c>
      <c r="M392" t="s">
        <v>53</v>
      </c>
      <c r="N392" t="s">
        <v>29</v>
      </c>
      <c r="O392" t="s">
        <v>29</v>
      </c>
      <c r="P392">
        <v>96</v>
      </c>
      <c r="Q392" t="s">
        <v>31</v>
      </c>
      <c r="R392" t="s">
        <v>32</v>
      </c>
      <c r="S392" t="s">
        <v>29</v>
      </c>
      <c r="T392" t="s">
        <v>40</v>
      </c>
      <c r="U392" t="s">
        <v>130</v>
      </c>
      <c r="V392" s="6" t="s">
        <v>131</v>
      </c>
      <c r="W392" t="s">
        <v>53</v>
      </c>
      <c r="X392" t="s">
        <v>37</v>
      </c>
      <c r="Y392" s="6" t="s">
        <v>128</v>
      </c>
    </row>
    <row r="393" spans="2:25" x14ac:dyDescent="0.3">
      <c r="B393" s="5" t="s">
        <v>69</v>
      </c>
      <c r="C393" s="5" t="str">
        <f>VLOOKUP(B393,[1]물질정보!B:C,2,0)</f>
        <v>868-77-9</v>
      </c>
      <c r="D393" t="str">
        <f>VLOOKUP(B393,[1]물질정보!B:D,3,0)</f>
        <v>2-hydroxyethyl methacrylate</v>
      </c>
      <c r="E393" t="str">
        <f>VLOOKUP(B393,[1]물질정보!B:E,4,0)</f>
        <v>C6H10O3</v>
      </c>
      <c r="F393" t="str">
        <f>VLOOKUP(B393,[1]물질정보!B:F,5,0)</f>
        <v>130.139 g/mol</v>
      </c>
      <c r="G393" s="5" t="str">
        <f>VLOOKUP(B393,[1]물질정보!B:G,6,0)</f>
        <v>CC(=C)C(=O)OCCO</v>
      </c>
      <c r="H393" t="s">
        <v>26</v>
      </c>
      <c r="I393" t="s">
        <v>132</v>
      </c>
      <c r="J393" t="s">
        <v>28</v>
      </c>
      <c r="K393">
        <v>43.24</v>
      </c>
      <c r="L393" t="s">
        <v>129</v>
      </c>
      <c r="M393" t="s">
        <v>47</v>
      </c>
      <c r="N393" t="s">
        <v>29</v>
      </c>
      <c r="O393" t="s">
        <v>29</v>
      </c>
      <c r="P393">
        <v>48</v>
      </c>
      <c r="Q393" t="s">
        <v>31</v>
      </c>
      <c r="R393" t="s">
        <v>32</v>
      </c>
      <c r="S393" t="s">
        <v>29</v>
      </c>
      <c r="T393" t="s">
        <v>40</v>
      </c>
      <c r="U393" t="s">
        <v>149</v>
      </c>
      <c r="V393" s="6" t="s">
        <v>131</v>
      </c>
      <c r="W393" t="s">
        <v>47</v>
      </c>
      <c r="X393" t="s">
        <v>48</v>
      </c>
      <c r="Y393" s="6" t="s">
        <v>28</v>
      </c>
    </row>
    <row r="394" spans="2:25" x14ac:dyDescent="0.3">
      <c r="B394" s="5" t="s">
        <v>69</v>
      </c>
      <c r="C394" s="5" t="str">
        <f>VLOOKUP(B394,[1]물질정보!B:C,2,0)</f>
        <v>868-77-9</v>
      </c>
      <c r="D394" t="str">
        <f>VLOOKUP(B394,[1]물질정보!B:D,3,0)</f>
        <v>2-hydroxyethyl methacrylate</v>
      </c>
      <c r="E394" t="str">
        <f>VLOOKUP(B394,[1]물질정보!B:E,4,0)</f>
        <v>C6H10O3</v>
      </c>
      <c r="F394" t="str">
        <f>VLOOKUP(B394,[1]물질정보!B:F,5,0)</f>
        <v>130.139 g/mol</v>
      </c>
      <c r="G394" s="5" t="str">
        <f>VLOOKUP(B394,[1]물질정보!B:G,6,0)</f>
        <v>CC(=C)C(=O)OCCO</v>
      </c>
      <c r="H394" t="s">
        <v>26</v>
      </c>
      <c r="I394" t="s">
        <v>134</v>
      </c>
      <c r="J394" t="s">
        <v>28</v>
      </c>
      <c r="K394">
        <v>80.319999999999993</v>
      </c>
      <c r="L394" t="s">
        <v>129</v>
      </c>
      <c r="M394" t="s">
        <v>135</v>
      </c>
      <c r="N394" t="s">
        <v>29</v>
      </c>
      <c r="O394" t="s">
        <v>29</v>
      </c>
      <c r="P394">
        <v>72</v>
      </c>
      <c r="Q394" t="s">
        <v>31</v>
      </c>
      <c r="R394" t="s">
        <v>32</v>
      </c>
      <c r="S394" t="s">
        <v>29</v>
      </c>
      <c r="T394" t="s">
        <v>40</v>
      </c>
      <c r="U394" t="s">
        <v>150</v>
      </c>
      <c r="V394" s="6" t="s">
        <v>131</v>
      </c>
      <c r="W394" t="s">
        <v>43</v>
      </c>
      <c r="X394" t="s">
        <v>44</v>
      </c>
      <c r="Y394" s="6" t="s">
        <v>28</v>
      </c>
    </row>
    <row r="395" spans="2:25" x14ac:dyDescent="0.3">
      <c r="B395" s="5" t="s">
        <v>69</v>
      </c>
      <c r="C395" s="5" t="str">
        <f>VLOOKUP(B395,[1]물질정보!B:C,2,0)</f>
        <v>868-77-9</v>
      </c>
      <c r="D395" t="str">
        <f>VLOOKUP(B395,[1]물질정보!B:D,3,0)</f>
        <v>2-hydroxyethyl methacrylate</v>
      </c>
      <c r="E395" t="str">
        <f>VLOOKUP(B395,[1]물질정보!B:E,4,0)</f>
        <v>C6H10O3</v>
      </c>
      <c r="F395" t="str">
        <f>VLOOKUP(B395,[1]물질정보!B:F,5,0)</f>
        <v>130.139 g/mol</v>
      </c>
      <c r="G395" s="5" t="str">
        <f>VLOOKUP(B395,[1]물질정보!B:G,6,0)</f>
        <v>CC(=C)C(=O)OCCO</v>
      </c>
      <c r="H395" t="s">
        <v>26</v>
      </c>
      <c r="I395" t="s">
        <v>143</v>
      </c>
      <c r="J395" t="s">
        <v>144</v>
      </c>
      <c r="K395" t="s">
        <v>153</v>
      </c>
      <c r="L395" t="s">
        <v>29</v>
      </c>
      <c r="M395" t="s">
        <v>29</v>
      </c>
      <c r="N395" t="s">
        <v>29</v>
      </c>
      <c r="O395" t="s">
        <v>29</v>
      </c>
      <c r="P395" t="s">
        <v>29</v>
      </c>
      <c r="Q395" t="s">
        <v>29</v>
      </c>
      <c r="R395" t="s">
        <v>32</v>
      </c>
      <c r="S395" t="s">
        <v>29</v>
      </c>
      <c r="T395" t="s">
        <v>40</v>
      </c>
      <c r="U395" t="s">
        <v>146</v>
      </c>
      <c r="V395" s="6" t="s">
        <v>131</v>
      </c>
      <c r="W395" t="s">
        <v>147</v>
      </c>
      <c r="X395" t="s">
        <v>148</v>
      </c>
      <c r="Y395" s="6" t="s">
        <v>144</v>
      </c>
    </row>
    <row r="396" spans="2:25" x14ac:dyDescent="0.3">
      <c r="B396" s="5" t="s">
        <v>69</v>
      </c>
      <c r="C396" s="5" t="str">
        <f>VLOOKUP(B396,[1]물질정보!B:C,2,0)</f>
        <v>868-77-9</v>
      </c>
      <c r="D396" t="str">
        <f>VLOOKUP(B396,[1]물질정보!B:D,3,0)</f>
        <v>2-hydroxyethyl methacrylate</v>
      </c>
      <c r="E396" t="str">
        <f>VLOOKUP(B396,[1]물질정보!B:E,4,0)</f>
        <v>C6H10O3</v>
      </c>
      <c r="F396" t="str">
        <f>VLOOKUP(B396,[1]물질정보!B:F,5,0)</f>
        <v>130.139 g/mol</v>
      </c>
      <c r="G396" s="5" t="str">
        <f>VLOOKUP(B396,[1]물질정보!B:G,6,0)</f>
        <v>CC(=C)C(=O)OCCO</v>
      </c>
      <c r="H396" t="s">
        <v>79</v>
      </c>
      <c r="I396" t="s">
        <v>137</v>
      </c>
      <c r="J396" t="s">
        <v>89</v>
      </c>
      <c r="K396" t="s">
        <v>90</v>
      </c>
      <c r="L396" t="s">
        <v>29</v>
      </c>
      <c r="M396" t="s">
        <v>93</v>
      </c>
      <c r="N396" t="s">
        <v>29</v>
      </c>
      <c r="O396" t="s">
        <v>29</v>
      </c>
      <c r="P396" t="s">
        <v>29</v>
      </c>
      <c r="Q396" t="s">
        <v>29</v>
      </c>
      <c r="R396" t="s">
        <v>32</v>
      </c>
      <c r="S396" t="s">
        <v>29</v>
      </c>
      <c r="T396" t="s">
        <v>40</v>
      </c>
      <c r="U396" t="s">
        <v>151</v>
      </c>
      <c r="V396" s="6" t="s">
        <v>131</v>
      </c>
      <c r="W396" t="s">
        <v>93</v>
      </c>
      <c r="X396" t="s">
        <v>29</v>
      </c>
      <c r="Y396" s="6" t="s">
        <v>89</v>
      </c>
    </row>
    <row r="397" spans="2:25" x14ac:dyDescent="0.3">
      <c r="B397" s="5" t="s">
        <v>69</v>
      </c>
      <c r="C397" s="5" t="str">
        <f>VLOOKUP(B397,[1]물질정보!B:C,2,0)</f>
        <v>868-77-9</v>
      </c>
      <c r="D397" t="str">
        <f>VLOOKUP(B397,[1]물질정보!B:D,3,0)</f>
        <v>2-hydroxyethyl methacrylate</v>
      </c>
      <c r="E397" t="str">
        <f>VLOOKUP(B397,[1]물질정보!B:E,4,0)</f>
        <v>C6H10O3</v>
      </c>
      <c r="F397" t="str">
        <f>VLOOKUP(B397,[1]물질정보!B:F,5,0)</f>
        <v>130.139 g/mol</v>
      </c>
      <c r="G397" s="5" t="str">
        <f>VLOOKUP(B397,[1]물질정보!B:G,6,0)</f>
        <v>CC(=C)C(=O)OCCO</v>
      </c>
      <c r="H397" t="s">
        <v>79</v>
      </c>
      <c r="I397" t="s">
        <v>139</v>
      </c>
      <c r="J397" t="s">
        <v>98</v>
      </c>
      <c r="K397" t="s">
        <v>99</v>
      </c>
      <c r="L397" t="s">
        <v>29</v>
      </c>
      <c r="M397" t="s">
        <v>100</v>
      </c>
      <c r="N397" t="s">
        <v>29</v>
      </c>
      <c r="O397" t="s">
        <v>29</v>
      </c>
      <c r="P397" t="s">
        <v>29</v>
      </c>
      <c r="Q397" t="s">
        <v>29</v>
      </c>
      <c r="R397" t="s">
        <v>32</v>
      </c>
      <c r="S397" t="s">
        <v>29</v>
      </c>
      <c r="T397" t="s">
        <v>40</v>
      </c>
      <c r="U397" t="s">
        <v>140</v>
      </c>
      <c r="V397" s="6" t="s">
        <v>131</v>
      </c>
      <c r="W397" t="s">
        <v>101</v>
      </c>
      <c r="X397" t="s">
        <v>29</v>
      </c>
      <c r="Y397" s="6" t="s">
        <v>98</v>
      </c>
    </row>
    <row r="398" spans="2:25" x14ac:dyDescent="0.3">
      <c r="B398" s="5" t="s">
        <v>69</v>
      </c>
      <c r="C398" s="5" t="str">
        <f>VLOOKUP(B398,[1]물질정보!B:C,2,0)</f>
        <v>868-77-9</v>
      </c>
      <c r="D398" t="str">
        <f>VLOOKUP(B398,[1]물질정보!B:D,3,0)</f>
        <v>2-hydroxyethyl methacrylate</v>
      </c>
      <c r="E398" t="str">
        <f>VLOOKUP(B398,[1]물질정보!B:E,4,0)</f>
        <v>C6H10O3</v>
      </c>
      <c r="F398" t="str">
        <f>VLOOKUP(B398,[1]물질정보!B:F,5,0)</f>
        <v>130.139 g/mol</v>
      </c>
      <c r="G398" s="5" t="str">
        <f>VLOOKUP(B398,[1]물질정보!B:G,6,0)</f>
        <v>CC(=C)C(=O)OCCO</v>
      </c>
      <c r="H398" t="s">
        <v>79</v>
      </c>
      <c r="I398" t="s">
        <v>141</v>
      </c>
      <c r="J398" t="s">
        <v>824</v>
      </c>
      <c r="K398" t="s">
        <v>90</v>
      </c>
      <c r="L398" t="s">
        <v>29</v>
      </c>
      <c r="M398" t="s">
        <v>122</v>
      </c>
      <c r="N398" t="s">
        <v>29</v>
      </c>
      <c r="O398" t="s">
        <v>29</v>
      </c>
      <c r="P398" t="s">
        <v>29</v>
      </c>
      <c r="Q398" t="s">
        <v>29</v>
      </c>
      <c r="R398" t="s">
        <v>32</v>
      </c>
      <c r="S398" t="s">
        <v>29</v>
      </c>
      <c r="T398" t="s">
        <v>40</v>
      </c>
      <c r="U398" t="s">
        <v>152</v>
      </c>
      <c r="V398" s="6" t="s">
        <v>131</v>
      </c>
      <c r="W398" t="s">
        <v>112</v>
      </c>
      <c r="X398" t="s">
        <v>29</v>
      </c>
      <c r="Y398" s="6" t="s">
        <v>753</v>
      </c>
    </row>
    <row r="399" spans="2:25" x14ac:dyDescent="0.3">
      <c r="B399" s="5" t="s">
        <v>25</v>
      </c>
      <c r="C399" s="5" t="str">
        <f>VLOOKUP(B399,[1]물질정보!B:C,2,0)</f>
        <v>97-88-1</v>
      </c>
      <c r="D399" t="str">
        <f>VLOOKUP(B399,[1]물질정보!B:D,3,0)</f>
        <v>butyl methacrylate</v>
      </c>
      <c r="E399" t="str">
        <f>VLOOKUP(B399,[1]물질정보!B:E,4,0)</f>
        <v>C8H14O2</v>
      </c>
      <c r="F399" t="str">
        <f>VLOOKUP(B399,[1]물질정보!B:F,5,0)</f>
        <v>142.2 g/mol</v>
      </c>
      <c r="G399" s="5" t="str">
        <f>VLOOKUP(B399,[1]물질정보!B:G,6,0)</f>
        <v>CCCCOC(=O)C(=C)C</v>
      </c>
      <c r="H399" t="s">
        <v>26</v>
      </c>
      <c r="I399" t="s">
        <v>127</v>
      </c>
      <c r="J399" t="s">
        <v>128</v>
      </c>
      <c r="K399">
        <v>40.86</v>
      </c>
      <c r="L399" t="s">
        <v>129</v>
      </c>
      <c r="M399" t="s">
        <v>53</v>
      </c>
      <c r="N399" t="s">
        <v>29</v>
      </c>
      <c r="O399" t="s">
        <v>29</v>
      </c>
      <c r="P399">
        <v>96</v>
      </c>
      <c r="Q399" t="s">
        <v>31</v>
      </c>
      <c r="R399" t="s">
        <v>32</v>
      </c>
      <c r="S399" t="s">
        <v>29</v>
      </c>
      <c r="T399" t="s">
        <v>40</v>
      </c>
      <c r="U399" t="s">
        <v>130</v>
      </c>
      <c r="V399" s="6" t="s">
        <v>131</v>
      </c>
      <c r="W399" t="s">
        <v>53</v>
      </c>
      <c r="X399" t="s">
        <v>37</v>
      </c>
      <c r="Y399" s="6" t="s">
        <v>128</v>
      </c>
    </row>
    <row r="400" spans="2:25" x14ac:dyDescent="0.3">
      <c r="B400" s="5" t="s">
        <v>25</v>
      </c>
      <c r="C400" s="5" t="str">
        <f>VLOOKUP(B400,[1]물질정보!B:C,2,0)</f>
        <v>97-88-1</v>
      </c>
      <c r="D400" t="str">
        <f>VLOOKUP(B400,[1]물질정보!B:D,3,0)</f>
        <v>butyl methacrylate</v>
      </c>
      <c r="E400" t="str">
        <f>VLOOKUP(B400,[1]물질정보!B:E,4,0)</f>
        <v>C8H14O2</v>
      </c>
      <c r="F400" t="str">
        <f>VLOOKUP(B400,[1]물질정보!B:F,5,0)</f>
        <v>142.2 g/mol</v>
      </c>
      <c r="G400" s="5" t="str">
        <f>VLOOKUP(B400,[1]물질정보!B:G,6,0)</f>
        <v>CCCCOC(=O)C(=C)C</v>
      </c>
      <c r="H400" t="s">
        <v>26</v>
      </c>
      <c r="I400" t="s">
        <v>132</v>
      </c>
      <c r="J400" t="s">
        <v>28</v>
      </c>
      <c r="K400" t="s">
        <v>29</v>
      </c>
      <c r="L400" t="s">
        <v>129</v>
      </c>
      <c r="M400" t="s">
        <v>47</v>
      </c>
      <c r="N400" t="s">
        <v>29</v>
      </c>
      <c r="O400" t="s">
        <v>29</v>
      </c>
      <c r="P400">
        <v>48</v>
      </c>
      <c r="Q400" t="s">
        <v>31</v>
      </c>
      <c r="R400" t="s">
        <v>32</v>
      </c>
      <c r="S400" t="s">
        <v>29</v>
      </c>
      <c r="T400" t="s">
        <v>154</v>
      </c>
      <c r="U400" t="s">
        <v>149</v>
      </c>
      <c r="V400" s="6" t="s">
        <v>131</v>
      </c>
      <c r="W400" t="s">
        <v>47</v>
      </c>
      <c r="X400" t="s">
        <v>48</v>
      </c>
      <c r="Y400" s="6" t="s">
        <v>28</v>
      </c>
    </row>
    <row r="401" spans="2:25" x14ac:dyDescent="0.3">
      <c r="B401" s="5" t="s">
        <v>25</v>
      </c>
      <c r="C401" s="5" t="str">
        <f>VLOOKUP(B401,[1]물질정보!B:C,2,0)</f>
        <v>97-88-1</v>
      </c>
      <c r="D401" t="str">
        <f>VLOOKUP(B401,[1]물질정보!B:D,3,0)</f>
        <v>butyl methacrylate</v>
      </c>
      <c r="E401" t="str">
        <f>VLOOKUP(B401,[1]물질정보!B:E,4,0)</f>
        <v>C8H14O2</v>
      </c>
      <c r="F401" t="str">
        <f>VLOOKUP(B401,[1]물질정보!B:F,5,0)</f>
        <v>142.2 g/mol</v>
      </c>
      <c r="G401" s="5" t="str">
        <f>VLOOKUP(B401,[1]물질정보!B:G,6,0)</f>
        <v>CCCCOC(=O)C(=C)C</v>
      </c>
      <c r="H401" t="s">
        <v>26</v>
      </c>
      <c r="I401" t="s">
        <v>134</v>
      </c>
      <c r="J401" t="s">
        <v>28</v>
      </c>
      <c r="K401">
        <v>60.44</v>
      </c>
      <c r="L401" t="s">
        <v>129</v>
      </c>
      <c r="M401" t="s">
        <v>135</v>
      </c>
      <c r="N401" t="s">
        <v>29</v>
      </c>
      <c r="O401" t="s">
        <v>29</v>
      </c>
      <c r="P401">
        <v>72</v>
      </c>
      <c r="Q401" t="s">
        <v>31</v>
      </c>
      <c r="R401" t="s">
        <v>32</v>
      </c>
      <c r="S401" t="s">
        <v>29</v>
      </c>
      <c r="T401" t="s">
        <v>40</v>
      </c>
      <c r="U401" t="s">
        <v>150</v>
      </c>
      <c r="V401" s="6" t="s">
        <v>131</v>
      </c>
      <c r="W401" t="s">
        <v>43</v>
      </c>
      <c r="X401" t="s">
        <v>44</v>
      </c>
      <c r="Y401" s="6" t="s">
        <v>28</v>
      </c>
    </row>
    <row r="402" spans="2:25" x14ac:dyDescent="0.3">
      <c r="B402" s="5" t="s">
        <v>25</v>
      </c>
      <c r="C402" s="5" t="str">
        <f>VLOOKUP(B402,[1]물질정보!B:C,2,0)</f>
        <v>97-88-1</v>
      </c>
      <c r="D402" t="str">
        <f>VLOOKUP(B402,[1]물질정보!B:D,3,0)</f>
        <v>butyl methacrylate</v>
      </c>
      <c r="E402" t="str">
        <f>VLOOKUP(B402,[1]물질정보!B:E,4,0)</f>
        <v>C8H14O2</v>
      </c>
      <c r="F402" t="str">
        <f>VLOOKUP(B402,[1]물질정보!B:F,5,0)</f>
        <v>142.2 g/mol</v>
      </c>
      <c r="G402" s="5" t="str">
        <f>VLOOKUP(B402,[1]물질정보!B:G,6,0)</f>
        <v>CCCCOC(=O)C(=C)C</v>
      </c>
      <c r="H402" t="s">
        <v>26</v>
      </c>
      <c r="I402" t="s">
        <v>143</v>
      </c>
      <c r="J402" t="s">
        <v>144</v>
      </c>
      <c r="K402" t="s">
        <v>153</v>
      </c>
      <c r="L402" t="s">
        <v>29</v>
      </c>
      <c r="M402" t="s">
        <v>29</v>
      </c>
      <c r="N402" t="s">
        <v>29</v>
      </c>
      <c r="O402" t="s">
        <v>29</v>
      </c>
      <c r="P402" t="s">
        <v>29</v>
      </c>
      <c r="Q402" t="s">
        <v>29</v>
      </c>
      <c r="R402" t="s">
        <v>32</v>
      </c>
      <c r="S402" t="s">
        <v>29</v>
      </c>
      <c r="T402" t="s">
        <v>40</v>
      </c>
      <c r="U402" t="s">
        <v>146</v>
      </c>
      <c r="V402" s="6" t="s">
        <v>131</v>
      </c>
      <c r="W402" t="s">
        <v>147</v>
      </c>
      <c r="X402" t="s">
        <v>148</v>
      </c>
      <c r="Y402" s="6" t="s">
        <v>144</v>
      </c>
    </row>
    <row r="403" spans="2:25" x14ac:dyDescent="0.3">
      <c r="B403" s="5" t="s">
        <v>25</v>
      </c>
      <c r="C403" s="5" t="str">
        <f>VLOOKUP(B403,[1]물질정보!B:C,2,0)</f>
        <v>97-88-1</v>
      </c>
      <c r="D403" t="str">
        <f>VLOOKUP(B403,[1]물질정보!B:D,3,0)</f>
        <v>butyl methacrylate</v>
      </c>
      <c r="E403" t="str">
        <f>VLOOKUP(B403,[1]물질정보!B:E,4,0)</f>
        <v>C8H14O2</v>
      </c>
      <c r="F403" t="str">
        <f>VLOOKUP(B403,[1]물질정보!B:F,5,0)</f>
        <v>142.2 g/mol</v>
      </c>
      <c r="G403" s="5" t="str">
        <f>VLOOKUP(B403,[1]물질정보!B:G,6,0)</f>
        <v>CCCCOC(=O)C(=C)C</v>
      </c>
      <c r="H403" t="s">
        <v>79</v>
      </c>
      <c r="I403" t="s">
        <v>137</v>
      </c>
      <c r="J403" t="s">
        <v>89</v>
      </c>
      <c r="K403" t="s">
        <v>90</v>
      </c>
      <c r="L403" t="s">
        <v>29</v>
      </c>
      <c r="M403" t="s">
        <v>93</v>
      </c>
      <c r="N403" t="s">
        <v>29</v>
      </c>
      <c r="O403" t="s">
        <v>29</v>
      </c>
      <c r="P403" t="s">
        <v>29</v>
      </c>
      <c r="Q403" t="s">
        <v>29</v>
      </c>
      <c r="R403" t="s">
        <v>32</v>
      </c>
      <c r="S403" t="s">
        <v>29</v>
      </c>
      <c r="T403" t="s">
        <v>40</v>
      </c>
      <c r="U403" t="s">
        <v>151</v>
      </c>
      <c r="V403" s="6" t="s">
        <v>131</v>
      </c>
      <c r="W403" t="s">
        <v>93</v>
      </c>
      <c r="X403" t="s">
        <v>29</v>
      </c>
      <c r="Y403" s="6" t="s">
        <v>89</v>
      </c>
    </row>
    <row r="404" spans="2:25" x14ac:dyDescent="0.3">
      <c r="B404" s="5" t="s">
        <v>25</v>
      </c>
      <c r="C404" s="5" t="str">
        <f>VLOOKUP(B404,[1]물질정보!B:C,2,0)</f>
        <v>97-88-1</v>
      </c>
      <c r="D404" t="str">
        <f>VLOOKUP(B404,[1]물질정보!B:D,3,0)</f>
        <v>butyl methacrylate</v>
      </c>
      <c r="E404" t="str">
        <f>VLOOKUP(B404,[1]물질정보!B:E,4,0)</f>
        <v>C8H14O2</v>
      </c>
      <c r="F404" t="str">
        <f>VLOOKUP(B404,[1]물질정보!B:F,5,0)</f>
        <v>142.2 g/mol</v>
      </c>
      <c r="G404" s="5" t="str">
        <f>VLOOKUP(B404,[1]물질정보!B:G,6,0)</f>
        <v>CCCCOC(=O)C(=C)C</v>
      </c>
      <c r="H404" t="s">
        <v>79</v>
      </c>
      <c r="I404" t="s">
        <v>139</v>
      </c>
      <c r="J404" t="s">
        <v>98</v>
      </c>
      <c r="K404" t="s">
        <v>99</v>
      </c>
      <c r="L404" t="s">
        <v>29</v>
      </c>
      <c r="M404" t="s">
        <v>100</v>
      </c>
      <c r="N404" t="s">
        <v>29</v>
      </c>
      <c r="O404" t="s">
        <v>29</v>
      </c>
      <c r="P404" t="s">
        <v>29</v>
      </c>
      <c r="Q404" t="s">
        <v>29</v>
      </c>
      <c r="R404" t="s">
        <v>32</v>
      </c>
      <c r="S404" t="s">
        <v>29</v>
      </c>
      <c r="T404" t="s">
        <v>40</v>
      </c>
      <c r="U404" t="s">
        <v>140</v>
      </c>
      <c r="V404" s="6" t="s">
        <v>131</v>
      </c>
      <c r="W404" t="s">
        <v>101</v>
      </c>
      <c r="X404" t="s">
        <v>29</v>
      </c>
      <c r="Y404" s="6" t="s">
        <v>98</v>
      </c>
    </row>
    <row r="405" spans="2:25" x14ac:dyDescent="0.3">
      <c r="B405" s="5" t="s">
        <v>25</v>
      </c>
      <c r="C405" s="5" t="str">
        <f>VLOOKUP(B405,[1]물질정보!B:C,2,0)</f>
        <v>97-88-1</v>
      </c>
      <c r="D405" t="str">
        <f>VLOOKUP(B405,[1]물질정보!B:D,3,0)</f>
        <v>butyl methacrylate</v>
      </c>
      <c r="E405" t="str">
        <f>VLOOKUP(B405,[1]물질정보!B:E,4,0)</f>
        <v>C8H14O2</v>
      </c>
      <c r="F405" t="str">
        <f>VLOOKUP(B405,[1]물질정보!B:F,5,0)</f>
        <v>142.2 g/mol</v>
      </c>
      <c r="G405" s="5" t="str">
        <f>VLOOKUP(B405,[1]물질정보!B:G,6,0)</f>
        <v>CCCCOC(=O)C(=C)C</v>
      </c>
      <c r="H405" t="s">
        <v>79</v>
      </c>
      <c r="I405" t="s">
        <v>141</v>
      </c>
      <c r="J405" t="s">
        <v>824</v>
      </c>
      <c r="K405" t="s">
        <v>90</v>
      </c>
      <c r="L405" t="s">
        <v>29</v>
      </c>
      <c r="M405" t="s">
        <v>122</v>
      </c>
      <c r="N405" t="s">
        <v>29</v>
      </c>
      <c r="O405" t="s">
        <v>29</v>
      </c>
      <c r="P405" t="s">
        <v>29</v>
      </c>
      <c r="Q405" t="s">
        <v>29</v>
      </c>
      <c r="R405" t="s">
        <v>32</v>
      </c>
      <c r="S405" t="s">
        <v>29</v>
      </c>
      <c r="T405" t="s">
        <v>40</v>
      </c>
      <c r="U405" t="s">
        <v>152</v>
      </c>
      <c r="V405" s="6" t="s">
        <v>131</v>
      </c>
      <c r="W405" t="s">
        <v>112</v>
      </c>
      <c r="X405" t="s">
        <v>29</v>
      </c>
      <c r="Y405" s="6" t="s">
        <v>753</v>
      </c>
    </row>
    <row r="406" spans="2:25" x14ac:dyDescent="0.3">
      <c r="B406" s="5" t="s">
        <v>68</v>
      </c>
      <c r="C406" s="5" t="str">
        <f>VLOOKUP(B406,[1]물질정보!B:C,2,0)</f>
        <v>997-46-6</v>
      </c>
      <c r="D406" t="str">
        <f>VLOOKUP(B406,[1]물질정보!B:D,3,0)</f>
        <v>4-hydroxybutyl methacrylate</v>
      </c>
      <c r="E406" t="str">
        <f>VLOOKUP(B406,[1]물질정보!B:E,4,0)</f>
        <v>C8H14O3</v>
      </c>
      <c r="F406" t="str">
        <f>VLOOKUP(B406,[1]물질정보!B:F,5,0)</f>
        <v>158.19 g/mol</v>
      </c>
      <c r="G406" s="5" t="str">
        <f>VLOOKUP(B406,[1]물질정보!B:G,6,0)</f>
        <v>CC(=C)C(=O)OCCCCO</v>
      </c>
      <c r="H406" t="s">
        <v>26</v>
      </c>
      <c r="I406" t="s">
        <v>127</v>
      </c>
      <c r="J406" t="s">
        <v>128</v>
      </c>
      <c r="K406">
        <v>2.976</v>
      </c>
      <c r="L406" t="s">
        <v>129</v>
      </c>
      <c r="M406" t="s">
        <v>53</v>
      </c>
      <c r="N406" t="s">
        <v>29</v>
      </c>
      <c r="O406" t="s">
        <v>29</v>
      </c>
      <c r="P406">
        <v>96</v>
      </c>
      <c r="Q406" t="s">
        <v>31</v>
      </c>
      <c r="R406" t="s">
        <v>32</v>
      </c>
      <c r="S406" t="s">
        <v>29</v>
      </c>
      <c r="T406" t="s">
        <v>40</v>
      </c>
      <c r="U406" t="s">
        <v>130</v>
      </c>
      <c r="V406" s="6" t="s">
        <v>131</v>
      </c>
      <c r="W406" t="s">
        <v>53</v>
      </c>
      <c r="X406" t="s">
        <v>37</v>
      </c>
      <c r="Y406" s="6" t="s">
        <v>128</v>
      </c>
    </row>
    <row r="407" spans="2:25" x14ac:dyDescent="0.3">
      <c r="B407" s="5" t="s">
        <v>68</v>
      </c>
      <c r="C407" s="5" t="str">
        <f>VLOOKUP(B407,[1]물질정보!B:C,2,0)</f>
        <v>997-46-6</v>
      </c>
      <c r="D407" t="str">
        <f>VLOOKUP(B407,[1]물질정보!B:D,3,0)</f>
        <v>4-hydroxybutyl methacrylate</v>
      </c>
      <c r="E407" t="str">
        <f>VLOOKUP(B407,[1]물질정보!B:E,4,0)</f>
        <v>C8H14O3</v>
      </c>
      <c r="F407" t="str">
        <f>VLOOKUP(B407,[1]물질정보!B:F,5,0)</f>
        <v>158.19 g/mol</v>
      </c>
      <c r="G407" s="5" t="str">
        <f>VLOOKUP(B407,[1]물질정보!B:G,6,0)</f>
        <v>CC(=C)C(=O)OCCCCO</v>
      </c>
      <c r="H407" t="s">
        <v>26</v>
      </c>
      <c r="I407" t="s">
        <v>132</v>
      </c>
      <c r="J407" t="s">
        <v>28</v>
      </c>
      <c r="K407">
        <v>26.86</v>
      </c>
      <c r="L407" t="s">
        <v>129</v>
      </c>
      <c r="M407" t="s">
        <v>47</v>
      </c>
      <c r="N407" t="s">
        <v>29</v>
      </c>
      <c r="O407" t="s">
        <v>29</v>
      </c>
      <c r="P407">
        <v>48</v>
      </c>
      <c r="Q407" t="s">
        <v>31</v>
      </c>
      <c r="R407" t="s">
        <v>32</v>
      </c>
      <c r="S407" t="s">
        <v>29</v>
      </c>
      <c r="T407" t="s">
        <v>40</v>
      </c>
      <c r="U407" t="s">
        <v>149</v>
      </c>
      <c r="V407" s="6" t="s">
        <v>131</v>
      </c>
      <c r="W407" t="s">
        <v>47</v>
      </c>
      <c r="X407" t="s">
        <v>48</v>
      </c>
      <c r="Y407" s="6" t="s">
        <v>28</v>
      </c>
    </row>
    <row r="408" spans="2:25" x14ac:dyDescent="0.3">
      <c r="B408" s="5" t="s">
        <v>68</v>
      </c>
      <c r="C408" s="5" t="str">
        <f>VLOOKUP(B408,[1]물질정보!B:C,2,0)</f>
        <v>997-46-6</v>
      </c>
      <c r="D408" t="str">
        <f>VLOOKUP(B408,[1]물질정보!B:D,3,0)</f>
        <v>4-hydroxybutyl methacrylate</v>
      </c>
      <c r="E408" t="str">
        <f>VLOOKUP(B408,[1]물질정보!B:E,4,0)</f>
        <v>C8H14O3</v>
      </c>
      <c r="F408" t="str">
        <f>VLOOKUP(B408,[1]물질정보!B:F,5,0)</f>
        <v>158.19 g/mol</v>
      </c>
      <c r="G408" s="5" t="str">
        <f>VLOOKUP(B408,[1]물질정보!B:G,6,0)</f>
        <v>CC(=C)C(=O)OCCCCO</v>
      </c>
      <c r="H408" t="s">
        <v>26</v>
      </c>
      <c r="I408" t="s">
        <v>134</v>
      </c>
      <c r="J408" t="s">
        <v>28</v>
      </c>
      <c r="K408">
        <v>39.08</v>
      </c>
      <c r="L408" t="s">
        <v>129</v>
      </c>
      <c r="M408" t="s">
        <v>135</v>
      </c>
      <c r="N408" t="s">
        <v>29</v>
      </c>
      <c r="O408" t="s">
        <v>29</v>
      </c>
      <c r="P408">
        <v>72</v>
      </c>
      <c r="Q408" t="s">
        <v>31</v>
      </c>
      <c r="R408" t="s">
        <v>32</v>
      </c>
      <c r="S408" t="s">
        <v>29</v>
      </c>
      <c r="T408" t="s">
        <v>40</v>
      </c>
      <c r="U408" t="s">
        <v>150</v>
      </c>
      <c r="V408" s="6" t="s">
        <v>131</v>
      </c>
      <c r="W408" t="s">
        <v>43</v>
      </c>
      <c r="X408" t="s">
        <v>44</v>
      </c>
      <c r="Y408" s="6" t="s">
        <v>28</v>
      </c>
    </row>
    <row r="409" spans="2:25" x14ac:dyDescent="0.3">
      <c r="B409" s="5" t="s">
        <v>68</v>
      </c>
      <c r="C409" s="5" t="str">
        <f>VLOOKUP(B409,[1]물질정보!B:C,2,0)</f>
        <v>997-46-6</v>
      </c>
      <c r="D409" t="str">
        <f>VLOOKUP(B409,[1]물질정보!B:D,3,0)</f>
        <v>4-hydroxybutyl methacrylate</v>
      </c>
      <c r="E409" t="str">
        <f>VLOOKUP(B409,[1]물질정보!B:E,4,0)</f>
        <v>C8H14O3</v>
      </c>
      <c r="F409" t="str">
        <f>VLOOKUP(B409,[1]물질정보!B:F,5,0)</f>
        <v>158.19 g/mol</v>
      </c>
      <c r="G409" s="5" t="str">
        <f>VLOOKUP(B409,[1]물질정보!B:G,6,0)</f>
        <v>CC(=C)C(=O)OCCCCO</v>
      </c>
      <c r="H409" t="s">
        <v>26</v>
      </c>
      <c r="I409" t="s">
        <v>143</v>
      </c>
      <c r="J409" t="s">
        <v>144</v>
      </c>
      <c r="K409" t="s">
        <v>153</v>
      </c>
      <c r="L409" t="s">
        <v>29</v>
      </c>
      <c r="M409" t="s">
        <v>29</v>
      </c>
      <c r="N409" t="s">
        <v>29</v>
      </c>
      <c r="O409" t="s">
        <v>29</v>
      </c>
      <c r="P409" t="s">
        <v>29</v>
      </c>
      <c r="Q409" t="s">
        <v>29</v>
      </c>
      <c r="R409" t="s">
        <v>32</v>
      </c>
      <c r="S409" t="s">
        <v>29</v>
      </c>
      <c r="T409" t="s">
        <v>40</v>
      </c>
      <c r="U409" t="s">
        <v>146</v>
      </c>
      <c r="V409" s="6" t="s">
        <v>131</v>
      </c>
      <c r="W409" t="s">
        <v>147</v>
      </c>
      <c r="X409" t="s">
        <v>148</v>
      </c>
      <c r="Y409" s="6" t="s">
        <v>144</v>
      </c>
    </row>
    <row r="410" spans="2:25" x14ac:dyDescent="0.3">
      <c r="B410" s="5" t="s">
        <v>68</v>
      </c>
      <c r="C410" s="5" t="str">
        <f>VLOOKUP(B410,[1]물질정보!B:C,2,0)</f>
        <v>997-46-6</v>
      </c>
      <c r="D410" t="str">
        <f>VLOOKUP(B410,[1]물질정보!B:D,3,0)</f>
        <v>4-hydroxybutyl methacrylate</v>
      </c>
      <c r="E410" t="str">
        <f>VLOOKUP(B410,[1]물질정보!B:E,4,0)</f>
        <v>C8H14O3</v>
      </c>
      <c r="F410" t="str">
        <f>VLOOKUP(B410,[1]물질정보!B:F,5,0)</f>
        <v>158.19 g/mol</v>
      </c>
      <c r="G410" s="5" t="str">
        <f>VLOOKUP(B410,[1]물질정보!B:G,6,0)</f>
        <v>CC(=C)C(=O)OCCCCO</v>
      </c>
      <c r="H410" t="s">
        <v>79</v>
      </c>
      <c r="I410" t="s">
        <v>137</v>
      </c>
      <c r="J410" t="s">
        <v>89</v>
      </c>
      <c r="K410" t="s">
        <v>90</v>
      </c>
      <c r="L410" t="s">
        <v>29</v>
      </c>
      <c r="M410" t="s">
        <v>93</v>
      </c>
      <c r="N410" t="s">
        <v>29</v>
      </c>
      <c r="O410" t="s">
        <v>29</v>
      </c>
      <c r="P410" t="s">
        <v>29</v>
      </c>
      <c r="Q410" t="s">
        <v>29</v>
      </c>
      <c r="R410" t="s">
        <v>32</v>
      </c>
      <c r="S410" t="s">
        <v>29</v>
      </c>
      <c r="T410" t="s">
        <v>40</v>
      </c>
      <c r="U410" t="s">
        <v>151</v>
      </c>
      <c r="V410" s="6" t="s">
        <v>131</v>
      </c>
      <c r="W410" t="s">
        <v>93</v>
      </c>
      <c r="X410" t="s">
        <v>29</v>
      </c>
      <c r="Y410" s="6" t="s">
        <v>89</v>
      </c>
    </row>
    <row r="411" spans="2:25" x14ac:dyDescent="0.3">
      <c r="B411" s="5" t="s">
        <v>68</v>
      </c>
      <c r="C411" s="5" t="str">
        <f>VLOOKUP(B411,[1]물질정보!B:C,2,0)</f>
        <v>997-46-6</v>
      </c>
      <c r="D411" t="str">
        <f>VLOOKUP(B411,[1]물질정보!B:D,3,0)</f>
        <v>4-hydroxybutyl methacrylate</v>
      </c>
      <c r="E411" t="str">
        <f>VLOOKUP(B411,[1]물질정보!B:E,4,0)</f>
        <v>C8H14O3</v>
      </c>
      <c r="F411" t="str">
        <f>VLOOKUP(B411,[1]물질정보!B:F,5,0)</f>
        <v>158.19 g/mol</v>
      </c>
      <c r="G411" s="5" t="str">
        <f>VLOOKUP(B411,[1]물질정보!B:G,6,0)</f>
        <v>CC(=C)C(=O)OCCCCO</v>
      </c>
      <c r="H411" t="s">
        <v>79</v>
      </c>
      <c r="I411" t="s">
        <v>139</v>
      </c>
      <c r="J411" t="s">
        <v>98</v>
      </c>
      <c r="K411" t="s">
        <v>99</v>
      </c>
      <c r="L411" t="s">
        <v>29</v>
      </c>
      <c r="M411" t="s">
        <v>100</v>
      </c>
      <c r="N411" t="s">
        <v>29</v>
      </c>
      <c r="O411" t="s">
        <v>29</v>
      </c>
      <c r="P411" t="s">
        <v>29</v>
      </c>
      <c r="Q411" t="s">
        <v>29</v>
      </c>
      <c r="R411" t="s">
        <v>32</v>
      </c>
      <c r="S411" t="s">
        <v>29</v>
      </c>
      <c r="T411" t="s">
        <v>40</v>
      </c>
      <c r="U411" t="s">
        <v>140</v>
      </c>
      <c r="V411" s="6" t="s">
        <v>131</v>
      </c>
      <c r="W411" t="s">
        <v>101</v>
      </c>
      <c r="X411" t="s">
        <v>29</v>
      </c>
      <c r="Y411" s="6" t="s">
        <v>98</v>
      </c>
    </row>
    <row r="412" spans="2:25" x14ac:dyDescent="0.3">
      <c r="B412" s="5" t="s">
        <v>68</v>
      </c>
      <c r="C412" s="5" t="str">
        <f>VLOOKUP(B412,[1]물질정보!B:C,2,0)</f>
        <v>997-46-6</v>
      </c>
      <c r="D412" t="str">
        <f>VLOOKUP(B412,[1]물질정보!B:D,3,0)</f>
        <v>4-hydroxybutyl methacrylate</v>
      </c>
      <c r="E412" t="str">
        <f>VLOOKUP(B412,[1]물질정보!B:E,4,0)</f>
        <v>C8H14O3</v>
      </c>
      <c r="F412" t="str">
        <f>VLOOKUP(B412,[1]물질정보!B:F,5,0)</f>
        <v>158.19 g/mol</v>
      </c>
      <c r="G412" s="5" t="str">
        <f>VLOOKUP(B412,[1]물질정보!B:G,6,0)</f>
        <v>CC(=C)C(=O)OCCCCO</v>
      </c>
      <c r="H412" t="s">
        <v>79</v>
      </c>
      <c r="I412" t="s">
        <v>141</v>
      </c>
      <c r="J412" t="s">
        <v>824</v>
      </c>
      <c r="K412" t="s">
        <v>90</v>
      </c>
      <c r="L412" t="s">
        <v>29</v>
      </c>
      <c r="M412" t="s">
        <v>122</v>
      </c>
      <c r="N412" t="s">
        <v>29</v>
      </c>
      <c r="O412" t="s">
        <v>29</v>
      </c>
      <c r="P412" t="s">
        <v>29</v>
      </c>
      <c r="Q412" t="s">
        <v>29</v>
      </c>
      <c r="R412" t="s">
        <v>32</v>
      </c>
      <c r="S412" t="s">
        <v>29</v>
      </c>
      <c r="T412" t="s">
        <v>40</v>
      </c>
      <c r="U412" t="s">
        <v>152</v>
      </c>
      <c r="V412" s="6" t="s">
        <v>131</v>
      </c>
      <c r="W412" t="s">
        <v>112</v>
      </c>
      <c r="X412" t="s">
        <v>29</v>
      </c>
      <c r="Y412" s="6" t="s">
        <v>753</v>
      </c>
    </row>
    <row r="413" spans="2:25" x14ac:dyDescent="0.3">
      <c r="B413" s="5" t="s">
        <v>77</v>
      </c>
      <c r="C413" s="5" t="str">
        <f>VLOOKUP(B413,[1]물질정보!B:C,2,0)</f>
        <v>140-88-5</v>
      </c>
      <c r="D413" t="str">
        <f>VLOOKUP(B413,[1]물질정보!B:D,3,0)</f>
        <v>ethyl acrylate</v>
      </c>
      <c r="E413" t="str">
        <f>VLOOKUP(B413,[1]물질정보!B:E,4,0)</f>
        <v>C5H8O2</v>
      </c>
      <c r="F413" t="str">
        <f>VLOOKUP(B413,[1]물질정보!B:F,5,0)</f>
        <v>100.12 g/mol</v>
      </c>
      <c r="G413" s="5" t="str">
        <f>VLOOKUP(B413,[1]물질정보!B:G,6,0)</f>
        <v>CCOC(=O)C=C</v>
      </c>
      <c r="H413" t="s">
        <v>26</v>
      </c>
      <c r="I413" t="s">
        <v>127</v>
      </c>
      <c r="J413" t="s">
        <v>128</v>
      </c>
      <c r="K413" t="s">
        <v>29</v>
      </c>
      <c r="L413" t="s">
        <v>129</v>
      </c>
      <c r="M413" t="s">
        <v>53</v>
      </c>
      <c r="N413" t="s">
        <v>29</v>
      </c>
      <c r="O413" t="s">
        <v>29</v>
      </c>
      <c r="P413">
        <v>96</v>
      </c>
      <c r="Q413" t="s">
        <v>31</v>
      </c>
      <c r="R413" t="s">
        <v>32</v>
      </c>
      <c r="S413" t="s">
        <v>29</v>
      </c>
      <c r="T413" t="s">
        <v>66</v>
      </c>
      <c r="U413" t="s">
        <v>130</v>
      </c>
      <c r="V413" s="6" t="s">
        <v>131</v>
      </c>
      <c r="W413" t="s">
        <v>53</v>
      </c>
      <c r="X413" t="s">
        <v>37</v>
      </c>
      <c r="Y413" s="6" t="s">
        <v>128</v>
      </c>
    </row>
    <row r="414" spans="2:25" x14ac:dyDescent="0.3">
      <c r="B414" s="5" t="s">
        <v>77</v>
      </c>
      <c r="C414" s="5" t="str">
        <f>VLOOKUP(B414,[1]물질정보!B:C,2,0)</f>
        <v>140-88-5</v>
      </c>
      <c r="D414" t="str">
        <f>VLOOKUP(B414,[1]물질정보!B:D,3,0)</f>
        <v>ethyl acrylate</v>
      </c>
      <c r="E414" t="str">
        <f>VLOOKUP(B414,[1]물질정보!B:E,4,0)</f>
        <v>C5H8O2</v>
      </c>
      <c r="F414" t="str">
        <f>VLOOKUP(B414,[1]물질정보!B:F,5,0)</f>
        <v>100.12 g/mol</v>
      </c>
      <c r="G414" s="5" t="str">
        <f>VLOOKUP(B414,[1]물질정보!B:G,6,0)</f>
        <v>CCOC(=O)C=C</v>
      </c>
      <c r="H414" t="s">
        <v>26</v>
      </c>
      <c r="I414" t="s">
        <v>132</v>
      </c>
      <c r="J414" t="s">
        <v>28</v>
      </c>
      <c r="K414" t="s">
        <v>29</v>
      </c>
      <c r="L414" t="s">
        <v>129</v>
      </c>
      <c r="M414" t="s">
        <v>47</v>
      </c>
      <c r="N414" t="s">
        <v>29</v>
      </c>
      <c r="O414" t="s">
        <v>29</v>
      </c>
      <c r="P414">
        <v>48</v>
      </c>
      <c r="Q414" t="s">
        <v>31</v>
      </c>
      <c r="R414" t="s">
        <v>32</v>
      </c>
      <c r="S414" t="s">
        <v>29</v>
      </c>
      <c r="T414" t="s">
        <v>66</v>
      </c>
      <c r="U414" t="s">
        <v>149</v>
      </c>
      <c r="V414" s="6" t="s">
        <v>131</v>
      </c>
      <c r="W414" t="s">
        <v>47</v>
      </c>
      <c r="X414" t="s">
        <v>48</v>
      </c>
      <c r="Y414" s="6" t="s">
        <v>28</v>
      </c>
    </row>
    <row r="415" spans="2:25" x14ac:dyDescent="0.3">
      <c r="B415" s="5" t="s">
        <v>77</v>
      </c>
      <c r="C415" s="5" t="str">
        <f>VLOOKUP(B415,[1]물질정보!B:C,2,0)</f>
        <v>140-88-5</v>
      </c>
      <c r="D415" t="str">
        <f>VLOOKUP(B415,[1]물질정보!B:D,3,0)</f>
        <v>ethyl acrylate</v>
      </c>
      <c r="E415" t="str">
        <f>VLOOKUP(B415,[1]물질정보!B:E,4,0)</f>
        <v>C5H8O2</v>
      </c>
      <c r="F415" t="str">
        <f>VLOOKUP(B415,[1]물질정보!B:F,5,0)</f>
        <v>100.12 g/mol</v>
      </c>
      <c r="G415" s="5" t="str">
        <f>VLOOKUP(B415,[1]물질정보!B:G,6,0)</f>
        <v>CCOC(=O)C=C</v>
      </c>
      <c r="H415" t="s">
        <v>26</v>
      </c>
      <c r="I415" t="s">
        <v>134</v>
      </c>
      <c r="J415" t="s">
        <v>28</v>
      </c>
      <c r="K415" t="s">
        <v>29</v>
      </c>
      <c r="L415" t="s">
        <v>129</v>
      </c>
      <c r="M415" t="s">
        <v>135</v>
      </c>
      <c r="N415" t="s">
        <v>29</v>
      </c>
      <c r="O415" t="s">
        <v>29</v>
      </c>
      <c r="P415">
        <v>72</v>
      </c>
      <c r="Q415" t="s">
        <v>31</v>
      </c>
      <c r="R415" t="s">
        <v>32</v>
      </c>
      <c r="S415" t="s">
        <v>29</v>
      </c>
      <c r="T415" t="s">
        <v>66</v>
      </c>
      <c r="U415" t="s">
        <v>150</v>
      </c>
      <c r="V415" s="6" t="s">
        <v>131</v>
      </c>
      <c r="W415" t="s">
        <v>43</v>
      </c>
      <c r="X415" t="s">
        <v>44</v>
      </c>
      <c r="Y415" s="6" t="s">
        <v>28</v>
      </c>
    </row>
    <row r="416" spans="2:25" x14ac:dyDescent="0.3">
      <c r="B416" s="5" t="s">
        <v>77</v>
      </c>
      <c r="C416" s="5" t="str">
        <f>VLOOKUP(B416,[1]물질정보!B:C,2,0)</f>
        <v>140-88-5</v>
      </c>
      <c r="D416" t="str">
        <f>VLOOKUP(B416,[1]물질정보!B:D,3,0)</f>
        <v>ethyl acrylate</v>
      </c>
      <c r="E416" t="str">
        <f>VLOOKUP(B416,[1]물질정보!B:E,4,0)</f>
        <v>C5H8O2</v>
      </c>
      <c r="F416" t="str">
        <f>VLOOKUP(B416,[1]물질정보!B:F,5,0)</f>
        <v>100.12 g/mol</v>
      </c>
      <c r="G416" s="5" t="str">
        <f>VLOOKUP(B416,[1]물질정보!B:G,6,0)</f>
        <v>CCOC(=O)C=C</v>
      </c>
      <c r="H416" t="s">
        <v>26</v>
      </c>
      <c r="I416" t="s">
        <v>143</v>
      </c>
      <c r="J416" t="s">
        <v>144</v>
      </c>
      <c r="K416" t="s">
        <v>153</v>
      </c>
      <c r="L416" t="s">
        <v>29</v>
      </c>
      <c r="M416" t="s">
        <v>29</v>
      </c>
      <c r="N416" t="s">
        <v>29</v>
      </c>
      <c r="O416" t="s">
        <v>29</v>
      </c>
      <c r="P416" t="s">
        <v>29</v>
      </c>
      <c r="Q416" t="s">
        <v>29</v>
      </c>
      <c r="R416" t="s">
        <v>32</v>
      </c>
      <c r="S416" t="s">
        <v>29</v>
      </c>
      <c r="T416" t="s">
        <v>40</v>
      </c>
      <c r="U416" t="s">
        <v>146</v>
      </c>
      <c r="V416" s="6" t="s">
        <v>131</v>
      </c>
      <c r="W416" t="s">
        <v>147</v>
      </c>
      <c r="X416" t="s">
        <v>148</v>
      </c>
      <c r="Y416" s="6" t="s">
        <v>144</v>
      </c>
    </row>
    <row r="417" spans="2:25" x14ac:dyDescent="0.3">
      <c r="B417" s="5" t="s">
        <v>77</v>
      </c>
      <c r="C417" s="5" t="str">
        <f>VLOOKUP(B417,[1]물질정보!B:C,2,0)</f>
        <v>140-88-5</v>
      </c>
      <c r="D417" t="str">
        <f>VLOOKUP(B417,[1]물질정보!B:D,3,0)</f>
        <v>ethyl acrylate</v>
      </c>
      <c r="E417" t="str">
        <f>VLOOKUP(B417,[1]물질정보!B:E,4,0)</f>
        <v>C5H8O2</v>
      </c>
      <c r="F417" t="str">
        <f>VLOOKUP(B417,[1]물질정보!B:F,5,0)</f>
        <v>100.12 g/mol</v>
      </c>
      <c r="G417" s="5" t="str">
        <f>VLOOKUP(B417,[1]물질정보!B:G,6,0)</f>
        <v>CCOC(=O)C=C</v>
      </c>
      <c r="H417" t="s">
        <v>79</v>
      </c>
      <c r="I417" t="s">
        <v>137</v>
      </c>
      <c r="J417" t="s">
        <v>89</v>
      </c>
      <c r="K417" t="s">
        <v>90</v>
      </c>
      <c r="L417" t="s">
        <v>29</v>
      </c>
      <c r="M417" t="s">
        <v>93</v>
      </c>
      <c r="N417" t="s">
        <v>29</v>
      </c>
      <c r="O417" t="s">
        <v>29</v>
      </c>
      <c r="P417" t="s">
        <v>29</v>
      </c>
      <c r="Q417" t="s">
        <v>29</v>
      </c>
      <c r="R417" t="s">
        <v>32</v>
      </c>
      <c r="S417" t="s">
        <v>29</v>
      </c>
      <c r="T417" t="s">
        <v>40</v>
      </c>
      <c r="U417" t="s">
        <v>151</v>
      </c>
      <c r="V417" s="6" t="s">
        <v>131</v>
      </c>
      <c r="W417" t="s">
        <v>93</v>
      </c>
      <c r="X417" t="s">
        <v>29</v>
      </c>
      <c r="Y417" s="6" t="s">
        <v>89</v>
      </c>
    </row>
    <row r="418" spans="2:25" x14ac:dyDescent="0.3">
      <c r="B418" s="5" t="s">
        <v>77</v>
      </c>
      <c r="C418" s="5" t="str">
        <f>VLOOKUP(B418,[1]물질정보!B:C,2,0)</f>
        <v>140-88-5</v>
      </c>
      <c r="D418" t="str">
        <f>VLOOKUP(B418,[1]물질정보!B:D,3,0)</f>
        <v>ethyl acrylate</v>
      </c>
      <c r="E418" t="str">
        <f>VLOOKUP(B418,[1]물질정보!B:E,4,0)</f>
        <v>C5H8O2</v>
      </c>
      <c r="F418" t="str">
        <f>VLOOKUP(B418,[1]물질정보!B:F,5,0)</f>
        <v>100.12 g/mol</v>
      </c>
      <c r="G418" s="5" t="str">
        <f>VLOOKUP(B418,[1]물질정보!B:G,6,0)</f>
        <v>CCOC(=O)C=C</v>
      </c>
      <c r="H418" t="s">
        <v>79</v>
      </c>
      <c r="I418" t="s">
        <v>139</v>
      </c>
      <c r="J418" t="s">
        <v>98</v>
      </c>
      <c r="K418" t="s">
        <v>99</v>
      </c>
      <c r="L418" t="s">
        <v>29</v>
      </c>
      <c r="M418" t="s">
        <v>100</v>
      </c>
      <c r="N418" t="s">
        <v>29</v>
      </c>
      <c r="O418" t="s">
        <v>29</v>
      </c>
      <c r="P418" t="s">
        <v>29</v>
      </c>
      <c r="Q418" t="s">
        <v>29</v>
      </c>
      <c r="R418" t="s">
        <v>32</v>
      </c>
      <c r="S418" t="s">
        <v>29</v>
      </c>
      <c r="T418" t="s">
        <v>40</v>
      </c>
      <c r="U418" t="s">
        <v>140</v>
      </c>
      <c r="V418" s="6" t="s">
        <v>131</v>
      </c>
      <c r="W418" t="s">
        <v>101</v>
      </c>
      <c r="X418" t="s">
        <v>29</v>
      </c>
      <c r="Y418" s="6" t="s">
        <v>98</v>
      </c>
    </row>
    <row r="419" spans="2:25" x14ac:dyDescent="0.3">
      <c r="B419" s="5" t="s">
        <v>77</v>
      </c>
      <c r="C419" s="5" t="str">
        <f>VLOOKUP(B419,[1]물질정보!B:C,2,0)</f>
        <v>140-88-5</v>
      </c>
      <c r="D419" t="str">
        <f>VLOOKUP(B419,[1]물질정보!B:D,3,0)</f>
        <v>ethyl acrylate</v>
      </c>
      <c r="E419" t="str">
        <f>VLOOKUP(B419,[1]물질정보!B:E,4,0)</f>
        <v>C5H8O2</v>
      </c>
      <c r="F419" t="str">
        <f>VLOOKUP(B419,[1]물질정보!B:F,5,0)</f>
        <v>100.12 g/mol</v>
      </c>
      <c r="G419" s="5" t="str">
        <f>VLOOKUP(B419,[1]물질정보!B:G,6,0)</f>
        <v>CCOC(=O)C=C</v>
      </c>
      <c r="H419" t="s">
        <v>79</v>
      </c>
      <c r="I419" t="s">
        <v>141</v>
      </c>
      <c r="J419" t="s">
        <v>824</v>
      </c>
      <c r="K419" t="s">
        <v>29</v>
      </c>
      <c r="L419" t="s">
        <v>29</v>
      </c>
      <c r="M419" t="s">
        <v>122</v>
      </c>
      <c r="N419" t="s">
        <v>29</v>
      </c>
      <c r="O419" t="s">
        <v>29</v>
      </c>
      <c r="P419" t="s">
        <v>29</v>
      </c>
      <c r="Q419" t="s">
        <v>29</v>
      </c>
      <c r="R419" t="s">
        <v>32</v>
      </c>
      <c r="S419" t="s">
        <v>29</v>
      </c>
      <c r="T419" t="s">
        <v>66</v>
      </c>
      <c r="U419" t="s">
        <v>152</v>
      </c>
      <c r="V419" s="6" t="s">
        <v>131</v>
      </c>
      <c r="W419" t="s">
        <v>112</v>
      </c>
      <c r="X419" t="s">
        <v>29</v>
      </c>
      <c r="Y419" s="6" t="s">
        <v>753</v>
      </c>
    </row>
    <row r="420" spans="2:25" x14ac:dyDescent="0.3">
      <c r="B420" s="5" t="s">
        <v>67</v>
      </c>
      <c r="C420" s="5" t="str">
        <f>VLOOKUP(B420,[1]물질정보!B:C,2,0)</f>
        <v>818-61-1</v>
      </c>
      <c r="D420" t="str">
        <f>VLOOKUP(B420,[1]물질정보!B:D,3,0)</f>
        <v>2-hydroxyethyl acrylate</v>
      </c>
      <c r="E420" t="str">
        <f>VLOOKUP(B420,[1]물질정보!B:E,4,0)</f>
        <v>C5H8O3</v>
      </c>
      <c r="F420" t="str">
        <f>VLOOKUP(B420,[1]물질정보!B:F,5,0)</f>
        <v>116.11 g/mol</v>
      </c>
      <c r="G420" s="5" t="str">
        <f>VLOOKUP(B420,[1]물질정보!B:G,6,0)</f>
        <v>C=CC(=O)OCCO</v>
      </c>
      <c r="H420" t="s">
        <v>26</v>
      </c>
      <c r="I420" t="s">
        <v>127</v>
      </c>
      <c r="J420" t="s">
        <v>128</v>
      </c>
      <c r="K420">
        <v>259.10000000000002</v>
      </c>
      <c r="L420" t="s">
        <v>129</v>
      </c>
      <c r="M420" t="s">
        <v>53</v>
      </c>
      <c r="N420" t="s">
        <v>29</v>
      </c>
      <c r="O420" t="s">
        <v>29</v>
      </c>
      <c r="P420">
        <v>96</v>
      </c>
      <c r="Q420" t="s">
        <v>31</v>
      </c>
      <c r="R420" t="s">
        <v>32</v>
      </c>
      <c r="S420" t="s">
        <v>29</v>
      </c>
      <c r="T420" t="s">
        <v>40</v>
      </c>
      <c r="U420" t="s">
        <v>130</v>
      </c>
      <c r="V420" s="6" t="s">
        <v>131</v>
      </c>
      <c r="W420" t="s">
        <v>53</v>
      </c>
      <c r="X420" t="s">
        <v>37</v>
      </c>
      <c r="Y420" s="6" t="s">
        <v>128</v>
      </c>
    </row>
    <row r="421" spans="2:25" x14ac:dyDescent="0.3">
      <c r="B421" s="5" t="s">
        <v>67</v>
      </c>
      <c r="C421" s="5" t="str">
        <f>VLOOKUP(B421,[1]물질정보!B:C,2,0)</f>
        <v>818-61-1</v>
      </c>
      <c r="D421" t="str">
        <f>VLOOKUP(B421,[1]물질정보!B:D,3,0)</f>
        <v>2-hydroxyethyl acrylate</v>
      </c>
      <c r="E421" t="str">
        <f>VLOOKUP(B421,[1]물질정보!B:E,4,0)</f>
        <v>C5H8O3</v>
      </c>
      <c r="F421" t="str">
        <f>VLOOKUP(B421,[1]물질정보!B:F,5,0)</f>
        <v>116.11 g/mol</v>
      </c>
      <c r="G421" s="5" t="str">
        <f>VLOOKUP(B421,[1]물질정보!B:G,6,0)</f>
        <v>C=CC(=O)OCCO</v>
      </c>
      <c r="H421" t="s">
        <v>26</v>
      </c>
      <c r="I421" t="s">
        <v>132</v>
      </c>
      <c r="J421" t="s">
        <v>28</v>
      </c>
      <c r="K421">
        <v>51.15</v>
      </c>
      <c r="L421" t="s">
        <v>129</v>
      </c>
      <c r="M421" t="s">
        <v>47</v>
      </c>
      <c r="N421" t="s">
        <v>29</v>
      </c>
      <c r="O421" t="s">
        <v>29</v>
      </c>
      <c r="P421">
        <v>48</v>
      </c>
      <c r="Q421" t="s">
        <v>31</v>
      </c>
      <c r="R421" t="s">
        <v>32</v>
      </c>
      <c r="S421" t="s">
        <v>29</v>
      </c>
      <c r="T421" t="s">
        <v>40</v>
      </c>
      <c r="U421" t="s">
        <v>149</v>
      </c>
      <c r="V421" s="6" t="s">
        <v>131</v>
      </c>
      <c r="W421" t="s">
        <v>47</v>
      </c>
      <c r="X421" t="s">
        <v>48</v>
      </c>
      <c r="Y421" s="6" t="s">
        <v>28</v>
      </c>
    </row>
    <row r="422" spans="2:25" x14ac:dyDescent="0.3">
      <c r="B422" s="5" t="s">
        <v>67</v>
      </c>
      <c r="C422" s="5" t="str">
        <f>VLOOKUP(B422,[1]물질정보!B:C,2,0)</f>
        <v>818-61-1</v>
      </c>
      <c r="D422" t="str">
        <f>VLOOKUP(B422,[1]물질정보!B:D,3,0)</f>
        <v>2-hydroxyethyl acrylate</v>
      </c>
      <c r="E422" t="str">
        <f>VLOOKUP(B422,[1]물질정보!B:E,4,0)</f>
        <v>C5H8O3</v>
      </c>
      <c r="F422" t="str">
        <f>VLOOKUP(B422,[1]물질정보!B:F,5,0)</f>
        <v>116.11 g/mol</v>
      </c>
      <c r="G422" s="5" t="str">
        <f>VLOOKUP(B422,[1]물질정보!B:G,6,0)</f>
        <v>C=CC(=O)OCCO</v>
      </c>
      <c r="H422" t="s">
        <v>26</v>
      </c>
      <c r="I422" t="s">
        <v>134</v>
      </c>
      <c r="J422" t="s">
        <v>28</v>
      </c>
      <c r="K422" t="s">
        <v>29</v>
      </c>
      <c r="L422" t="s">
        <v>129</v>
      </c>
      <c r="M422" t="s">
        <v>135</v>
      </c>
      <c r="N422" t="s">
        <v>29</v>
      </c>
      <c r="O422" t="s">
        <v>29</v>
      </c>
      <c r="P422">
        <v>72</v>
      </c>
      <c r="Q422" t="s">
        <v>31</v>
      </c>
      <c r="R422" t="s">
        <v>32</v>
      </c>
      <c r="S422" t="s">
        <v>29</v>
      </c>
      <c r="T422" t="s">
        <v>66</v>
      </c>
      <c r="U422" t="s">
        <v>150</v>
      </c>
      <c r="V422" s="6" t="s">
        <v>131</v>
      </c>
      <c r="W422" t="s">
        <v>43</v>
      </c>
      <c r="X422" t="s">
        <v>44</v>
      </c>
      <c r="Y422" s="6" t="s">
        <v>28</v>
      </c>
    </row>
    <row r="423" spans="2:25" x14ac:dyDescent="0.3">
      <c r="B423" s="5" t="s">
        <v>67</v>
      </c>
      <c r="C423" s="5" t="str">
        <f>VLOOKUP(B423,[1]물질정보!B:C,2,0)</f>
        <v>818-61-1</v>
      </c>
      <c r="D423" t="str">
        <f>VLOOKUP(B423,[1]물질정보!B:D,3,0)</f>
        <v>2-hydroxyethyl acrylate</v>
      </c>
      <c r="E423" t="str">
        <f>VLOOKUP(B423,[1]물질정보!B:E,4,0)</f>
        <v>C5H8O3</v>
      </c>
      <c r="F423" t="str">
        <f>VLOOKUP(B423,[1]물질정보!B:F,5,0)</f>
        <v>116.11 g/mol</v>
      </c>
      <c r="G423" s="5" t="str">
        <f>VLOOKUP(B423,[1]물질정보!B:G,6,0)</f>
        <v>C=CC(=O)OCCO</v>
      </c>
      <c r="H423" t="s">
        <v>26</v>
      </c>
      <c r="I423" t="s">
        <v>143</v>
      </c>
      <c r="J423" t="s">
        <v>144</v>
      </c>
      <c r="K423" t="s">
        <v>153</v>
      </c>
      <c r="L423" t="s">
        <v>29</v>
      </c>
      <c r="M423" t="s">
        <v>29</v>
      </c>
      <c r="N423" t="s">
        <v>29</v>
      </c>
      <c r="O423" t="s">
        <v>29</v>
      </c>
      <c r="P423" t="s">
        <v>29</v>
      </c>
      <c r="Q423" t="s">
        <v>29</v>
      </c>
      <c r="R423" t="s">
        <v>32</v>
      </c>
      <c r="S423" t="s">
        <v>29</v>
      </c>
      <c r="T423" t="s">
        <v>40</v>
      </c>
      <c r="U423" t="s">
        <v>146</v>
      </c>
      <c r="V423" s="6" t="s">
        <v>131</v>
      </c>
      <c r="W423" t="s">
        <v>147</v>
      </c>
      <c r="X423" t="s">
        <v>148</v>
      </c>
      <c r="Y423" s="6" t="s">
        <v>144</v>
      </c>
    </row>
    <row r="424" spans="2:25" x14ac:dyDescent="0.3">
      <c r="B424" s="5" t="s">
        <v>67</v>
      </c>
      <c r="C424" s="5" t="str">
        <f>VLOOKUP(B424,[1]물질정보!B:C,2,0)</f>
        <v>818-61-1</v>
      </c>
      <c r="D424" t="str">
        <f>VLOOKUP(B424,[1]물질정보!B:D,3,0)</f>
        <v>2-hydroxyethyl acrylate</v>
      </c>
      <c r="E424" t="str">
        <f>VLOOKUP(B424,[1]물질정보!B:E,4,0)</f>
        <v>C5H8O3</v>
      </c>
      <c r="F424" t="str">
        <f>VLOOKUP(B424,[1]물질정보!B:F,5,0)</f>
        <v>116.11 g/mol</v>
      </c>
      <c r="G424" s="5" t="str">
        <f>VLOOKUP(B424,[1]물질정보!B:G,6,0)</f>
        <v>C=CC(=O)OCCO</v>
      </c>
      <c r="H424" t="s">
        <v>79</v>
      </c>
      <c r="I424" t="s">
        <v>137</v>
      </c>
      <c r="J424" t="s">
        <v>89</v>
      </c>
      <c r="K424" t="s">
        <v>90</v>
      </c>
      <c r="L424" t="s">
        <v>29</v>
      </c>
      <c r="M424" t="s">
        <v>93</v>
      </c>
      <c r="N424" t="s">
        <v>29</v>
      </c>
      <c r="O424" t="s">
        <v>29</v>
      </c>
      <c r="P424" t="s">
        <v>29</v>
      </c>
      <c r="Q424" t="s">
        <v>29</v>
      </c>
      <c r="R424" t="s">
        <v>32</v>
      </c>
      <c r="S424" t="s">
        <v>29</v>
      </c>
      <c r="T424" t="s">
        <v>40</v>
      </c>
      <c r="U424" t="s">
        <v>151</v>
      </c>
      <c r="V424" s="6" t="s">
        <v>131</v>
      </c>
      <c r="W424" t="s">
        <v>93</v>
      </c>
      <c r="X424" t="s">
        <v>29</v>
      </c>
      <c r="Y424" s="6" t="s">
        <v>89</v>
      </c>
    </row>
    <row r="425" spans="2:25" x14ac:dyDescent="0.3">
      <c r="B425" s="5" t="s">
        <v>67</v>
      </c>
      <c r="C425" s="5" t="str">
        <f>VLOOKUP(B425,[1]물질정보!B:C,2,0)</f>
        <v>818-61-1</v>
      </c>
      <c r="D425" t="str">
        <f>VLOOKUP(B425,[1]물질정보!B:D,3,0)</f>
        <v>2-hydroxyethyl acrylate</v>
      </c>
      <c r="E425" t="str">
        <f>VLOOKUP(B425,[1]물질정보!B:E,4,0)</f>
        <v>C5H8O3</v>
      </c>
      <c r="F425" t="str">
        <f>VLOOKUP(B425,[1]물질정보!B:F,5,0)</f>
        <v>116.11 g/mol</v>
      </c>
      <c r="G425" s="5" t="str">
        <f>VLOOKUP(B425,[1]물질정보!B:G,6,0)</f>
        <v>C=CC(=O)OCCO</v>
      </c>
      <c r="H425" t="s">
        <v>79</v>
      </c>
      <c r="I425" t="s">
        <v>139</v>
      </c>
      <c r="J425" t="s">
        <v>98</v>
      </c>
      <c r="K425" t="s">
        <v>99</v>
      </c>
      <c r="L425" t="s">
        <v>29</v>
      </c>
      <c r="M425" t="s">
        <v>100</v>
      </c>
      <c r="N425" t="s">
        <v>29</v>
      </c>
      <c r="O425" t="s">
        <v>29</v>
      </c>
      <c r="P425" t="s">
        <v>29</v>
      </c>
      <c r="Q425" t="s">
        <v>29</v>
      </c>
      <c r="R425" t="s">
        <v>32</v>
      </c>
      <c r="S425" t="s">
        <v>29</v>
      </c>
      <c r="T425" t="s">
        <v>40</v>
      </c>
      <c r="U425" t="s">
        <v>140</v>
      </c>
      <c r="V425" s="6" t="s">
        <v>131</v>
      </c>
      <c r="W425" t="s">
        <v>101</v>
      </c>
      <c r="X425" t="s">
        <v>29</v>
      </c>
      <c r="Y425" s="6" t="s">
        <v>98</v>
      </c>
    </row>
    <row r="426" spans="2:25" x14ac:dyDescent="0.3">
      <c r="B426" s="5" t="s">
        <v>67</v>
      </c>
      <c r="C426" s="5" t="str">
        <f>VLOOKUP(B426,[1]물질정보!B:C,2,0)</f>
        <v>818-61-1</v>
      </c>
      <c r="D426" t="str">
        <f>VLOOKUP(B426,[1]물질정보!B:D,3,0)</f>
        <v>2-hydroxyethyl acrylate</v>
      </c>
      <c r="E426" t="str">
        <f>VLOOKUP(B426,[1]물질정보!B:E,4,0)</f>
        <v>C5H8O3</v>
      </c>
      <c r="F426" t="str">
        <f>VLOOKUP(B426,[1]물질정보!B:F,5,0)</f>
        <v>116.11 g/mol</v>
      </c>
      <c r="G426" s="5" t="str">
        <f>VLOOKUP(B426,[1]물질정보!B:G,6,0)</f>
        <v>C=CC(=O)OCCO</v>
      </c>
      <c r="H426" t="s">
        <v>79</v>
      </c>
      <c r="I426" t="s">
        <v>141</v>
      </c>
      <c r="J426" t="s">
        <v>824</v>
      </c>
      <c r="K426" t="s">
        <v>29</v>
      </c>
      <c r="L426" t="s">
        <v>29</v>
      </c>
      <c r="M426" t="s">
        <v>122</v>
      </c>
      <c r="N426" t="s">
        <v>29</v>
      </c>
      <c r="O426" t="s">
        <v>29</v>
      </c>
      <c r="P426" t="s">
        <v>29</v>
      </c>
      <c r="Q426" t="s">
        <v>29</v>
      </c>
      <c r="R426" t="s">
        <v>32</v>
      </c>
      <c r="S426" t="s">
        <v>29</v>
      </c>
      <c r="T426" t="s">
        <v>66</v>
      </c>
      <c r="U426" t="s">
        <v>152</v>
      </c>
      <c r="V426" s="6" t="s">
        <v>131</v>
      </c>
      <c r="W426" t="s">
        <v>112</v>
      </c>
      <c r="X426" t="s">
        <v>29</v>
      </c>
      <c r="Y426" s="6" t="s">
        <v>753</v>
      </c>
    </row>
    <row r="427" spans="2:25" x14ac:dyDescent="0.3">
      <c r="B427" s="5" t="s">
        <v>65</v>
      </c>
      <c r="C427" s="5" t="str">
        <f>VLOOKUP(B427,[1]물질정보!B:C,2,0)</f>
        <v>141-32-2</v>
      </c>
      <c r="D427" t="str">
        <f>VLOOKUP(B427,[1]물질정보!B:D,3,0)</f>
        <v>butyl acrylate</v>
      </c>
      <c r="E427" t="str">
        <f>VLOOKUP(B427,[1]물질정보!B:E,4,0)</f>
        <v>C7H12O2</v>
      </c>
      <c r="F427" t="str">
        <f>VLOOKUP(B427,[1]물질정보!B:F,5,0)</f>
        <v>128.169 g/mol</v>
      </c>
      <c r="G427" s="5" t="str">
        <f>VLOOKUP(B427,[1]물질정보!B:G,6,0)</f>
        <v>CCCCOC(=O)C=C</v>
      </c>
      <c r="H427" t="s">
        <v>26</v>
      </c>
      <c r="I427" t="s">
        <v>127</v>
      </c>
      <c r="J427" t="s">
        <v>128</v>
      </c>
      <c r="K427">
        <v>1.407</v>
      </c>
      <c r="L427" t="s">
        <v>129</v>
      </c>
      <c r="M427" t="s">
        <v>53</v>
      </c>
      <c r="N427" t="s">
        <v>29</v>
      </c>
      <c r="O427" t="s">
        <v>29</v>
      </c>
      <c r="P427">
        <v>96</v>
      </c>
      <c r="Q427" t="s">
        <v>31</v>
      </c>
      <c r="R427" t="s">
        <v>32</v>
      </c>
      <c r="S427" t="s">
        <v>29</v>
      </c>
      <c r="T427" t="s">
        <v>40</v>
      </c>
      <c r="U427" t="s">
        <v>130</v>
      </c>
      <c r="V427" s="6" t="s">
        <v>131</v>
      </c>
      <c r="W427" t="s">
        <v>53</v>
      </c>
      <c r="X427" t="s">
        <v>37</v>
      </c>
      <c r="Y427" s="6" t="s">
        <v>128</v>
      </c>
    </row>
    <row r="428" spans="2:25" x14ac:dyDescent="0.3">
      <c r="B428" s="5" t="s">
        <v>65</v>
      </c>
      <c r="C428" s="5" t="str">
        <f>VLOOKUP(B428,[1]물질정보!B:C,2,0)</f>
        <v>141-32-2</v>
      </c>
      <c r="D428" t="str">
        <f>VLOOKUP(B428,[1]물질정보!B:D,3,0)</f>
        <v>butyl acrylate</v>
      </c>
      <c r="E428" t="str">
        <f>VLOOKUP(B428,[1]물질정보!B:E,4,0)</f>
        <v>C7H12O2</v>
      </c>
      <c r="F428" t="str">
        <f>VLOOKUP(B428,[1]물질정보!B:F,5,0)</f>
        <v>128.169 g/mol</v>
      </c>
      <c r="G428" s="5" t="str">
        <f>VLOOKUP(B428,[1]물질정보!B:G,6,0)</f>
        <v>CCCCOC(=O)C=C</v>
      </c>
      <c r="H428" t="s">
        <v>26</v>
      </c>
      <c r="I428" t="s">
        <v>132</v>
      </c>
      <c r="J428" t="s">
        <v>28</v>
      </c>
      <c r="K428">
        <v>18.309999999999999</v>
      </c>
      <c r="L428" t="s">
        <v>129</v>
      </c>
      <c r="M428" t="s">
        <v>47</v>
      </c>
      <c r="N428" t="s">
        <v>29</v>
      </c>
      <c r="O428" t="s">
        <v>29</v>
      </c>
      <c r="P428">
        <v>48</v>
      </c>
      <c r="Q428" t="s">
        <v>31</v>
      </c>
      <c r="R428" t="s">
        <v>32</v>
      </c>
      <c r="S428" t="s">
        <v>29</v>
      </c>
      <c r="T428" t="s">
        <v>40</v>
      </c>
      <c r="U428" t="s">
        <v>149</v>
      </c>
      <c r="V428" s="6" t="s">
        <v>131</v>
      </c>
      <c r="W428" t="s">
        <v>47</v>
      </c>
      <c r="X428" t="s">
        <v>48</v>
      </c>
      <c r="Y428" s="6" t="s">
        <v>28</v>
      </c>
    </row>
    <row r="429" spans="2:25" x14ac:dyDescent="0.3">
      <c r="B429" s="5" t="s">
        <v>65</v>
      </c>
      <c r="C429" s="5" t="str">
        <f>VLOOKUP(B429,[1]물질정보!B:C,2,0)</f>
        <v>141-32-2</v>
      </c>
      <c r="D429" t="str">
        <f>VLOOKUP(B429,[1]물질정보!B:D,3,0)</f>
        <v>butyl acrylate</v>
      </c>
      <c r="E429" t="str">
        <f>VLOOKUP(B429,[1]물질정보!B:E,4,0)</f>
        <v>C7H12O2</v>
      </c>
      <c r="F429" t="str">
        <f>VLOOKUP(B429,[1]물질정보!B:F,5,0)</f>
        <v>128.169 g/mol</v>
      </c>
      <c r="G429" s="5" t="str">
        <f>VLOOKUP(B429,[1]물질정보!B:G,6,0)</f>
        <v>CCCCOC(=O)C=C</v>
      </c>
      <c r="H429" t="s">
        <v>26</v>
      </c>
      <c r="I429" t="s">
        <v>134</v>
      </c>
      <c r="J429" t="s">
        <v>28</v>
      </c>
      <c r="K429">
        <v>31.07</v>
      </c>
      <c r="L429" t="s">
        <v>129</v>
      </c>
      <c r="M429" t="s">
        <v>135</v>
      </c>
      <c r="N429" t="s">
        <v>29</v>
      </c>
      <c r="O429" t="s">
        <v>29</v>
      </c>
      <c r="P429">
        <v>72</v>
      </c>
      <c r="Q429" t="s">
        <v>31</v>
      </c>
      <c r="R429" t="s">
        <v>32</v>
      </c>
      <c r="S429" t="s">
        <v>29</v>
      </c>
      <c r="T429" t="s">
        <v>40</v>
      </c>
      <c r="U429" t="s">
        <v>150</v>
      </c>
      <c r="V429" s="6" t="s">
        <v>131</v>
      </c>
      <c r="W429" t="s">
        <v>43</v>
      </c>
      <c r="X429" t="s">
        <v>44</v>
      </c>
      <c r="Y429" s="6" t="s">
        <v>28</v>
      </c>
    </row>
    <row r="430" spans="2:25" x14ac:dyDescent="0.3">
      <c r="B430" s="5" t="s">
        <v>65</v>
      </c>
      <c r="C430" s="5" t="str">
        <f>VLOOKUP(B430,[1]물질정보!B:C,2,0)</f>
        <v>141-32-2</v>
      </c>
      <c r="D430" t="str">
        <f>VLOOKUP(B430,[1]물질정보!B:D,3,0)</f>
        <v>butyl acrylate</v>
      </c>
      <c r="E430" t="str">
        <f>VLOOKUP(B430,[1]물질정보!B:E,4,0)</f>
        <v>C7H12O2</v>
      </c>
      <c r="F430" t="str">
        <f>VLOOKUP(B430,[1]물질정보!B:F,5,0)</f>
        <v>128.169 g/mol</v>
      </c>
      <c r="G430" s="5" t="str">
        <f>VLOOKUP(B430,[1]물질정보!B:G,6,0)</f>
        <v>CCCCOC(=O)C=C</v>
      </c>
      <c r="H430" t="s">
        <v>26</v>
      </c>
      <c r="I430" t="s">
        <v>143</v>
      </c>
      <c r="J430" t="s">
        <v>144</v>
      </c>
      <c r="K430" t="s">
        <v>153</v>
      </c>
      <c r="L430" t="s">
        <v>29</v>
      </c>
      <c r="M430" t="s">
        <v>29</v>
      </c>
      <c r="N430" t="s">
        <v>29</v>
      </c>
      <c r="O430" t="s">
        <v>29</v>
      </c>
      <c r="P430" t="s">
        <v>29</v>
      </c>
      <c r="Q430" t="s">
        <v>29</v>
      </c>
      <c r="R430" t="s">
        <v>32</v>
      </c>
      <c r="S430" t="s">
        <v>29</v>
      </c>
      <c r="T430" t="s">
        <v>40</v>
      </c>
      <c r="U430" t="s">
        <v>146</v>
      </c>
      <c r="V430" s="6" t="s">
        <v>131</v>
      </c>
      <c r="W430" t="s">
        <v>147</v>
      </c>
      <c r="X430" t="s">
        <v>148</v>
      </c>
      <c r="Y430" s="6" t="s">
        <v>144</v>
      </c>
    </row>
    <row r="431" spans="2:25" x14ac:dyDescent="0.3">
      <c r="B431" s="5" t="s">
        <v>65</v>
      </c>
      <c r="C431" s="5" t="str">
        <f>VLOOKUP(B431,[1]물질정보!B:C,2,0)</f>
        <v>141-32-2</v>
      </c>
      <c r="D431" t="str">
        <f>VLOOKUP(B431,[1]물질정보!B:D,3,0)</f>
        <v>butyl acrylate</v>
      </c>
      <c r="E431" t="str">
        <f>VLOOKUP(B431,[1]물질정보!B:E,4,0)</f>
        <v>C7H12O2</v>
      </c>
      <c r="F431" t="str">
        <f>VLOOKUP(B431,[1]물질정보!B:F,5,0)</f>
        <v>128.169 g/mol</v>
      </c>
      <c r="G431" s="5" t="str">
        <f>VLOOKUP(B431,[1]물질정보!B:G,6,0)</f>
        <v>CCCCOC(=O)C=C</v>
      </c>
      <c r="H431" t="s">
        <v>79</v>
      </c>
      <c r="I431" t="s">
        <v>137</v>
      </c>
      <c r="J431" t="s">
        <v>89</v>
      </c>
      <c r="K431" t="s">
        <v>90</v>
      </c>
      <c r="L431" t="s">
        <v>29</v>
      </c>
      <c r="M431" t="s">
        <v>93</v>
      </c>
      <c r="N431" t="s">
        <v>29</v>
      </c>
      <c r="O431" t="s">
        <v>29</v>
      </c>
      <c r="P431" t="s">
        <v>29</v>
      </c>
      <c r="Q431" t="s">
        <v>29</v>
      </c>
      <c r="R431" t="s">
        <v>32</v>
      </c>
      <c r="S431" t="s">
        <v>29</v>
      </c>
      <c r="T431" t="s">
        <v>40</v>
      </c>
      <c r="U431" t="s">
        <v>151</v>
      </c>
      <c r="V431" s="6" t="s">
        <v>131</v>
      </c>
      <c r="W431" t="s">
        <v>93</v>
      </c>
      <c r="X431" t="s">
        <v>29</v>
      </c>
      <c r="Y431" s="6" t="s">
        <v>89</v>
      </c>
    </row>
    <row r="432" spans="2:25" x14ac:dyDescent="0.3">
      <c r="B432" s="5" t="s">
        <v>65</v>
      </c>
      <c r="C432" s="5" t="str">
        <f>VLOOKUP(B432,[1]물질정보!B:C,2,0)</f>
        <v>141-32-2</v>
      </c>
      <c r="D432" t="str">
        <f>VLOOKUP(B432,[1]물질정보!B:D,3,0)</f>
        <v>butyl acrylate</v>
      </c>
      <c r="E432" t="str">
        <f>VLOOKUP(B432,[1]물질정보!B:E,4,0)</f>
        <v>C7H12O2</v>
      </c>
      <c r="F432" t="str">
        <f>VLOOKUP(B432,[1]물질정보!B:F,5,0)</f>
        <v>128.169 g/mol</v>
      </c>
      <c r="G432" s="5" t="str">
        <f>VLOOKUP(B432,[1]물질정보!B:G,6,0)</f>
        <v>CCCCOC(=O)C=C</v>
      </c>
      <c r="H432" t="s">
        <v>79</v>
      </c>
      <c r="I432" t="s">
        <v>139</v>
      </c>
      <c r="J432" t="s">
        <v>98</v>
      </c>
      <c r="K432" t="s">
        <v>99</v>
      </c>
      <c r="L432" t="s">
        <v>29</v>
      </c>
      <c r="M432" t="s">
        <v>100</v>
      </c>
      <c r="N432" t="s">
        <v>29</v>
      </c>
      <c r="O432" t="s">
        <v>29</v>
      </c>
      <c r="P432" t="s">
        <v>29</v>
      </c>
      <c r="Q432" t="s">
        <v>29</v>
      </c>
      <c r="R432" t="s">
        <v>32</v>
      </c>
      <c r="S432" t="s">
        <v>29</v>
      </c>
      <c r="T432" t="s">
        <v>40</v>
      </c>
      <c r="U432" t="s">
        <v>140</v>
      </c>
      <c r="V432" s="6" t="s">
        <v>131</v>
      </c>
      <c r="W432" t="s">
        <v>101</v>
      </c>
      <c r="X432" t="s">
        <v>29</v>
      </c>
      <c r="Y432" s="6" t="s">
        <v>98</v>
      </c>
    </row>
    <row r="433" spans="2:25" x14ac:dyDescent="0.3">
      <c r="B433" s="5" t="s">
        <v>65</v>
      </c>
      <c r="C433" s="5" t="str">
        <f>VLOOKUP(B433,[1]물질정보!B:C,2,0)</f>
        <v>141-32-2</v>
      </c>
      <c r="D433" t="str">
        <f>VLOOKUP(B433,[1]물질정보!B:D,3,0)</f>
        <v>butyl acrylate</v>
      </c>
      <c r="E433" t="str">
        <f>VLOOKUP(B433,[1]물질정보!B:E,4,0)</f>
        <v>C7H12O2</v>
      </c>
      <c r="F433" t="str">
        <f>VLOOKUP(B433,[1]물질정보!B:F,5,0)</f>
        <v>128.169 g/mol</v>
      </c>
      <c r="G433" s="5" t="str">
        <f>VLOOKUP(B433,[1]물질정보!B:G,6,0)</f>
        <v>CCCCOC(=O)C=C</v>
      </c>
      <c r="H433" t="s">
        <v>79</v>
      </c>
      <c r="I433" t="s">
        <v>141</v>
      </c>
      <c r="J433" t="s">
        <v>824</v>
      </c>
      <c r="K433" t="s">
        <v>90</v>
      </c>
      <c r="L433" t="s">
        <v>29</v>
      </c>
      <c r="M433" t="s">
        <v>122</v>
      </c>
      <c r="N433" t="s">
        <v>29</v>
      </c>
      <c r="O433" t="s">
        <v>29</v>
      </c>
      <c r="P433" t="s">
        <v>29</v>
      </c>
      <c r="Q433" t="s">
        <v>29</v>
      </c>
      <c r="R433" t="s">
        <v>32</v>
      </c>
      <c r="S433" t="s">
        <v>29</v>
      </c>
      <c r="T433" t="s">
        <v>40</v>
      </c>
      <c r="U433" t="s">
        <v>152</v>
      </c>
      <c r="V433" s="6" t="s">
        <v>131</v>
      </c>
      <c r="W433" t="s">
        <v>112</v>
      </c>
      <c r="X433" t="s">
        <v>29</v>
      </c>
      <c r="Y433" s="6" t="s">
        <v>753</v>
      </c>
    </row>
    <row r="434" spans="2:25" x14ac:dyDescent="0.3">
      <c r="B434" s="5" t="s">
        <v>64</v>
      </c>
      <c r="C434" s="5" t="str">
        <f>VLOOKUP(B434,[1]물질정보!B:C,2,0)</f>
        <v>2478-10-6</v>
      </c>
      <c r="D434" t="str">
        <f>VLOOKUP(B434,[1]물질정보!B:D,3,0)</f>
        <v>4-hydroxybutyl acrylate</v>
      </c>
      <c r="E434" t="str">
        <f>VLOOKUP(B434,[1]물질정보!B:E,4,0)</f>
        <v>C7H12O3</v>
      </c>
      <c r="F434" t="str">
        <f>VLOOKUP(B434,[1]물질정보!B:F,5,0)</f>
        <v>144.17 g/mol</v>
      </c>
      <c r="G434" s="5" t="str">
        <f>VLOOKUP(B434,[1]물질정보!B:G,6,0)</f>
        <v>C=CC(=O)OCCCCO</v>
      </c>
      <c r="H434" t="s">
        <v>26</v>
      </c>
      <c r="I434" t="s">
        <v>127</v>
      </c>
      <c r="J434" t="s">
        <v>128</v>
      </c>
      <c r="K434">
        <v>4.0609999999999999</v>
      </c>
      <c r="L434" t="s">
        <v>29</v>
      </c>
      <c r="M434" t="s">
        <v>53</v>
      </c>
      <c r="N434" t="s">
        <v>29</v>
      </c>
      <c r="O434" t="s">
        <v>29</v>
      </c>
      <c r="P434">
        <v>96</v>
      </c>
      <c r="Q434" t="s">
        <v>31</v>
      </c>
      <c r="R434" t="s">
        <v>32</v>
      </c>
      <c r="S434" t="s">
        <v>29</v>
      </c>
      <c r="T434" t="s">
        <v>40</v>
      </c>
      <c r="U434" t="s">
        <v>130</v>
      </c>
      <c r="V434" s="6" t="s">
        <v>131</v>
      </c>
      <c r="W434" t="s">
        <v>53</v>
      </c>
      <c r="X434" t="s">
        <v>37</v>
      </c>
      <c r="Y434" s="6" t="s">
        <v>128</v>
      </c>
    </row>
    <row r="435" spans="2:25" x14ac:dyDescent="0.3">
      <c r="B435" s="5" t="s">
        <v>64</v>
      </c>
      <c r="C435" s="5" t="str">
        <f>VLOOKUP(B435,[1]물질정보!B:C,2,0)</f>
        <v>2478-10-6</v>
      </c>
      <c r="D435" t="str">
        <f>VLOOKUP(B435,[1]물질정보!B:D,3,0)</f>
        <v>4-hydroxybutyl acrylate</v>
      </c>
      <c r="E435" t="str">
        <f>VLOOKUP(B435,[1]물질정보!B:E,4,0)</f>
        <v>C7H12O3</v>
      </c>
      <c r="F435" t="str">
        <f>VLOOKUP(B435,[1]물질정보!B:F,5,0)</f>
        <v>144.17 g/mol</v>
      </c>
      <c r="G435" s="5" t="str">
        <f>VLOOKUP(B435,[1]물질정보!B:G,6,0)</f>
        <v>C=CC(=O)OCCCCO</v>
      </c>
      <c r="H435" t="s">
        <v>26</v>
      </c>
      <c r="I435" t="s">
        <v>132</v>
      </c>
      <c r="J435" t="s">
        <v>28</v>
      </c>
      <c r="K435">
        <v>32.46</v>
      </c>
      <c r="L435" t="s">
        <v>29</v>
      </c>
      <c r="M435" t="s">
        <v>47</v>
      </c>
      <c r="N435" t="s">
        <v>29</v>
      </c>
      <c r="O435" t="s">
        <v>29</v>
      </c>
      <c r="P435">
        <v>48</v>
      </c>
      <c r="Q435" t="s">
        <v>31</v>
      </c>
      <c r="R435" t="s">
        <v>32</v>
      </c>
      <c r="S435" t="s">
        <v>29</v>
      </c>
      <c r="T435" t="s">
        <v>40</v>
      </c>
      <c r="U435" t="s">
        <v>149</v>
      </c>
      <c r="V435" s="6" t="s">
        <v>131</v>
      </c>
      <c r="W435" t="s">
        <v>47</v>
      </c>
      <c r="X435" t="s">
        <v>48</v>
      </c>
      <c r="Y435" s="6" t="s">
        <v>28</v>
      </c>
    </row>
    <row r="436" spans="2:25" x14ac:dyDescent="0.3">
      <c r="B436" s="5" t="s">
        <v>64</v>
      </c>
      <c r="C436" s="5" t="str">
        <f>VLOOKUP(B436,[1]물질정보!B:C,2,0)</f>
        <v>2478-10-6</v>
      </c>
      <c r="D436" t="str">
        <f>VLOOKUP(B436,[1]물질정보!B:D,3,0)</f>
        <v>4-hydroxybutyl acrylate</v>
      </c>
      <c r="E436" t="str">
        <f>VLOOKUP(B436,[1]물질정보!B:E,4,0)</f>
        <v>C7H12O3</v>
      </c>
      <c r="F436" t="str">
        <f>VLOOKUP(B436,[1]물질정보!B:F,5,0)</f>
        <v>144.17 g/mol</v>
      </c>
      <c r="G436" s="5" t="str">
        <f>VLOOKUP(B436,[1]물질정보!B:G,6,0)</f>
        <v>C=CC(=O)OCCCCO</v>
      </c>
      <c r="H436" t="s">
        <v>26</v>
      </c>
      <c r="I436" t="s">
        <v>134</v>
      </c>
      <c r="J436" t="s">
        <v>28</v>
      </c>
      <c r="K436">
        <v>32.049999999999997</v>
      </c>
      <c r="L436" t="s">
        <v>29</v>
      </c>
      <c r="M436" t="s">
        <v>135</v>
      </c>
      <c r="N436" t="s">
        <v>29</v>
      </c>
      <c r="O436" t="s">
        <v>29</v>
      </c>
      <c r="P436">
        <v>72</v>
      </c>
      <c r="Q436" t="s">
        <v>31</v>
      </c>
      <c r="R436" t="s">
        <v>32</v>
      </c>
      <c r="S436" t="s">
        <v>29</v>
      </c>
      <c r="T436" t="s">
        <v>40</v>
      </c>
      <c r="U436" t="s">
        <v>150</v>
      </c>
      <c r="V436" s="6" t="s">
        <v>131</v>
      </c>
      <c r="W436" t="s">
        <v>43</v>
      </c>
      <c r="X436" t="s">
        <v>44</v>
      </c>
      <c r="Y436" s="6" t="s">
        <v>28</v>
      </c>
    </row>
    <row r="437" spans="2:25" x14ac:dyDescent="0.3">
      <c r="B437" s="5" t="s">
        <v>64</v>
      </c>
      <c r="C437" s="5" t="str">
        <f>VLOOKUP(B437,[1]물질정보!B:C,2,0)</f>
        <v>2478-10-6</v>
      </c>
      <c r="D437" t="str">
        <f>VLOOKUP(B437,[1]물질정보!B:D,3,0)</f>
        <v>4-hydroxybutyl acrylate</v>
      </c>
      <c r="E437" t="str">
        <f>VLOOKUP(B437,[1]물질정보!B:E,4,0)</f>
        <v>C7H12O3</v>
      </c>
      <c r="F437" t="str">
        <f>VLOOKUP(B437,[1]물질정보!B:F,5,0)</f>
        <v>144.17 g/mol</v>
      </c>
      <c r="G437" s="5" t="str">
        <f>VLOOKUP(B437,[1]물질정보!B:G,6,0)</f>
        <v>C=CC(=O)OCCCCO</v>
      </c>
      <c r="H437" t="s">
        <v>26</v>
      </c>
      <c r="I437" t="s">
        <v>143</v>
      </c>
      <c r="J437" t="s">
        <v>144</v>
      </c>
      <c r="K437" t="s">
        <v>153</v>
      </c>
      <c r="L437" t="s">
        <v>29</v>
      </c>
      <c r="M437" t="s">
        <v>29</v>
      </c>
      <c r="N437" t="s">
        <v>29</v>
      </c>
      <c r="O437" t="s">
        <v>29</v>
      </c>
      <c r="P437" t="s">
        <v>29</v>
      </c>
      <c r="Q437" t="s">
        <v>29</v>
      </c>
      <c r="R437" t="s">
        <v>32</v>
      </c>
      <c r="S437" t="s">
        <v>29</v>
      </c>
      <c r="T437" t="s">
        <v>40</v>
      </c>
      <c r="U437" t="s">
        <v>146</v>
      </c>
      <c r="V437" s="6" t="s">
        <v>131</v>
      </c>
      <c r="W437" t="s">
        <v>147</v>
      </c>
      <c r="X437" t="s">
        <v>148</v>
      </c>
      <c r="Y437" s="6" t="s">
        <v>144</v>
      </c>
    </row>
    <row r="438" spans="2:25" x14ac:dyDescent="0.3">
      <c r="B438" s="5" t="s">
        <v>64</v>
      </c>
      <c r="C438" s="5" t="str">
        <f>VLOOKUP(B438,[1]물질정보!B:C,2,0)</f>
        <v>2478-10-6</v>
      </c>
      <c r="D438" t="str">
        <f>VLOOKUP(B438,[1]물질정보!B:D,3,0)</f>
        <v>4-hydroxybutyl acrylate</v>
      </c>
      <c r="E438" t="str">
        <f>VLOOKUP(B438,[1]물질정보!B:E,4,0)</f>
        <v>C7H12O3</v>
      </c>
      <c r="F438" t="str">
        <f>VLOOKUP(B438,[1]물질정보!B:F,5,0)</f>
        <v>144.17 g/mol</v>
      </c>
      <c r="G438" s="5" t="str">
        <f>VLOOKUP(B438,[1]물질정보!B:G,6,0)</f>
        <v>C=CC(=O)OCCCCO</v>
      </c>
      <c r="H438" t="s">
        <v>79</v>
      </c>
      <c r="I438" t="s">
        <v>137</v>
      </c>
      <c r="J438" t="s">
        <v>89</v>
      </c>
      <c r="K438" t="s">
        <v>90</v>
      </c>
      <c r="L438" t="s">
        <v>29</v>
      </c>
      <c r="M438" t="s">
        <v>93</v>
      </c>
      <c r="N438" t="s">
        <v>29</v>
      </c>
      <c r="O438" t="s">
        <v>29</v>
      </c>
      <c r="P438" t="s">
        <v>29</v>
      </c>
      <c r="Q438" t="s">
        <v>29</v>
      </c>
      <c r="R438" t="s">
        <v>32</v>
      </c>
      <c r="S438" t="s">
        <v>29</v>
      </c>
      <c r="T438" t="s">
        <v>40</v>
      </c>
      <c r="U438" t="s">
        <v>151</v>
      </c>
      <c r="V438" s="6" t="s">
        <v>131</v>
      </c>
      <c r="W438" t="s">
        <v>93</v>
      </c>
      <c r="X438" t="s">
        <v>29</v>
      </c>
      <c r="Y438" s="6" t="s">
        <v>89</v>
      </c>
    </row>
    <row r="439" spans="2:25" x14ac:dyDescent="0.3">
      <c r="B439" s="5" t="s">
        <v>64</v>
      </c>
      <c r="C439" s="5" t="str">
        <f>VLOOKUP(B439,[1]물질정보!B:C,2,0)</f>
        <v>2478-10-6</v>
      </c>
      <c r="D439" t="str">
        <f>VLOOKUP(B439,[1]물질정보!B:D,3,0)</f>
        <v>4-hydroxybutyl acrylate</v>
      </c>
      <c r="E439" t="str">
        <f>VLOOKUP(B439,[1]물질정보!B:E,4,0)</f>
        <v>C7H12O3</v>
      </c>
      <c r="F439" t="str">
        <f>VLOOKUP(B439,[1]물질정보!B:F,5,0)</f>
        <v>144.17 g/mol</v>
      </c>
      <c r="G439" s="5" t="str">
        <f>VLOOKUP(B439,[1]물질정보!B:G,6,0)</f>
        <v>C=CC(=O)OCCCCO</v>
      </c>
      <c r="H439" t="s">
        <v>79</v>
      </c>
      <c r="I439" t="s">
        <v>139</v>
      </c>
      <c r="J439" t="s">
        <v>98</v>
      </c>
      <c r="K439" t="s">
        <v>99</v>
      </c>
      <c r="L439" t="s">
        <v>29</v>
      </c>
      <c r="M439" t="s">
        <v>100</v>
      </c>
      <c r="N439" t="s">
        <v>29</v>
      </c>
      <c r="O439" t="s">
        <v>29</v>
      </c>
      <c r="P439" t="s">
        <v>29</v>
      </c>
      <c r="Q439" t="s">
        <v>29</v>
      </c>
      <c r="R439" t="s">
        <v>32</v>
      </c>
      <c r="S439" t="s">
        <v>29</v>
      </c>
      <c r="T439" t="s">
        <v>40</v>
      </c>
      <c r="U439" t="s">
        <v>140</v>
      </c>
      <c r="V439" s="6" t="s">
        <v>131</v>
      </c>
      <c r="W439" t="s">
        <v>101</v>
      </c>
      <c r="X439" t="s">
        <v>29</v>
      </c>
      <c r="Y439" s="6" t="s">
        <v>98</v>
      </c>
    </row>
    <row r="440" spans="2:25" x14ac:dyDescent="0.3">
      <c r="B440" s="5" t="s">
        <v>64</v>
      </c>
      <c r="C440" s="5" t="str">
        <f>VLOOKUP(B440,[1]물질정보!B:C,2,0)</f>
        <v>2478-10-6</v>
      </c>
      <c r="D440" t="str">
        <f>VLOOKUP(B440,[1]물질정보!B:D,3,0)</f>
        <v>4-hydroxybutyl acrylate</v>
      </c>
      <c r="E440" t="str">
        <f>VLOOKUP(B440,[1]물질정보!B:E,4,0)</f>
        <v>C7H12O3</v>
      </c>
      <c r="F440" t="str">
        <f>VLOOKUP(B440,[1]물질정보!B:F,5,0)</f>
        <v>144.17 g/mol</v>
      </c>
      <c r="G440" s="5" t="str">
        <f>VLOOKUP(B440,[1]물질정보!B:G,6,0)</f>
        <v>C=CC(=O)OCCCCO</v>
      </c>
      <c r="H440" t="s">
        <v>79</v>
      </c>
      <c r="I440" t="s">
        <v>141</v>
      </c>
      <c r="J440" t="s">
        <v>824</v>
      </c>
      <c r="K440" t="s">
        <v>90</v>
      </c>
      <c r="L440" t="s">
        <v>29</v>
      </c>
      <c r="M440" t="s">
        <v>122</v>
      </c>
      <c r="N440" t="s">
        <v>29</v>
      </c>
      <c r="O440" t="s">
        <v>29</v>
      </c>
      <c r="P440" t="s">
        <v>29</v>
      </c>
      <c r="Q440" t="s">
        <v>29</v>
      </c>
      <c r="R440" t="s">
        <v>32</v>
      </c>
      <c r="S440" t="s">
        <v>29</v>
      </c>
      <c r="T440" t="s">
        <v>40</v>
      </c>
      <c r="U440" t="s">
        <v>152</v>
      </c>
      <c r="V440" s="6" t="s">
        <v>131</v>
      </c>
      <c r="W440" t="s">
        <v>112</v>
      </c>
      <c r="X440" t="s">
        <v>29</v>
      </c>
      <c r="Y440" s="6" t="s">
        <v>753</v>
      </c>
    </row>
    <row r="441" spans="2:25" x14ac:dyDescent="0.3">
      <c r="B441" s="5" t="s">
        <v>59</v>
      </c>
      <c r="C441" s="5" t="str">
        <f>VLOOKUP(B441,[1]물질정보!B:C,2,0)</f>
        <v>2499-95-8</v>
      </c>
      <c r="D441" t="str">
        <f>VLOOKUP(B441,[1]물질정보!B:D,3,0)</f>
        <v>hexyl acrylate</v>
      </c>
      <c r="E441" t="str">
        <f>VLOOKUP(B441,[1]물질정보!B:E,4,0)</f>
        <v>C9H16O2</v>
      </c>
      <c r="F441" t="str">
        <f>VLOOKUP(B441,[1]물질정보!B:F,5,0)</f>
        <v>156.22 g/mol</v>
      </c>
      <c r="G441" s="5" t="str">
        <f>VLOOKUP(B441,[1]물질정보!B:G,6,0)</f>
        <v>CCCCCCOC(=O)C=C</v>
      </c>
      <c r="H441" t="s">
        <v>26</v>
      </c>
      <c r="I441" t="s">
        <v>127</v>
      </c>
      <c r="J441" t="s">
        <v>128</v>
      </c>
      <c r="K441">
        <v>0.77490000000000003</v>
      </c>
      <c r="L441" t="s">
        <v>29</v>
      </c>
      <c r="M441" t="s">
        <v>53</v>
      </c>
      <c r="N441" t="s">
        <v>29</v>
      </c>
      <c r="O441" t="s">
        <v>29</v>
      </c>
      <c r="P441">
        <v>96</v>
      </c>
      <c r="Q441" t="s">
        <v>31</v>
      </c>
      <c r="R441" t="s">
        <v>32</v>
      </c>
      <c r="S441" t="s">
        <v>29</v>
      </c>
      <c r="T441" t="s">
        <v>40</v>
      </c>
      <c r="U441" t="s">
        <v>130</v>
      </c>
      <c r="V441" s="6" t="s">
        <v>131</v>
      </c>
      <c r="W441" t="s">
        <v>53</v>
      </c>
      <c r="X441" t="s">
        <v>37</v>
      </c>
      <c r="Y441" s="6" t="s">
        <v>128</v>
      </c>
    </row>
    <row r="442" spans="2:25" x14ac:dyDescent="0.3">
      <c r="B442" s="5" t="s">
        <v>59</v>
      </c>
      <c r="C442" s="5" t="str">
        <f>VLOOKUP(B442,[1]물질정보!B:C,2,0)</f>
        <v>2499-95-8</v>
      </c>
      <c r="D442" t="str">
        <f>VLOOKUP(B442,[1]물질정보!B:D,3,0)</f>
        <v>hexyl acrylate</v>
      </c>
      <c r="E442" t="str">
        <f>VLOOKUP(B442,[1]물질정보!B:E,4,0)</f>
        <v>C9H16O2</v>
      </c>
      <c r="F442" t="str">
        <f>VLOOKUP(B442,[1]물질정보!B:F,5,0)</f>
        <v>156.22 g/mol</v>
      </c>
      <c r="G442" s="5" t="str">
        <f>VLOOKUP(B442,[1]물질정보!B:G,6,0)</f>
        <v>CCCCCCOC(=O)C=C</v>
      </c>
      <c r="H442" t="s">
        <v>26</v>
      </c>
      <c r="I442" t="s">
        <v>132</v>
      </c>
      <c r="J442" t="s">
        <v>28</v>
      </c>
      <c r="K442">
        <v>19.5</v>
      </c>
      <c r="L442" t="s">
        <v>29</v>
      </c>
      <c r="M442" t="s">
        <v>47</v>
      </c>
      <c r="N442" t="s">
        <v>29</v>
      </c>
      <c r="O442" t="s">
        <v>29</v>
      </c>
      <c r="P442">
        <v>48</v>
      </c>
      <c r="Q442" t="s">
        <v>31</v>
      </c>
      <c r="R442" t="s">
        <v>32</v>
      </c>
      <c r="S442" t="s">
        <v>29</v>
      </c>
      <c r="T442" t="s">
        <v>40</v>
      </c>
      <c r="U442" t="s">
        <v>149</v>
      </c>
      <c r="V442" s="6" t="s">
        <v>131</v>
      </c>
      <c r="W442" t="s">
        <v>47</v>
      </c>
      <c r="X442" t="s">
        <v>48</v>
      </c>
      <c r="Y442" s="6" t="s">
        <v>28</v>
      </c>
    </row>
    <row r="443" spans="2:25" x14ac:dyDescent="0.3">
      <c r="B443" s="5" t="s">
        <v>59</v>
      </c>
      <c r="C443" s="5" t="str">
        <f>VLOOKUP(B443,[1]물질정보!B:C,2,0)</f>
        <v>2499-95-8</v>
      </c>
      <c r="D443" t="str">
        <f>VLOOKUP(B443,[1]물질정보!B:D,3,0)</f>
        <v>hexyl acrylate</v>
      </c>
      <c r="E443" t="str">
        <f>VLOOKUP(B443,[1]물질정보!B:E,4,0)</f>
        <v>C9H16O2</v>
      </c>
      <c r="F443" t="str">
        <f>VLOOKUP(B443,[1]물질정보!B:F,5,0)</f>
        <v>156.22 g/mol</v>
      </c>
      <c r="G443" s="5" t="str">
        <f>VLOOKUP(B443,[1]물질정보!B:G,6,0)</f>
        <v>CCCCCCOC(=O)C=C</v>
      </c>
      <c r="H443" t="s">
        <v>26</v>
      </c>
      <c r="I443" t="s">
        <v>134</v>
      </c>
      <c r="J443" t="s">
        <v>28</v>
      </c>
      <c r="K443">
        <v>21.04</v>
      </c>
      <c r="L443" t="s">
        <v>29</v>
      </c>
      <c r="M443" t="s">
        <v>135</v>
      </c>
      <c r="N443" t="s">
        <v>29</v>
      </c>
      <c r="O443" t="s">
        <v>29</v>
      </c>
      <c r="P443">
        <v>72</v>
      </c>
      <c r="Q443" t="s">
        <v>31</v>
      </c>
      <c r="R443" t="s">
        <v>32</v>
      </c>
      <c r="S443" t="s">
        <v>29</v>
      </c>
      <c r="T443" t="s">
        <v>40</v>
      </c>
      <c r="U443" t="s">
        <v>150</v>
      </c>
      <c r="V443" s="6" t="s">
        <v>131</v>
      </c>
      <c r="W443" t="s">
        <v>43</v>
      </c>
      <c r="X443" t="s">
        <v>44</v>
      </c>
      <c r="Y443" s="6" t="s">
        <v>28</v>
      </c>
    </row>
    <row r="444" spans="2:25" x14ac:dyDescent="0.3">
      <c r="B444" s="5" t="s">
        <v>59</v>
      </c>
      <c r="C444" s="5" t="str">
        <f>VLOOKUP(B444,[1]물질정보!B:C,2,0)</f>
        <v>2499-95-8</v>
      </c>
      <c r="D444" t="str">
        <f>VLOOKUP(B444,[1]물질정보!B:D,3,0)</f>
        <v>hexyl acrylate</v>
      </c>
      <c r="E444" t="str">
        <f>VLOOKUP(B444,[1]물질정보!B:E,4,0)</f>
        <v>C9H16O2</v>
      </c>
      <c r="F444" t="str">
        <f>VLOOKUP(B444,[1]물질정보!B:F,5,0)</f>
        <v>156.22 g/mol</v>
      </c>
      <c r="G444" s="5" t="str">
        <f>VLOOKUP(B444,[1]물질정보!B:G,6,0)</f>
        <v>CCCCCCOC(=O)C=C</v>
      </c>
      <c r="H444" t="s">
        <v>26</v>
      </c>
      <c r="I444" t="s">
        <v>143</v>
      </c>
      <c r="J444" t="s">
        <v>144</v>
      </c>
      <c r="K444" t="s">
        <v>153</v>
      </c>
      <c r="L444" t="s">
        <v>29</v>
      </c>
      <c r="M444" t="s">
        <v>29</v>
      </c>
      <c r="N444" t="s">
        <v>29</v>
      </c>
      <c r="O444" t="s">
        <v>29</v>
      </c>
      <c r="P444" t="s">
        <v>29</v>
      </c>
      <c r="Q444" t="s">
        <v>29</v>
      </c>
      <c r="R444" t="s">
        <v>32</v>
      </c>
      <c r="S444" t="s">
        <v>29</v>
      </c>
      <c r="T444" t="s">
        <v>40</v>
      </c>
      <c r="U444" t="s">
        <v>146</v>
      </c>
      <c r="V444" s="6" t="s">
        <v>131</v>
      </c>
      <c r="W444" t="s">
        <v>147</v>
      </c>
      <c r="X444" t="s">
        <v>148</v>
      </c>
      <c r="Y444" s="6" t="s">
        <v>144</v>
      </c>
    </row>
    <row r="445" spans="2:25" x14ac:dyDescent="0.3">
      <c r="B445" s="5" t="s">
        <v>59</v>
      </c>
      <c r="C445" s="5" t="str">
        <f>VLOOKUP(B445,[1]물질정보!B:C,2,0)</f>
        <v>2499-95-8</v>
      </c>
      <c r="D445" t="str">
        <f>VLOOKUP(B445,[1]물질정보!B:D,3,0)</f>
        <v>hexyl acrylate</v>
      </c>
      <c r="E445" t="str">
        <f>VLOOKUP(B445,[1]물질정보!B:E,4,0)</f>
        <v>C9H16O2</v>
      </c>
      <c r="F445" t="str">
        <f>VLOOKUP(B445,[1]물질정보!B:F,5,0)</f>
        <v>156.22 g/mol</v>
      </c>
      <c r="G445" s="5" t="str">
        <f>VLOOKUP(B445,[1]물질정보!B:G,6,0)</f>
        <v>CCCCCCOC(=O)C=C</v>
      </c>
      <c r="H445" t="s">
        <v>79</v>
      </c>
      <c r="I445" t="s">
        <v>137</v>
      </c>
      <c r="J445" t="s">
        <v>89</v>
      </c>
      <c r="K445" t="s">
        <v>90</v>
      </c>
      <c r="L445" t="s">
        <v>29</v>
      </c>
      <c r="M445" t="s">
        <v>93</v>
      </c>
      <c r="N445" t="s">
        <v>29</v>
      </c>
      <c r="O445" t="s">
        <v>29</v>
      </c>
      <c r="P445" t="s">
        <v>29</v>
      </c>
      <c r="Q445" t="s">
        <v>29</v>
      </c>
      <c r="R445" t="s">
        <v>32</v>
      </c>
      <c r="S445" t="s">
        <v>29</v>
      </c>
      <c r="T445" t="s">
        <v>40</v>
      </c>
      <c r="U445" t="s">
        <v>151</v>
      </c>
      <c r="V445" s="6" t="s">
        <v>131</v>
      </c>
      <c r="W445" t="s">
        <v>93</v>
      </c>
      <c r="X445" t="s">
        <v>29</v>
      </c>
      <c r="Y445" s="6" t="s">
        <v>89</v>
      </c>
    </row>
    <row r="446" spans="2:25" x14ac:dyDescent="0.3">
      <c r="B446" s="5" t="s">
        <v>59</v>
      </c>
      <c r="C446" s="5" t="str">
        <f>VLOOKUP(B446,[1]물질정보!B:C,2,0)</f>
        <v>2499-95-8</v>
      </c>
      <c r="D446" t="str">
        <f>VLOOKUP(B446,[1]물질정보!B:D,3,0)</f>
        <v>hexyl acrylate</v>
      </c>
      <c r="E446" t="str">
        <f>VLOOKUP(B446,[1]물질정보!B:E,4,0)</f>
        <v>C9H16O2</v>
      </c>
      <c r="F446" t="str">
        <f>VLOOKUP(B446,[1]물질정보!B:F,5,0)</f>
        <v>156.22 g/mol</v>
      </c>
      <c r="G446" s="5" t="str">
        <f>VLOOKUP(B446,[1]물질정보!B:G,6,0)</f>
        <v>CCCCCCOC(=O)C=C</v>
      </c>
      <c r="H446" t="s">
        <v>79</v>
      </c>
      <c r="I446" t="s">
        <v>139</v>
      </c>
      <c r="J446" t="s">
        <v>98</v>
      </c>
      <c r="K446" t="s">
        <v>99</v>
      </c>
      <c r="L446" t="s">
        <v>29</v>
      </c>
      <c r="M446" t="s">
        <v>100</v>
      </c>
      <c r="N446" t="s">
        <v>29</v>
      </c>
      <c r="O446" t="s">
        <v>29</v>
      </c>
      <c r="P446" t="s">
        <v>29</v>
      </c>
      <c r="Q446" t="s">
        <v>29</v>
      </c>
      <c r="R446" t="s">
        <v>32</v>
      </c>
      <c r="S446" t="s">
        <v>29</v>
      </c>
      <c r="T446" t="s">
        <v>40</v>
      </c>
      <c r="U446" t="s">
        <v>140</v>
      </c>
      <c r="V446" s="6" t="s">
        <v>131</v>
      </c>
      <c r="W446" t="s">
        <v>101</v>
      </c>
      <c r="X446" t="s">
        <v>29</v>
      </c>
      <c r="Y446" s="6" t="s">
        <v>98</v>
      </c>
    </row>
    <row r="447" spans="2:25" x14ac:dyDescent="0.3">
      <c r="B447" s="5" t="s">
        <v>59</v>
      </c>
      <c r="C447" s="5" t="str">
        <f>VLOOKUP(B447,[1]물질정보!B:C,2,0)</f>
        <v>2499-95-8</v>
      </c>
      <c r="D447" t="str">
        <f>VLOOKUP(B447,[1]물질정보!B:D,3,0)</f>
        <v>hexyl acrylate</v>
      </c>
      <c r="E447" t="str">
        <f>VLOOKUP(B447,[1]물질정보!B:E,4,0)</f>
        <v>C9H16O2</v>
      </c>
      <c r="F447" t="str">
        <f>VLOOKUP(B447,[1]물질정보!B:F,5,0)</f>
        <v>156.22 g/mol</v>
      </c>
      <c r="G447" s="5" t="str">
        <f>VLOOKUP(B447,[1]물질정보!B:G,6,0)</f>
        <v>CCCCCCOC(=O)C=C</v>
      </c>
      <c r="H447" t="s">
        <v>79</v>
      </c>
      <c r="I447" t="s">
        <v>141</v>
      </c>
      <c r="J447" t="s">
        <v>824</v>
      </c>
      <c r="K447" t="s">
        <v>90</v>
      </c>
      <c r="L447" t="s">
        <v>29</v>
      </c>
      <c r="M447" t="s">
        <v>122</v>
      </c>
      <c r="N447" t="s">
        <v>29</v>
      </c>
      <c r="O447" t="s">
        <v>29</v>
      </c>
      <c r="P447" t="s">
        <v>29</v>
      </c>
      <c r="Q447" t="s">
        <v>29</v>
      </c>
      <c r="R447" t="s">
        <v>32</v>
      </c>
      <c r="S447" t="s">
        <v>29</v>
      </c>
      <c r="T447" t="s">
        <v>40</v>
      </c>
      <c r="U447" t="s">
        <v>152</v>
      </c>
      <c r="V447" s="6" t="s">
        <v>131</v>
      </c>
      <c r="W447" t="s">
        <v>112</v>
      </c>
      <c r="X447" t="s">
        <v>29</v>
      </c>
      <c r="Y447" s="6" t="s">
        <v>753</v>
      </c>
    </row>
    <row r="448" spans="2:25" x14ac:dyDescent="0.3">
      <c r="B448" s="5" t="s">
        <v>70</v>
      </c>
      <c r="C448" s="5" t="str">
        <f>VLOOKUP(B448,[1]물질정보!B:C,2,0)</f>
        <v>10095-14-4</v>
      </c>
      <c r="D448" t="str">
        <f>VLOOKUP(B448,[1]물질정보!B:D,3,0)</f>
        <v>6-hydroxybutyl acrylate</v>
      </c>
      <c r="E448" t="str">
        <f>VLOOKUP(B448,[1]물질정보!B:E,4,0)</f>
        <v>C9H16O3</v>
      </c>
      <c r="F448" t="str">
        <f>VLOOKUP(B448,[1]물질정보!B:F,5,0)</f>
        <v>172.22 g/mol</v>
      </c>
      <c r="G448" s="5" t="str">
        <f>VLOOKUP(B448,[1]물질정보!B:G,6,0)</f>
        <v>C=CC(=O)OCCCCCCO</v>
      </c>
      <c r="H448" t="s">
        <v>26</v>
      </c>
      <c r="I448" t="s">
        <v>127</v>
      </c>
      <c r="J448" t="s">
        <v>128</v>
      </c>
      <c r="K448">
        <v>2.1909999999999998</v>
      </c>
      <c r="L448" t="s">
        <v>29</v>
      </c>
      <c r="M448" t="s">
        <v>53</v>
      </c>
      <c r="N448" t="s">
        <v>29</v>
      </c>
      <c r="O448" t="s">
        <v>29</v>
      </c>
      <c r="P448">
        <v>96</v>
      </c>
      <c r="Q448" t="s">
        <v>31</v>
      </c>
      <c r="R448" t="s">
        <v>32</v>
      </c>
      <c r="S448" t="s">
        <v>29</v>
      </c>
      <c r="T448" t="s">
        <v>40</v>
      </c>
      <c r="U448" t="s">
        <v>130</v>
      </c>
      <c r="V448" s="6" t="s">
        <v>131</v>
      </c>
      <c r="W448" t="s">
        <v>53</v>
      </c>
      <c r="X448" t="s">
        <v>37</v>
      </c>
      <c r="Y448" s="6" t="s">
        <v>128</v>
      </c>
    </row>
    <row r="449" spans="2:25" x14ac:dyDescent="0.3">
      <c r="B449" s="5" t="s">
        <v>70</v>
      </c>
      <c r="C449" s="5" t="str">
        <f>VLOOKUP(B449,[1]물질정보!B:C,2,0)</f>
        <v>10095-14-4</v>
      </c>
      <c r="D449" t="str">
        <f>VLOOKUP(B449,[1]물질정보!B:D,3,0)</f>
        <v>6-hydroxybutyl acrylate</v>
      </c>
      <c r="E449" t="str">
        <f>VLOOKUP(B449,[1]물질정보!B:E,4,0)</f>
        <v>C9H16O3</v>
      </c>
      <c r="F449" t="str">
        <f>VLOOKUP(B449,[1]물질정보!B:F,5,0)</f>
        <v>172.22 g/mol</v>
      </c>
      <c r="G449" s="5" t="str">
        <f>VLOOKUP(B449,[1]물질정보!B:G,6,0)</f>
        <v>C=CC(=O)OCCCCCCO</v>
      </c>
      <c r="H449" t="s">
        <v>26</v>
      </c>
      <c r="I449" t="s">
        <v>132</v>
      </c>
      <c r="J449" t="s">
        <v>28</v>
      </c>
      <c r="K449">
        <v>33.869999999999997</v>
      </c>
      <c r="L449" t="s">
        <v>29</v>
      </c>
      <c r="M449" t="s">
        <v>47</v>
      </c>
      <c r="N449" t="s">
        <v>29</v>
      </c>
      <c r="O449" t="s">
        <v>29</v>
      </c>
      <c r="P449">
        <v>48</v>
      </c>
      <c r="Q449" t="s">
        <v>31</v>
      </c>
      <c r="R449" t="s">
        <v>32</v>
      </c>
      <c r="S449" t="s">
        <v>29</v>
      </c>
      <c r="T449" t="s">
        <v>40</v>
      </c>
      <c r="U449" t="s">
        <v>149</v>
      </c>
      <c r="V449" s="6" t="s">
        <v>131</v>
      </c>
      <c r="W449" t="s">
        <v>47</v>
      </c>
      <c r="X449" t="s">
        <v>48</v>
      </c>
      <c r="Y449" s="6" t="s">
        <v>28</v>
      </c>
    </row>
    <row r="450" spans="2:25" x14ac:dyDescent="0.3">
      <c r="B450" s="5" t="s">
        <v>70</v>
      </c>
      <c r="C450" s="5" t="str">
        <f>VLOOKUP(B450,[1]물질정보!B:C,2,0)</f>
        <v>10095-14-4</v>
      </c>
      <c r="D450" t="str">
        <f>VLOOKUP(B450,[1]물질정보!B:D,3,0)</f>
        <v>6-hydroxybutyl acrylate</v>
      </c>
      <c r="E450" t="str">
        <f>VLOOKUP(B450,[1]물질정보!B:E,4,0)</f>
        <v>C9H16O3</v>
      </c>
      <c r="F450" t="str">
        <f>VLOOKUP(B450,[1]물질정보!B:F,5,0)</f>
        <v>172.22 g/mol</v>
      </c>
      <c r="G450" s="5" t="str">
        <f>VLOOKUP(B450,[1]물질정보!B:G,6,0)</f>
        <v>C=CC(=O)OCCCCCCO</v>
      </c>
      <c r="H450" t="s">
        <v>26</v>
      </c>
      <c r="I450" t="s">
        <v>134</v>
      </c>
      <c r="J450" t="s">
        <v>28</v>
      </c>
      <c r="K450">
        <v>34.25</v>
      </c>
      <c r="L450" t="s">
        <v>29</v>
      </c>
      <c r="M450" t="s">
        <v>135</v>
      </c>
      <c r="N450" t="s">
        <v>29</v>
      </c>
      <c r="O450" t="s">
        <v>29</v>
      </c>
      <c r="P450">
        <v>72</v>
      </c>
      <c r="Q450" t="s">
        <v>31</v>
      </c>
      <c r="R450" t="s">
        <v>32</v>
      </c>
      <c r="S450" t="s">
        <v>29</v>
      </c>
      <c r="T450" t="s">
        <v>40</v>
      </c>
      <c r="U450" t="s">
        <v>150</v>
      </c>
      <c r="V450" s="6" t="s">
        <v>131</v>
      </c>
      <c r="W450" t="s">
        <v>43</v>
      </c>
      <c r="X450" t="s">
        <v>44</v>
      </c>
      <c r="Y450" s="6" t="s">
        <v>28</v>
      </c>
    </row>
    <row r="451" spans="2:25" x14ac:dyDescent="0.3">
      <c r="B451" s="5" t="s">
        <v>70</v>
      </c>
      <c r="C451" s="5" t="str">
        <f>VLOOKUP(B451,[1]물질정보!B:C,2,0)</f>
        <v>10095-14-4</v>
      </c>
      <c r="D451" t="str">
        <f>VLOOKUP(B451,[1]물질정보!B:D,3,0)</f>
        <v>6-hydroxybutyl acrylate</v>
      </c>
      <c r="E451" t="str">
        <f>VLOOKUP(B451,[1]물질정보!B:E,4,0)</f>
        <v>C9H16O3</v>
      </c>
      <c r="F451" t="str">
        <f>VLOOKUP(B451,[1]물질정보!B:F,5,0)</f>
        <v>172.22 g/mol</v>
      </c>
      <c r="G451" s="5" t="str">
        <f>VLOOKUP(B451,[1]물질정보!B:G,6,0)</f>
        <v>C=CC(=O)OCCCCCCO</v>
      </c>
      <c r="H451" t="s">
        <v>26</v>
      </c>
      <c r="I451" t="s">
        <v>143</v>
      </c>
      <c r="J451" t="s">
        <v>144</v>
      </c>
      <c r="K451" t="s">
        <v>153</v>
      </c>
      <c r="L451" t="s">
        <v>29</v>
      </c>
      <c r="M451" t="s">
        <v>29</v>
      </c>
      <c r="N451" t="s">
        <v>29</v>
      </c>
      <c r="O451" t="s">
        <v>29</v>
      </c>
      <c r="P451" t="s">
        <v>29</v>
      </c>
      <c r="Q451" t="s">
        <v>29</v>
      </c>
      <c r="R451" t="s">
        <v>32</v>
      </c>
      <c r="S451" t="s">
        <v>29</v>
      </c>
      <c r="T451" t="s">
        <v>40</v>
      </c>
      <c r="U451" t="s">
        <v>146</v>
      </c>
      <c r="V451" s="6" t="s">
        <v>131</v>
      </c>
      <c r="W451" t="s">
        <v>147</v>
      </c>
      <c r="X451" t="s">
        <v>148</v>
      </c>
      <c r="Y451" s="6" t="s">
        <v>144</v>
      </c>
    </row>
    <row r="452" spans="2:25" x14ac:dyDescent="0.3">
      <c r="B452" s="5" t="s">
        <v>70</v>
      </c>
      <c r="C452" s="5" t="str">
        <f>VLOOKUP(B452,[1]물질정보!B:C,2,0)</f>
        <v>10095-14-4</v>
      </c>
      <c r="D452" t="str">
        <f>VLOOKUP(B452,[1]물질정보!B:D,3,0)</f>
        <v>6-hydroxybutyl acrylate</v>
      </c>
      <c r="E452" t="str">
        <f>VLOOKUP(B452,[1]물질정보!B:E,4,0)</f>
        <v>C9H16O3</v>
      </c>
      <c r="F452" t="str">
        <f>VLOOKUP(B452,[1]물질정보!B:F,5,0)</f>
        <v>172.22 g/mol</v>
      </c>
      <c r="G452" s="5" t="str">
        <f>VLOOKUP(B452,[1]물질정보!B:G,6,0)</f>
        <v>C=CC(=O)OCCCCCCO</v>
      </c>
      <c r="H452" t="s">
        <v>79</v>
      </c>
      <c r="I452" t="s">
        <v>137</v>
      </c>
      <c r="J452" t="s">
        <v>89</v>
      </c>
      <c r="K452" t="s">
        <v>90</v>
      </c>
      <c r="L452" t="s">
        <v>29</v>
      </c>
      <c r="M452" t="s">
        <v>93</v>
      </c>
      <c r="N452" t="s">
        <v>29</v>
      </c>
      <c r="O452" t="s">
        <v>29</v>
      </c>
      <c r="P452" t="s">
        <v>29</v>
      </c>
      <c r="Q452" t="s">
        <v>29</v>
      </c>
      <c r="R452" t="s">
        <v>32</v>
      </c>
      <c r="S452" t="s">
        <v>29</v>
      </c>
      <c r="T452" t="s">
        <v>40</v>
      </c>
      <c r="U452" t="s">
        <v>151</v>
      </c>
      <c r="V452" s="6" t="s">
        <v>131</v>
      </c>
      <c r="W452" t="s">
        <v>93</v>
      </c>
      <c r="X452" t="s">
        <v>29</v>
      </c>
      <c r="Y452" s="6" t="s">
        <v>89</v>
      </c>
    </row>
    <row r="453" spans="2:25" x14ac:dyDescent="0.3">
      <c r="B453" s="5" t="s">
        <v>70</v>
      </c>
      <c r="C453" s="5" t="str">
        <f>VLOOKUP(B453,[1]물질정보!B:C,2,0)</f>
        <v>10095-14-4</v>
      </c>
      <c r="D453" t="str">
        <f>VLOOKUP(B453,[1]물질정보!B:D,3,0)</f>
        <v>6-hydroxybutyl acrylate</v>
      </c>
      <c r="E453" t="str">
        <f>VLOOKUP(B453,[1]물질정보!B:E,4,0)</f>
        <v>C9H16O3</v>
      </c>
      <c r="F453" t="str">
        <f>VLOOKUP(B453,[1]물질정보!B:F,5,0)</f>
        <v>172.22 g/mol</v>
      </c>
      <c r="G453" s="5" t="str">
        <f>VLOOKUP(B453,[1]물질정보!B:G,6,0)</f>
        <v>C=CC(=O)OCCCCCCO</v>
      </c>
      <c r="H453" t="s">
        <v>79</v>
      </c>
      <c r="I453" t="s">
        <v>139</v>
      </c>
      <c r="J453" t="s">
        <v>98</v>
      </c>
      <c r="K453" t="s">
        <v>99</v>
      </c>
      <c r="L453" t="s">
        <v>29</v>
      </c>
      <c r="M453" t="s">
        <v>100</v>
      </c>
      <c r="N453" t="s">
        <v>29</v>
      </c>
      <c r="O453" t="s">
        <v>29</v>
      </c>
      <c r="P453" t="s">
        <v>29</v>
      </c>
      <c r="Q453" t="s">
        <v>29</v>
      </c>
      <c r="R453" t="s">
        <v>32</v>
      </c>
      <c r="S453" t="s">
        <v>29</v>
      </c>
      <c r="T453" t="s">
        <v>40</v>
      </c>
      <c r="U453" t="s">
        <v>140</v>
      </c>
      <c r="V453" s="6" t="s">
        <v>131</v>
      </c>
      <c r="W453" t="s">
        <v>101</v>
      </c>
      <c r="X453" t="s">
        <v>29</v>
      </c>
      <c r="Y453" s="6" t="s">
        <v>98</v>
      </c>
    </row>
    <row r="454" spans="2:25" x14ac:dyDescent="0.3">
      <c r="B454" s="5" t="s">
        <v>70</v>
      </c>
      <c r="C454" s="5" t="str">
        <f>VLOOKUP(B454,[1]물질정보!B:C,2,0)</f>
        <v>10095-14-4</v>
      </c>
      <c r="D454" t="str">
        <f>VLOOKUP(B454,[1]물질정보!B:D,3,0)</f>
        <v>6-hydroxybutyl acrylate</v>
      </c>
      <c r="E454" t="str">
        <f>VLOOKUP(B454,[1]물질정보!B:E,4,0)</f>
        <v>C9H16O3</v>
      </c>
      <c r="F454" t="str">
        <f>VLOOKUP(B454,[1]물질정보!B:F,5,0)</f>
        <v>172.22 g/mol</v>
      </c>
      <c r="G454" s="5" t="str">
        <f>VLOOKUP(B454,[1]물질정보!B:G,6,0)</f>
        <v>C=CC(=O)OCCCCCCO</v>
      </c>
      <c r="H454" t="s">
        <v>79</v>
      </c>
      <c r="I454" t="s">
        <v>141</v>
      </c>
      <c r="J454" t="s">
        <v>824</v>
      </c>
      <c r="K454" t="s">
        <v>90</v>
      </c>
      <c r="L454" t="s">
        <v>29</v>
      </c>
      <c r="M454" t="s">
        <v>122</v>
      </c>
      <c r="N454" t="s">
        <v>29</v>
      </c>
      <c r="O454" t="s">
        <v>29</v>
      </c>
      <c r="P454" t="s">
        <v>29</v>
      </c>
      <c r="Q454" t="s">
        <v>29</v>
      </c>
      <c r="R454" t="s">
        <v>32</v>
      </c>
      <c r="S454" t="s">
        <v>29</v>
      </c>
      <c r="T454" t="s">
        <v>40</v>
      </c>
      <c r="U454" t="s">
        <v>152</v>
      </c>
      <c r="V454" s="6" t="s">
        <v>131</v>
      </c>
      <c r="W454" t="s">
        <v>112</v>
      </c>
      <c r="X454" t="s">
        <v>29</v>
      </c>
      <c r="Y454" s="6" t="s">
        <v>753</v>
      </c>
    </row>
    <row r="455" spans="2:25" x14ac:dyDescent="0.3">
      <c r="B455" s="5" t="s">
        <v>125</v>
      </c>
      <c r="C455" s="5" t="str">
        <f>VLOOKUP(B455,[1]물질정보!B:C,2,0)</f>
        <v>-</v>
      </c>
      <c r="D455" t="str">
        <f>VLOOKUP(B455,[1]물질정보!B:D,3,0)</f>
        <v xml:space="preserve">9-(9H-Carbazol-9-yl)-7H-benzo[c]carbazole </v>
      </c>
      <c r="E455" t="str">
        <f>VLOOKUP(B455,[1]물질정보!B:E,4,0)</f>
        <v>C28H18N2</v>
      </c>
      <c r="F455" t="str">
        <f>VLOOKUP(B455,[1]물질정보!B:F,5,0)</f>
        <v>382.5 g/mol</v>
      </c>
      <c r="G455" s="5" t="str">
        <f>VLOOKUP(B455,[1]물질정보!B:G,6,0)</f>
        <v>C1=CC=C2C(=C1)C=CC3=C2C4=C(N3)C=C(C=C4)N5C6=CC=CC=C6C7=CC=CC=C75</v>
      </c>
      <c r="H455" t="s">
        <v>26</v>
      </c>
      <c r="I455" t="s">
        <v>143</v>
      </c>
      <c r="J455" t="s">
        <v>29</v>
      </c>
      <c r="K455" t="s">
        <v>686</v>
      </c>
      <c r="L455" t="s">
        <v>29</v>
      </c>
      <c r="M455" t="s">
        <v>29</v>
      </c>
      <c r="N455" t="s">
        <v>29</v>
      </c>
      <c r="O455" t="s">
        <v>29</v>
      </c>
      <c r="P455" t="s">
        <v>29</v>
      </c>
      <c r="Q455" t="s">
        <v>29</v>
      </c>
      <c r="R455" t="s">
        <v>32</v>
      </c>
      <c r="S455" t="s">
        <v>29</v>
      </c>
      <c r="T455" t="s">
        <v>29</v>
      </c>
      <c r="U455" t="s">
        <v>156</v>
      </c>
      <c r="V455" s="6" t="s">
        <v>157</v>
      </c>
      <c r="W455" t="s">
        <v>147</v>
      </c>
      <c r="X455" t="s">
        <v>148</v>
      </c>
      <c r="Y455" s="6" t="s">
        <v>29</v>
      </c>
    </row>
    <row r="456" spans="2:25" x14ac:dyDescent="0.3">
      <c r="B456" s="5" t="s">
        <v>72</v>
      </c>
      <c r="C456" s="5" t="str">
        <f>VLOOKUP(B456,[1]물질정보!B:C,2,0)</f>
        <v>205-25-4</v>
      </c>
      <c r="D456" t="str">
        <f>VLOOKUP(B456,[1]물질정보!B:D,3,0)</f>
        <v xml:space="preserve">7H-Benzo[c]carbazole </v>
      </c>
      <c r="E456" t="str">
        <f>VLOOKUP(B456,[1]물질정보!B:E,4,0)</f>
        <v>C16H11N</v>
      </c>
      <c r="F456" t="str">
        <f>VLOOKUP(B456,[1]물질정보!B:F,5,0)</f>
        <v>217.26 g/mol</v>
      </c>
      <c r="G456" s="5" t="str">
        <f>VLOOKUP(B456,[1]물질정보!B:G,6,0)</f>
        <v>C1=CC=C2C(=C1)C=CC3=C2C4=CC=CC=C4N3</v>
      </c>
      <c r="H456" t="s">
        <v>26</v>
      </c>
      <c r="I456" t="s">
        <v>143</v>
      </c>
      <c r="J456" t="s">
        <v>29</v>
      </c>
      <c r="K456" t="s">
        <v>686</v>
      </c>
      <c r="L456" t="s">
        <v>29</v>
      </c>
      <c r="M456" t="s">
        <v>29</v>
      </c>
      <c r="N456" t="s">
        <v>29</v>
      </c>
      <c r="O456" t="s">
        <v>29</v>
      </c>
      <c r="P456" t="s">
        <v>29</v>
      </c>
      <c r="Q456" t="s">
        <v>29</v>
      </c>
      <c r="R456" t="s">
        <v>32</v>
      </c>
      <c r="S456" t="s">
        <v>29</v>
      </c>
      <c r="T456" t="s">
        <v>29</v>
      </c>
      <c r="U456" t="s">
        <v>156</v>
      </c>
      <c r="V456" s="6" t="s">
        <v>157</v>
      </c>
      <c r="W456" t="s">
        <v>147</v>
      </c>
      <c r="X456" t="s">
        <v>148</v>
      </c>
      <c r="Y456" s="6" t="s">
        <v>29</v>
      </c>
    </row>
    <row r="457" spans="2:25" x14ac:dyDescent="0.3">
      <c r="B457" s="5" t="s">
        <v>71</v>
      </c>
      <c r="C457" s="5" t="str">
        <f>VLOOKUP(B457,[1]물질정보!B:C,2,0)</f>
        <v>97-63-2</v>
      </c>
      <c r="D457" t="str">
        <f>VLOOKUP(B457,[1]물질정보!B:D,3,0)</f>
        <v>ethyl methacrylate</v>
      </c>
      <c r="E457" t="str">
        <f>VLOOKUP(B457,[1]물질정보!B:E,4,0)</f>
        <v>C6H10O2</v>
      </c>
      <c r="F457" t="str">
        <f>VLOOKUP(B457,[1]물질정보!B:F,5,0)</f>
        <v>114.14 g/mol</v>
      </c>
      <c r="G457" s="5" t="str">
        <f>VLOOKUP(B457,[1]물질정보!B:G,6,0)</f>
        <v>CCOC(=O)C(=C)C</v>
      </c>
      <c r="H457" t="s">
        <v>26</v>
      </c>
      <c r="I457" t="s">
        <v>143</v>
      </c>
      <c r="J457" t="s">
        <v>29</v>
      </c>
      <c r="K457" t="s">
        <v>687</v>
      </c>
      <c r="L457" t="s">
        <v>29</v>
      </c>
      <c r="M457" t="s">
        <v>29</v>
      </c>
      <c r="N457" t="s">
        <v>29</v>
      </c>
      <c r="O457" t="s">
        <v>29</v>
      </c>
      <c r="P457" t="s">
        <v>29</v>
      </c>
      <c r="Q457" t="s">
        <v>29</v>
      </c>
      <c r="R457" t="s">
        <v>32</v>
      </c>
      <c r="S457" t="s">
        <v>29</v>
      </c>
      <c r="T457" t="s">
        <v>29</v>
      </c>
      <c r="U457" t="s">
        <v>156</v>
      </c>
      <c r="V457" s="6" t="s">
        <v>157</v>
      </c>
      <c r="W457" t="s">
        <v>147</v>
      </c>
      <c r="X457" t="s">
        <v>148</v>
      </c>
      <c r="Y457" s="6" t="s">
        <v>29</v>
      </c>
    </row>
    <row r="458" spans="2:25" x14ac:dyDescent="0.3">
      <c r="B458" s="5" t="s">
        <v>69</v>
      </c>
      <c r="C458" s="5" t="str">
        <f>VLOOKUP(B458,[1]물질정보!B:C,2,0)</f>
        <v>868-77-9</v>
      </c>
      <c r="D458" t="str">
        <f>VLOOKUP(B458,[1]물질정보!B:D,3,0)</f>
        <v>2-hydroxyethyl methacrylate</v>
      </c>
      <c r="E458" t="str">
        <f>VLOOKUP(B458,[1]물질정보!B:E,4,0)</f>
        <v>C6H10O3</v>
      </c>
      <c r="F458" t="str">
        <f>VLOOKUP(B458,[1]물질정보!B:F,5,0)</f>
        <v>130.139 g/mol</v>
      </c>
      <c r="G458" s="5" t="str">
        <f>VLOOKUP(B458,[1]물질정보!B:G,6,0)</f>
        <v>CC(=C)C(=O)OCCO</v>
      </c>
      <c r="H458" t="s">
        <v>26</v>
      </c>
      <c r="I458" t="s">
        <v>143</v>
      </c>
      <c r="J458" t="s">
        <v>29</v>
      </c>
      <c r="K458" t="s">
        <v>687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29</v>
      </c>
      <c r="R458" t="s">
        <v>32</v>
      </c>
      <c r="S458" t="s">
        <v>29</v>
      </c>
      <c r="T458" t="s">
        <v>29</v>
      </c>
      <c r="U458" t="s">
        <v>156</v>
      </c>
      <c r="V458" s="6" t="s">
        <v>157</v>
      </c>
      <c r="W458" t="s">
        <v>147</v>
      </c>
      <c r="X458" t="s">
        <v>148</v>
      </c>
      <c r="Y458" s="6" t="s">
        <v>29</v>
      </c>
    </row>
    <row r="459" spans="2:25" x14ac:dyDescent="0.3">
      <c r="B459" s="5" t="s">
        <v>25</v>
      </c>
      <c r="C459" s="5" t="str">
        <f>VLOOKUP(B459,[1]물질정보!B:C,2,0)</f>
        <v>97-88-1</v>
      </c>
      <c r="D459" t="str">
        <f>VLOOKUP(B459,[1]물질정보!B:D,3,0)</f>
        <v>butyl methacrylate</v>
      </c>
      <c r="E459" t="str">
        <f>VLOOKUP(B459,[1]물질정보!B:E,4,0)</f>
        <v>C8H14O2</v>
      </c>
      <c r="F459" t="str">
        <f>VLOOKUP(B459,[1]물질정보!B:F,5,0)</f>
        <v>142.2 g/mol</v>
      </c>
      <c r="G459" s="5" t="str">
        <f>VLOOKUP(B459,[1]물질정보!B:G,6,0)</f>
        <v>CCCCOC(=O)C(=C)C</v>
      </c>
      <c r="H459" t="s">
        <v>26</v>
      </c>
      <c r="I459" t="s">
        <v>143</v>
      </c>
      <c r="J459" t="s">
        <v>29</v>
      </c>
      <c r="K459" t="s">
        <v>687</v>
      </c>
      <c r="L459" t="s">
        <v>29</v>
      </c>
      <c r="M459" t="s">
        <v>29</v>
      </c>
      <c r="N459" t="s">
        <v>29</v>
      </c>
      <c r="O459" t="s">
        <v>29</v>
      </c>
      <c r="P459" t="s">
        <v>29</v>
      </c>
      <c r="Q459" t="s">
        <v>29</v>
      </c>
      <c r="R459" t="s">
        <v>32</v>
      </c>
      <c r="S459" t="s">
        <v>29</v>
      </c>
      <c r="T459" t="s">
        <v>29</v>
      </c>
      <c r="U459" t="s">
        <v>156</v>
      </c>
      <c r="V459" s="6" t="s">
        <v>157</v>
      </c>
      <c r="W459" t="s">
        <v>147</v>
      </c>
      <c r="X459" t="s">
        <v>148</v>
      </c>
      <c r="Y459" s="6" t="s">
        <v>29</v>
      </c>
    </row>
    <row r="460" spans="2:25" x14ac:dyDescent="0.3">
      <c r="B460" s="5" t="s">
        <v>68</v>
      </c>
      <c r="C460" s="5" t="str">
        <f>VLOOKUP(B460,[1]물질정보!B:C,2,0)</f>
        <v>997-46-6</v>
      </c>
      <c r="D460" t="str">
        <f>VLOOKUP(B460,[1]물질정보!B:D,3,0)</f>
        <v>4-hydroxybutyl methacrylate</v>
      </c>
      <c r="E460" t="str">
        <f>VLOOKUP(B460,[1]물질정보!B:E,4,0)</f>
        <v>C8H14O3</v>
      </c>
      <c r="F460" t="str">
        <f>VLOOKUP(B460,[1]물질정보!B:F,5,0)</f>
        <v>158.19 g/mol</v>
      </c>
      <c r="G460" s="5" t="str">
        <f>VLOOKUP(B460,[1]물질정보!B:G,6,0)</f>
        <v>CC(=C)C(=O)OCCCCO</v>
      </c>
      <c r="H460" t="s">
        <v>26</v>
      </c>
      <c r="I460" t="s">
        <v>143</v>
      </c>
      <c r="J460" t="s">
        <v>29</v>
      </c>
      <c r="K460" t="s">
        <v>687</v>
      </c>
      <c r="L460" t="s">
        <v>29</v>
      </c>
      <c r="M460" t="s">
        <v>29</v>
      </c>
      <c r="N460" t="s">
        <v>29</v>
      </c>
      <c r="O460" t="s">
        <v>29</v>
      </c>
      <c r="P460" t="s">
        <v>29</v>
      </c>
      <c r="Q460" t="s">
        <v>29</v>
      </c>
      <c r="R460" t="s">
        <v>32</v>
      </c>
      <c r="S460" t="s">
        <v>29</v>
      </c>
      <c r="T460" t="s">
        <v>29</v>
      </c>
      <c r="U460" t="s">
        <v>156</v>
      </c>
      <c r="V460" s="6" t="s">
        <v>157</v>
      </c>
      <c r="W460" t="s">
        <v>147</v>
      </c>
      <c r="X460" t="s">
        <v>148</v>
      </c>
      <c r="Y460" s="6" t="s">
        <v>29</v>
      </c>
    </row>
    <row r="461" spans="2:25" x14ac:dyDescent="0.3">
      <c r="B461" s="5" t="s">
        <v>77</v>
      </c>
      <c r="C461" s="5" t="str">
        <f>VLOOKUP(B461,[1]물질정보!B:C,2,0)</f>
        <v>140-88-5</v>
      </c>
      <c r="D461" t="str">
        <f>VLOOKUP(B461,[1]물질정보!B:D,3,0)</f>
        <v>ethyl acrylate</v>
      </c>
      <c r="E461" t="str">
        <f>VLOOKUP(B461,[1]물질정보!B:E,4,0)</f>
        <v>C5H8O2</v>
      </c>
      <c r="F461" t="str">
        <f>VLOOKUP(B461,[1]물질정보!B:F,5,0)</f>
        <v>100.12 g/mol</v>
      </c>
      <c r="G461" s="5" t="str">
        <f>VLOOKUP(B461,[1]물질정보!B:G,6,0)</f>
        <v>CCOC(=O)C=C</v>
      </c>
      <c r="H461" t="s">
        <v>26</v>
      </c>
      <c r="I461" t="s">
        <v>143</v>
      </c>
      <c r="J461" t="s">
        <v>29</v>
      </c>
      <c r="K461" t="s">
        <v>687</v>
      </c>
      <c r="L461" t="s">
        <v>29</v>
      </c>
      <c r="M461" t="s">
        <v>29</v>
      </c>
      <c r="N461" t="s">
        <v>29</v>
      </c>
      <c r="O461" t="s">
        <v>29</v>
      </c>
      <c r="P461" t="s">
        <v>29</v>
      </c>
      <c r="Q461" t="s">
        <v>29</v>
      </c>
      <c r="R461" t="s">
        <v>32</v>
      </c>
      <c r="S461" t="s">
        <v>29</v>
      </c>
      <c r="T461" t="s">
        <v>29</v>
      </c>
      <c r="U461" t="s">
        <v>156</v>
      </c>
      <c r="V461" s="6" t="s">
        <v>157</v>
      </c>
      <c r="W461" t="s">
        <v>147</v>
      </c>
      <c r="X461" t="s">
        <v>148</v>
      </c>
      <c r="Y461" s="6" t="s">
        <v>29</v>
      </c>
    </row>
    <row r="462" spans="2:25" x14ac:dyDescent="0.3">
      <c r="B462" s="5" t="s">
        <v>67</v>
      </c>
      <c r="C462" s="5" t="str">
        <f>VLOOKUP(B462,[1]물질정보!B:C,2,0)</f>
        <v>818-61-1</v>
      </c>
      <c r="D462" t="str">
        <f>VLOOKUP(B462,[1]물질정보!B:D,3,0)</f>
        <v>2-hydroxyethyl acrylate</v>
      </c>
      <c r="E462" t="str">
        <f>VLOOKUP(B462,[1]물질정보!B:E,4,0)</f>
        <v>C5H8O3</v>
      </c>
      <c r="F462" t="str">
        <f>VLOOKUP(B462,[1]물질정보!B:F,5,0)</f>
        <v>116.11 g/mol</v>
      </c>
      <c r="G462" s="5" t="str">
        <f>VLOOKUP(B462,[1]물질정보!B:G,6,0)</f>
        <v>C=CC(=O)OCCO</v>
      </c>
      <c r="H462" t="s">
        <v>26</v>
      </c>
      <c r="I462" t="s">
        <v>143</v>
      </c>
      <c r="J462" t="s">
        <v>29</v>
      </c>
      <c r="K462" t="s">
        <v>687</v>
      </c>
      <c r="L462" t="s">
        <v>29</v>
      </c>
      <c r="M462" t="s">
        <v>29</v>
      </c>
      <c r="N462" t="s">
        <v>29</v>
      </c>
      <c r="O462" t="s">
        <v>29</v>
      </c>
      <c r="P462" t="s">
        <v>29</v>
      </c>
      <c r="Q462" t="s">
        <v>29</v>
      </c>
      <c r="R462" t="s">
        <v>32</v>
      </c>
      <c r="S462" t="s">
        <v>29</v>
      </c>
      <c r="T462" t="s">
        <v>29</v>
      </c>
      <c r="U462" t="s">
        <v>156</v>
      </c>
      <c r="V462" s="6" t="s">
        <v>157</v>
      </c>
      <c r="W462" t="s">
        <v>147</v>
      </c>
      <c r="X462" t="s">
        <v>148</v>
      </c>
      <c r="Y462" s="6" t="s">
        <v>29</v>
      </c>
    </row>
    <row r="463" spans="2:25" x14ac:dyDescent="0.3">
      <c r="B463" s="5" t="s">
        <v>65</v>
      </c>
      <c r="C463" s="5" t="str">
        <f>VLOOKUP(B463,[1]물질정보!B:C,2,0)</f>
        <v>141-32-2</v>
      </c>
      <c r="D463" t="str">
        <f>VLOOKUP(B463,[1]물질정보!B:D,3,0)</f>
        <v>butyl acrylate</v>
      </c>
      <c r="E463" t="str">
        <f>VLOOKUP(B463,[1]물질정보!B:E,4,0)</f>
        <v>C7H12O2</v>
      </c>
      <c r="F463" t="str">
        <f>VLOOKUP(B463,[1]물질정보!B:F,5,0)</f>
        <v>128.169 g/mol</v>
      </c>
      <c r="G463" s="5" t="str">
        <f>VLOOKUP(B463,[1]물질정보!B:G,6,0)</f>
        <v>CCCCOC(=O)C=C</v>
      </c>
      <c r="H463" t="s">
        <v>26</v>
      </c>
      <c r="I463" t="s">
        <v>143</v>
      </c>
      <c r="J463" t="s">
        <v>29</v>
      </c>
      <c r="K463" t="s">
        <v>687</v>
      </c>
      <c r="L463" t="s">
        <v>29</v>
      </c>
      <c r="M463" t="s">
        <v>29</v>
      </c>
      <c r="N463" t="s">
        <v>29</v>
      </c>
      <c r="O463" t="s">
        <v>29</v>
      </c>
      <c r="P463" t="s">
        <v>29</v>
      </c>
      <c r="Q463" t="s">
        <v>29</v>
      </c>
      <c r="R463" t="s">
        <v>32</v>
      </c>
      <c r="S463" t="s">
        <v>29</v>
      </c>
      <c r="T463" t="s">
        <v>29</v>
      </c>
      <c r="U463" t="s">
        <v>156</v>
      </c>
      <c r="V463" s="6" t="s">
        <v>157</v>
      </c>
      <c r="W463" t="s">
        <v>147</v>
      </c>
      <c r="X463" t="s">
        <v>148</v>
      </c>
      <c r="Y463" s="6" t="s">
        <v>29</v>
      </c>
    </row>
    <row r="464" spans="2:25" x14ac:dyDescent="0.3">
      <c r="B464" s="5" t="s">
        <v>64</v>
      </c>
      <c r="C464" s="5" t="str">
        <f>VLOOKUP(B464,[1]물질정보!B:C,2,0)</f>
        <v>2478-10-6</v>
      </c>
      <c r="D464" t="str">
        <f>VLOOKUP(B464,[1]물질정보!B:D,3,0)</f>
        <v>4-hydroxybutyl acrylate</v>
      </c>
      <c r="E464" t="str">
        <f>VLOOKUP(B464,[1]물질정보!B:E,4,0)</f>
        <v>C7H12O3</v>
      </c>
      <c r="F464" t="str">
        <f>VLOOKUP(B464,[1]물질정보!B:F,5,0)</f>
        <v>144.17 g/mol</v>
      </c>
      <c r="G464" s="5" t="str">
        <f>VLOOKUP(B464,[1]물질정보!B:G,6,0)</f>
        <v>C=CC(=O)OCCCCO</v>
      </c>
      <c r="H464" t="s">
        <v>26</v>
      </c>
      <c r="I464" t="s">
        <v>143</v>
      </c>
      <c r="J464" t="s">
        <v>29</v>
      </c>
      <c r="K464" t="s">
        <v>687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29</v>
      </c>
      <c r="R464" t="s">
        <v>32</v>
      </c>
      <c r="S464" t="s">
        <v>29</v>
      </c>
      <c r="T464" t="s">
        <v>29</v>
      </c>
      <c r="U464" t="s">
        <v>156</v>
      </c>
      <c r="V464" s="6" t="s">
        <v>157</v>
      </c>
      <c r="W464" t="s">
        <v>147</v>
      </c>
      <c r="X464" t="s">
        <v>148</v>
      </c>
      <c r="Y464" s="6" t="s">
        <v>29</v>
      </c>
    </row>
    <row r="465" spans="2:25" x14ac:dyDescent="0.3">
      <c r="B465" s="5" t="s">
        <v>59</v>
      </c>
      <c r="C465" s="5" t="str">
        <f>VLOOKUP(B465,[1]물질정보!B:C,2,0)</f>
        <v>2499-95-8</v>
      </c>
      <c r="D465" t="str">
        <f>VLOOKUP(B465,[1]물질정보!B:D,3,0)</f>
        <v>hexyl acrylate</v>
      </c>
      <c r="E465" t="str">
        <f>VLOOKUP(B465,[1]물질정보!B:E,4,0)</f>
        <v>C9H16O2</v>
      </c>
      <c r="F465" t="str">
        <f>VLOOKUP(B465,[1]물질정보!B:F,5,0)</f>
        <v>156.22 g/mol</v>
      </c>
      <c r="G465" s="5" t="str">
        <f>VLOOKUP(B465,[1]물질정보!B:G,6,0)</f>
        <v>CCCCCCOC(=O)C=C</v>
      </c>
      <c r="H465" t="s">
        <v>26</v>
      </c>
      <c r="I465" t="s">
        <v>143</v>
      </c>
      <c r="J465" t="s">
        <v>29</v>
      </c>
      <c r="K465" t="s">
        <v>687</v>
      </c>
      <c r="L465" t="s">
        <v>29</v>
      </c>
      <c r="M465" t="s">
        <v>29</v>
      </c>
      <c r="N465" t="s">
        <v>29</v>
      </c>
      <c r="O465" t="s">
        <v>29</v>
      </c>
      <c r="P465" t="s">
        <v>29</v>
      </c>
      <c r="Q465" t="s">
        <v>29</v>
      </c>
      <c r="R465" t="s">
        <v>32</v>
      </c>
      <c r="S465" t="s">
        <v>29</v>
      </c>
      <c r="T465" t="s">
        <v>29</v>
      </c>
      <c r="U465" t="s">
        <v>156</v>
      </c>
      <c r="V465" s="6" t="s">
        <v>157</v>
      </c>
      <c r="W465" t="s">
        <v>147</v>
      </c>
      <c r="X465" t="s">
        <v>148</v>
      </c>
      <c r="Y465" s="6" t="s">
        <v>29</v>
      </c>
    </row>
    <row r="466" spans="2:25" x14ac:dyDescent="0.3">
      <c r="B466" s="5" t="s">
        <v>70</v>
      </c>
      <c r="C466" s="5" t="str">
        <f>VLOOKUP(B466,[1]물질정보!B:C,2,0)</f>
        <v>10095-14-4</v>
      </c>
      <c r="D466" t="str">
        <f>VLOOKUP(B466,[1]물질정보!B:D,3,0)</f>
        <v>6-hydroxybutyl acrylate</v>
      </c>
      <c r="E466" t="str">
        <f>VLOOKUP(B466,[1]물질정보!B:E,4,0)</f>
        <v>C9H16O3</v>
      </c>
      <c r="F466" t="str">
        <f>VLOOKUP(B466,[1]물질정보!B:F,5,0)</f>
        <v>172.22 g/mol</v>
      </c>
      <c r="G466" s="5" t="str">
        <f>VLOOKUP(B466,[1]물질정보!B:G,6,0)</f>
        <v>C=CC(=O)OCCCCCCO</v>
      </c>
      <c r="H466" t="s">
        <v>26</v>
      </c>
      <c r="I466" t="s">
        <v>143</v>
      </c>
      <c r="J466" t="s">
        <v>29</v>
      </c>
      <c r="K466" t="s">
        <v>687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29</v>
      </c>
      <c r="R466" t="s">
        <v>32</v>
      </c>
      <c r="S466" t="s">
        <v>29</v>
      </c>
      <c r="T466" t="s">
        <v>29</v>
      </c>
      <c r="U466" t="s">
        <v>156</v>
      </c>
      <c r="V466" s="6" t="s">
        <v>157</v>
      </c>
      <c r="W466" t="s">
        <v>147</v>
      </c>
      <c r="X466" t="s">
        <v>148</v>
      </c>
      <c r="Y466" s="6" t="s">
        <v>29</v>
      </c>
    </row>
    <row r="467" spans="2:25" x14ac:dyDescent="0.3">
      <c r="B467" s="5" t="s">
        <v>71</v>
      </c>
      <c r="C467" s="5" t="str">
        <f>VLOOKUP(B467,[1]물질정보!B:C,2,0)</f>
        <v>97-63-2</v>
      </c>
      <c r="D467" t="str">
        <f>VLOOKUP(B467,[1]물질정보!B:D,3,0)</f>
        <v>ethyl methacrylate</v>
      </c>
      <c r="E467" t="str">
        <f>VLOOKUP(B467,[1]물질정보!B:E,4,0)</f>
        <v>C6H10O2</v>
      </c>
      <c r="F467" t="str">
        <f>VLOOKUP(B467,[1]물질정보!B:F,5,0)</f>
        <v>114.14 g/mol</v>
      </c>
      <c r="G467" s="5" t="str">
        <f>VLOOKUP(B467,[1]물질정보!B:G,6,0)</f>
        <v>CCOC(=O)C(=C)C</v>
      </c>
      <c r="H467" t="s">
        <v>79</v>
      </c>
      <c r="I467" t="s">
        <v>80</v>
      </c>
      <c r="J467" t="s">
        <v>81</v>
      </c>
      <c r="K467">
        <v>13424</v>
      </c>
      <c r="L467" t="s">
        <v>158</v>
      </c>
      <c r="M467" t="s">
        <v>86</v>
      </c>
      <c r="N467" t="s">
        <v>29</v>
      </c>
      <c r="O467" t="s">
        <v>29</v>
      </c>
      <c r="P467" t="s">
        <v>29</v>
      </c>
      <c r="Q467" t="s">
        <v>29</v>
      </c>
      <c r="R467" t="s">
        <v>159</v>
      </c>
      <c r="S467" t="s">
        <v>29</v>
      </c>
      <c r="T467" t="s">
        <v>29</v>
      </c>
      <c r="U467" t="s">
        <v>29</v>
      </c>
      <c r="V467" s="6" t="s">
        <v>160</v>
      </c>
      <c r="W467" t="s">
        <v>86</v>
      </c>
      <c r="X467" t="s">
        <v>29</v>
      </c>
      <c r="Y467" s="6" t="s">
        <v>81</v>
      </c>
    </row>
    <row r="468" spans="2:25" x14ac:dyDescent="0.3">
      <c r="B468" s="5" t="s">
        <v>71</v>
      </c>
      <c r="C468" s="5" t="str">
        <f>VLOOKUP(B468,[1]물질정보!B:C,2,0)</f>
        <v>97-63-2</v>
      </c>
      <c r="D468" t="str">
        <f>VLOOKUP(B468,[1]물질정보!B:D,3,0)</f>
        <v>ethyl methacrylate</v>
      </c>
      <c r="E468" t="str">
        <f>VLOOKUP(B468,[1]물질정보!B:E,4,0)</f>
        <v>C6H10O2</v>
      </c>
      <c r="F468" t="str">
        <f>VLOOKUP(B468,[1]물질정보!B:F,5,0)</f>
        <v>114.14 g/mol</v>
      </c>
      <c r="G468" s="5" t="str">
        <f>VLOOKUP(B468,[1]물질정보!B:G,6,0)</f>
        <v>CCOC(=O)C(=C)C</v>
      </c>
      <c r="H468" t="s">
        <v>79</v>
      </c>
      <c r="I468" t="s">
        <v>80</v>
      </c>
      <c r="J468" t="s">
        <v>81</v>
      </c>
      <c r="K468">
        <v>7836</v>
      </c>
      <c r="L468" t="s">
        <v>161</v>
      </c>
      <c r="M468" t="s">
        <v>83</v>
      </c>
      <c r="N468" t="s">
        <v>29</v>
      </c>
      <c r="O468" t="s">
        <v>29</v>
      </c>
      <c r="P468" t="s">
        <v>29</v>
      </c>
      <c r="Q468" t="s">
        <v>29</v>
      </c>
      <c r="R468" t="s">
        <v>159</v>
      </c>
      <c r="S468" t="s">
        <v>29</v>
      </c>
      <c r="T468" t="s">
        <v>29</v>
      </c>
      <c r="U468" t="s">
        <v>29</v>
      </c>
      <c r="V468" s="6" t="s">
        <v>162</v>
      </c>
      <c r="W468" t="s">
        <v>83</v>
      </c>
      <c r="X468" t="s">
        <v>29</v>
      </c>
      <c r="Y468" s="6" t="s">
        <v>81</v>
      </c>
    </row>
    <row r="469" spans="2:25" x14ac:dyDescent="0.3">
      <c r="B469" s="5" t="s">
        <v>71</v>
      </c>
      <c r="C469" s="5" t="str">
        <f>VLOOKUP(B469,[1]물질정보!B:C,2,0)</f>
        <v>97-63-2</v>
      </c>
      <c r="D469" t="str">
        <f>VLOOKUP(B469,[1]물질정보!B:D,3,0)</f>
        <v>ethyl methacrylate</v>
      </c>
      <c r="E469" t="str">
        <f>VLOOKUP(B469,[1]물질정보!B:E,4,0)</f>
        <v>C6H10O2</v>
      </c>
      <c r="F469" t="str">
        <f>VLOOKUP(B469,[1]물질정보!B:F,5,0)</f>
        <v>114.14 g/mol</v>
      </c>
      <c r="G469" s="5" t="str">
        <f>VLOOKUP(B469,[1]물질정보!B:G,6,0)</f>
        <v>CCOC(=O)C(=C)C</v>
      </c>
      <c r="H469" t="s">
        <v>79</v>
      </c>
      <c r="I469" t="s">
        <v>80</v>
      </c>
      <c r="J469" t="s">
        <v>81</v>
      </c>
      <c r="K469">
        <v>14800</v>
      </c>
      <c r="L469" t="s">
        <v>161</v>
      </c>
      <c r="M469" t="s">
        <v>86</v>
      </c>
      <c r="N469" t="s">
        <v>29</v>
      </c>
      <c r="O469" t="s">
        <v>29</v>
      </c>
      <c r="P469" t="s">
        <v>29</v>
      </c>
      <c r="Q469" t="s">
        <v>29</v>
      </c>
      <c r="R469" t="s">
        <v>159</v>
      </c>
      <c r="S469" t="s">
        <v>29</v>
      </c>
      <c r="T469" t="s">
        <v>29</v>
      </c>
      <c r="U469" t="s">
        <v>29</v>
      </c>
      <c r="V469" s="6" t="s">
        <v>162</v>
      </c>
      <c r="W469" t="s">
        <v>86</v>
      </c>
      <c r="X469" t="s">
        <v>29</v>
      </c>
      <c r="Y469" s="6" t="s">
        <v>81</v>
      </c>
    </row>
    <row r="470" spans="2:25" x14ac:dyDescent="0.3">
      <c r="B470" s="5" t="s">
        <v>71</v>
      </c>
      <c r="C470" s="5" t="str">
        <f>VLOOKUP(B470,[1]물질정보!B:C,2,0)</f>
        <v>97-63-2</v>
      </c>
      <c r="D470" t="str">
        <f>VLOOKUP(B470,[1]물질정보!B:D,3,0)</f>
        <v>ethyl methacrylate</v>
      </c>
      <c r="E470" t="str">
        <f>VLOOKUP(B470,[1]물질정보!B:E,4,0)</f>
        <v>C6H10O2</v>
      </c>
      <c r="F470" t="str">
        <f>VLOOKUP(B470,[1]물질정보!B:F,5,0)</f>
        <v>114.14 g/mol</v>
      </c>
      <c r="G470" s="5" t="str">
        <f>VLOOKUP(B470,[1]물질정보!B:G,6,0)</f>
        <v>CCOC(=O)C(=C)C</v>
      </c>
      <c r="H470" t="s">
        <v>79</v>
      </c>
      <c r="I470" t="s">
        <v>80</v>
      </c>
      <c r="J470" t="s">
        <v>81</v>
      </c>
      <c r="K470">
        <v>14800</v>
      </c>
      <c r="L470" t="s">
        <v>161</v>
      </c>
      <c r="M470" t="s">
        <v>86</v>
      </c>
      <c r="N470" t="s">
        <v>29</v>
      </c>
      <c r="O470" t="s">
        <v>29</v>
      </c>
      <c r="P470" t="s">
        <v>29</v>
      </c>
      <c r="Q470" t="s">
        <v>29</v>
      </c>
      <c r="R470" t="s">
        <v>159</v>
      </c>
      <c r="S470" t="s">
        <v>29</v>
      </c>
      <c r="T470" t="s">
        <v>29</v>
      </c>
      <c r="U470" t="s">
        <v>29</v>
      </c>
      <c r="V470" s="6" t="s">
        <v>163</v>
      </c>
      <c r="W470" t="s">
        <v>86</v>
      </c>
      <c r="X470" t="s">
        <v>29</v>
      </c>
      <c r="Y470" s="6" t="s">
        <v>81</v>
      </c>
    </row>
    <row r="471" spans="2:25" x14ac:dyDescent="0.3">
      <c r="B471" s="5" t="s">
        <v>25</v>
      </c>
      <c r="C471" s="5" t="str">
        <f>VLOOKUP(B471,[1]물질정보!B:C,2,0)</f>
        <v>97-88-1</v>
      </c>
      <c r="D471" t="str">
        <f>VLOOKUP(B471,[1]물질정보!B:D,3,0)</f>
        <v>butyl methacrylate</v>
      </c>
      <c r="E471" t="str">
        <f>VLOOKUP(B471,[1]물질정보!B:E,4,0)</f>
        <v>C8H14O2</v>
      </c>
      <c r="F471" t="str">
        <f>VLOOKUP(B471,[1]물질정보!B:F,5,0)</f>
        <v>142.2 g/mol</v>
      </c>
      <c r="G471" s="5" t="str">
        <f>VLOOKUP(B471,[1]물질정보!B:G,6,0)</f>
        <v>CCCCOC(=O)C(=C)C</v>
      </c>
      <c r="H471" t="s">
        <v>79</v>
      </c>
      <c r="I471" t="s">
        <v>80</v>
      </c>
      <c r="J471" t="s">
        <v>436</v>
      </c>
      <c r="K471" s="14">
        <v>17900</v>
      </c>
      <c r="L471" t="s">
        <v>158</v>
      </c>
      <c r="M471" t="s">
        <v>86</v>
      </c>
      <c r="N471" t="s">
        <v>165</v>
      </c>
      <c r="O471" t="s">
        <v>166</v>
      </c>
      <c r="P471" t="s">
        <v>29</v>
      </c>
      <c r="Q471" t="s">
        <v>29</v>
      </c>
      <c r="R471" t="s">
        <v>159</v>
      </c>
      <c r="S471" t="s">
        <v>167</v>
      </c>
      <c r="T471" t="s">
        <v>29</v>
      </c>
      <c r="U471" t="s">
        <v>29</v>
      </c>
      <c r="V471" s="6" t="s">
        <v>160</v>
      </c>
      <c r="W471" t="s">
        <v>86</v>
      </c>
      <c r="X471" t="s">
        <v>29</v>
      </c>
      <c r="Y471" s="6" t="s">
        <v>164</v>
      </c>
    </row>
    <row r="472" spans="2:25" x14ac:dyDescent="0.3">
      <c r="B472" s="5" t="s">
        <v>25</v>
      </c>
      <c r="C472" s="5" t="str">
        <f>VLOOKUP(B472,[1]물질정보!B:C,2,0)</f>
        <v>97-88-1</v>
      </c>
      <c r="D472" t="str">
        <f>VLOOKUP(B472,[1]물질정보!B:D,3,0)</f>
        <v>butyl methacrylate</v>
      </c>
      <c r="E472" t="str">
        <f>VLOOKUP(B472,[1]물질정보!B:E,4,0)</f>
        <v>C8H14O2</v>
      </c>
      <c r="F472" t="str">
        <f>VLOOKUP(B472,[1]물질정보!B:F,5,0)</f>
        <v>142.2 g/mol</v>
      </c>
      <c r="G472" s="5" t="str">
        <f>VLOOKUP(B472,[1]물질정보!B:G,6,0)</f>
        <v>CCCCOC(=O)C(=C)C</v>
      </c>
      <c r="H472" t="s">
        <v>79</v>
      </c>
      <c r="I472" t="s">
        <v>80</v>
      </c>
      <c r="J472" t="s">
        <v>81</v>
      </c>
      <c r="K472">
        <v>25000</v>
      </c>
      <c r="L472" t="s">
        <v>158</v>
      </c>
      <c r="M472" t="s">
        <v>120</v>
      </c>
      <c r="N472" t="s">
        <v>29</v>
      </c>
      <c r="O472" t="s">
        <v>29</v>
      </c>
      <c r="P472" t="s">
        <v>29</v>
      </c>
      <c r="Q472" t="s">
        <v>29</v>
      </c>
      <c r="R472" t="s">
        <v>159</v>
      </c>
      <c r="S472" t="s">
        <v>29</v>
      </c>
      <c r="T472" t="s">
        <v>29</v>
      </c>
      <c r="U472" t="s">
        <v>29</v>
      </c>
      <c r="V472" s="6" t="s">
        <v>163</v>
      </c>
      <c r="W472" t="s">
        <v>120</v>
      </c>
      <c r="X472" t="s">
        <v>29</v>
      </c>
      <c r="Y472" s="6" t="s">
        <v>81</v>
      </c>
    </row>
    <row r="473" spans="2:25" x14ac:dyDescent="0.3">
      <c r="B473" s="5" t="s">
        <v>25</v>
      </c>
      <c r="C473" s="5" t="str">
        <f>VLOOKUP(B473,[1]물질정보!B:C,2,0)</f>
        <v>97-88-1</v>
      </c>
      <c r="D473" t="str">
        <f>VLOOKUP(B473,[1]물질정보!B:D,3,0)</f>
        <v>butyl methacrylate</v>
      </c>
      <c r="E473" t="str">
        <f>VLOOKUP(B473,[1]물질정보!B:E,4,0)</f>
        <v>C8H14O2</v>
      </c>
      <c r="F473" t="str">
        <f>VLOOKUP(B473,[1]물질정보!B:F,5,0)</f>
        <v>142.2 g/mol</v>
      </c>
      <c r="G473" s="5" t="str">
        <f>VLOOKUP(B473,[1]물질정보!B:G,6,0)</f>
        <v>CCCCOC(=O)C(=C)C</v>
      </c>
      <c r="H473" t="s">
        <v>79</v>
      </c>
      <c r="I473" t="s">
        <v>80</v>
      </c>
      <c r="J473" t="s">
        <v>81</v>
      </c>
      <c r="K473">
        <v>6300</v>
      </c>
      <c r="L473" t="s">
        <v>158</v>
      </c>
      <c r="M473" t="s">
        <v>120</v>
      </c>
      <c r="N473" t="s">
        <v>29</v>
      </c>
      <c r="O473" t="s">
        <v>29</v>
      </c>
      <c r="P473" t="s">
        <v>29</v>
      </c>
      <c r="Q473" t="s">
        <v>29</v>
      </c>
      <c r="R473" t="s">
        <v>159</v>
      </c>
      <c r="S473" t="s">
        <v>29</v>
      </c>
      <c r="T473" t="s">
        <v>29</v>
      </c>
      <c r="U473" t="s">
        <v>29</v>
      </c>
      <c r="V473" s="6" t="s">
        <v>163</v>
      </c>
      <c r="W473" t="s">
        <v>120</v>
      </c>
      <c r="X473" t="s">
        <v>29</v>
      </c>
      <c r="Y473" s="6" t="s">
        <v>81</v>
      </c>
    </row>
    <row r="474" spans="2:25" x14ac:dyDescent="0.3">
      <c r="B474" s="5" t="s">
        <v>25</v>
      </c>
      <c r="C474" s="5" t="str">
        <f>VLOOKUP(B474,[1]물질정보!B:C,2,0)</f>
        <v>97-88-1</v>
      </c>
      <c r="D474" t="str">
        <f>VLOOKUP(B474,[1]물질정보!B:D,3,0)</f>
        <v>butyl methacrylate</v>
      </c>
      <c r="E474" t="str">
        <f>VLOOKUP(B474,[1]물질정보!B:E,4,0)</f>
        <v>C8H14O2</v>
      </c>
      <c r="F474" t="str">
        <f>VLOOKUP(B474,[1]물질정보!B:F,5,0)</f>
        <v>142.2 g/mol</v>
      </c>
      <c r="G474" s="5" t="str">
        <f>VLOOKUP(B474,[1]물질정보!B:G,6,0)</f>
        <v>CCCCOC(=O)C(=C)C</v>
      </c>
      <c r="H474" t="s">
        <v>79</v>
      </c>
      <c r="I474" t="s">
        <v>80</v>
      </c>
      <c r="J474" t="s">
        <v>81</v>
      </c>
      <c r="K474">
        <v>12900</v>
      </c>
      <c r="L474" t="s">
        <v>161</v>
      </c>
      <c r="M474" t="s">
        <v>83</v>
      </c>
      <c r="N474" t="s">
        <v>29</v>
      </c>
      <c r="O474" t="s">
        <v>29</v>
      </c>
      <c r="P474" t="s">
        <v>29</v>
      </c>
      <c r="Q474" t="s">
        <v>29</v>
      </c>
      <c r="R474" t="s">
        <v>159</v>
      </c>
      <c r="S474" t="s">
        <v>29</v>
      </c>
      <c r="T474" t="s">
        <v>29</v>
      </c>
      <c r="U474" t="s">
        <v>29</v>
      </c>
      <c r="V474" s="6" t="s">
        <v>163</v>
      </c>
      <c r="W474" t="s">
        <v>83</v>
      </c>
      <c r="X474" t="s">
        <v>29</v>
      </c>
      <c r="Y474" s="6" t="s">
        <v>81</v>
      </c>
    </row>
    <row r="475" spans="2:25" x14ac:dyDescent="0.3">
      <c r="B475" s="5" t="s">
        <v>25</v>
      </c>
      <c r="C475" s="5" t="str">
        <f>VLOOKUP(B475,[1]물질정보!B:C,2,0)</f>
        <v>97-88-1</v>
      </c>
      <c r="D475" t="str">
        <f>VLOOKUP(B475,[1]물질정보!B:D,3,0)</f>
        <v>butyl methacrylate</v>
      </c>
      <c r="E475" t="str">
        <f>VLOOKUP(B475,[1]물질정보!B:E,4,0)</f>
        <v>C8H14O2</v>
      </c>
      <c r="F475" t="str">
        <f>VLOOKUP(B475,[1]물질정보!B:F,5,0)</f>
        <v>142.2 g/mol</v>
      </c>
      <c r="G475" s="5" t="str">
        <f>VLOOKUP(B475,[1]물질정보!B:G,6,0)</f>
        <v>CCCCOC(=O)C(=C)C</v>
      </c>
      <c r="H475" t="s">
        <v>79</v>
      </c>
      <c r="I475" t="s">
        <v>80</v>
      </c>
      <c r="J475" t="s">
        <v>81</v>
      </c>
      <c r="K475">
        <v>15800</v>
      </c>
      <c r="L475" t="s">
        <v>161</v>
      </c>
      <c r="M475" t="s">
        <v>83</v>
      </c>
      <c r="N475" t="s">
        <v>29</v>
      </c>
      <c r="O475" t="s">
        <v>29</v>
      </c>
      <c r="P475" t="s">
        <v>29</v>
      </c>
      <c r="Q475" t="s">
        <v>29</v>
      </c>
      <c r="R475" t="s">
        <v>159</v>
      </c>
      <c r="S475" t="s">
        <v>29</v>
      </c>
      <c r="T475" t="s">
        <v>29</v>
      </c>
      <c r="U475" t="s">
        <v>29</v>
      </c>
      <c r="V475" s="6" t="s">
        <v>163</v>
      </c>
      <c r="W475" t="s">
        <v>83</v>
      </c>
      <c r="X475" t="s">
        <v>29</v>
      </c>
      <c r="Y475" s="6" t="s">
        <v>81</v>
      </c>
    </row>
    <row r="476" spans="2:25" x14ac:dyDescent="0.3">
      <c r="B476" s="5" t="s">
        <v>25</v>
      </c>
      <c r="C476" s="5" t="str">
        <f>VLOOKUP(B476,[1]물질정보!B:C,2,0)</f>
        <v>97-88-1</v>
      </c>
      <c r="D476" t="str">
        <f>VLOOKUP(B476,[1]물질정보!B:D,3,0)</f>
        <v>butyl methacrylate</v>
      </c>
      <c r="E476" t="str">
        <f>VLOOKUP(B476,[1]물질정보!B:E,4,0)</f>
        <v>C8H14O2</v>
      </c>
      <c r="F476" t="str">
        <f>VLOOKUP(B476,[1]물질정보!B:F,5,0)</f>
        <v>142.2 g/mol</v>
      </c>
      <c r="G476" s="5" t="str">
        <f>VLOOKUP(B476,[1]물질정보!B:G,6,0)</f>
        <v>CCCCOC(=O)C(=C)C</v>
      </c>
      <c r="H476" t="s">
        <v>79</v>
      </c>
      <c r="I476" t="s">
        <v>80</v>
      </c>
      <c r="J476" t="s">
        <v>81</v>
      </c>
      <c r="K476">
        <v>16000</v>
      </c>
      <c r="L476" t="s">
        <v>161</v>
      </c>
      <c r="M476" t="s">
        <v>86</v>
      </c>
      <c r="N476" t="s">
        <v>29</v>
      </c>
      <c r="O476" t="s">
        <v>29</v>
      </c>
      <c r="P476" t="s">
        <v>29</v>
      </c>
      <c r="Q476" t="s">
        <v>29</v>
      </c>
      <c r="R476" t="s">
        <v>159</v>
      </c>
      <c r="S476" t="s">
        <v>29</v>
      </c>
      <c r="T476" t="s">
        <v>29</v>
      </c>
      <c r="U476" t="s">
        <v>29</v>
      </c>
      <c r="V476" s="6" t="s">
        <v>163</v>
      </c>
      <c r="W476" t="s">
        <v>86</v>
      </c>
      <c r="X476" t="s">
        <v>29</v>
      </c>
      <c r="Y476" s="6" t="s">
        <v>81</v>
      </c>
    </row>
    <row r="477" spans="2:25" x14ac:dyDescent="0.3">
      <c r="B477" s="5" t="s">
        <v>25</v>
      </c>
      <c r="C477" s="5" t="str">
        <f>VLOOKUP(B477,[1]물질정보!B:C,2,0)</f>
        <v>97-88-1</v>
      </c>
      <c r="D477" t="str">
        <f>VLOOKUP(B477,[1]물질정보!B:D,3,0)</f>
        <v>butyl methacrylate</v>
      </c>
      <c r="E477" t="str">
        <f>VLOOKUP(B477,[1]물질정보!B:E,4,0)</f>
        <v>C8H14O2</v>
      </c>
      <c r="F477" t="str">
        <f>VLOOKUP(B477,[1]물질정보!B:F,5,0)</f>
        <v>142.2 g/mol</v>
      </c>
      <c r="G477" s="5" t="str">
        <f>VLOOKUP(B477,[1]물질정보!B:G,6,0)</f>
        <v>CCCCOC(=O)C(=C)C</v>
      </c>
      <c r="H477" t="s">
        <v>79</v>
      </c>
      <c r="I477" t="s">
        <v>80</v>
      </c>
      <c r="J477" t="s">
        <v>81</v>
      </c>
      <c r="K477">
        <v>22600</v>
      </c>
      <c r="L477" t="s">
        <v>161</v>
      </c>
      <c r="M477" t="s">
        <v>86</v>
      </c>
      <c r="N477" t="s">
        <v>29</v>
      </c>
      <c r="O477" t="s">
        <v>29</v>
      </c>
      <c r="P477" t="s">
        <v>29</v>
      </c>
      <c r="Q477" t="s">
        <v>29</v>
      </c>
      <c r="R477" t="s">
        <v>159</v>
      </c>
      <c r="S477" t="s">
        <v>29</v>
      </c>
      <c r="T477" t="s">
        <v>29</v>
      </c>
      <c r="U477" t="s">
        <v>29</v>
      </c>
      <c r="V477" s="6" t="s">
        <v>163</v>
      </c>
      <c r="W477" t="s">
        <v>86</v>
      </c>
      <c r="X477" t="s">
        <v>29</v>
      </c>
      <c r="Y477" s="6" t="s">
        <v>81</v>
      </c>
    </row>
    <row r="478" spans="2:25" x14ac:dyDescent="0.3">
      <c r="B478" s="5" t="s">
        <v>25</v>
      </c>
      <c r="C478" s="5" t="str">
        <f>VLOOKUP(B478,[1]물질정보!B:C,2,0)</f>
        <v>97-88-1</v>
      </c>
      <c r="D478" t="str">
        <f>VLOOKUP(B478,[1]물질정보!B:D,3,0)</f>
        <v>butyl methacrylate</v>
      </c>
      <c r="E478" t="str">
        <f>VLOOKUP(B478,[1]물질정보!B:E,4,0)</f>
        <v>C8H14O2</v>
      </c>
      <c r="F478" t="str">
        <f>VLOOKUP(B478,[1]물질정보!B:F,5,0)</f>
        <v>142.2 g/mol</v>
      </c>
      <c r="G478" s="5" t="str">
        <f>VLOOKUP(B478,[1]물질정보!B:G,6,0)</f>
        <v>CCCCOC(=O)C(=C)C</v>
      </c>
      <c r="H478" t="s">
        <v>79</v>
      </c>
      <c r="I478" t="s">
        <v>80</v>
      </c>
      <c r="J478" t="s">
        <v>81</v>
      </c>
      <c r="K478">
        <v>17900</v>
      </c>
      <c r="L478" t="s">
        <v>161</v>
      </c>
      <c r="M478" t="s">
        <v>86</v>
      </c>
      <c r="N478" t="s">
        <v>29</v>
      </c>
      <c r="O478" t="s">
        <v>29</v>
      </c>
      <c r="P478" t="s">
        <v>29</v>
      </c>
      <c r="Q478" t="s">
        <v>29</v>
      </c>
      <c r="R478" t="s">
        <v>159</v>
      </c>
      <c r="S478" t="s">
        <v>29</v>
      </c>
      <c r="T478" t="s">
        <v>29</v>
      </c>
      <c r="U478" t="s">
        <v>29</v>
      </c>
      <c r="V478" s="6" t="s">
        <v>162</v>
      </c>
      <c r="W478" t="s">
        <v>86</v>
      </c>
      <c r="X478" t="s">
        <v>29</v>
      </c>
      <c r="Y478" s="6" t="s">
        <v>81</v>
      </c>
    </row>
    <row r="479" spans="2:25" x14ac:dyDescent="0.3">
      <c r="B479" s="5" t="s">
        <v>25</v>
      </c>
      <c r="C479" s="5" t="str">
        <f>VLOOKUP(B479,[1]물질정보!B:C,2,0)</f>
        <v>97-88-1</v>
      </c>
      <c r="D479" t="str">
        <f>VLOOKUP(B479,[1]물질정보!B:D,3,0)</f>
        <v>butyl methacrylate</v>
      </c>
      <c r="E479" t="str">
        <f>VLOOKUP(B479,[1]물질정보!B:E,4,0)</f>
        <v>C8H14O2</v>
      </c>
      <c r="F479" t="str">
        <f>VLOOKUP(B479,[1]물질정보!B:F,5,0)</f>
        <v>142.2 g/mol</v>
      </c>
      <c r="G479" s="5" t="str">
        <f>VLOOKUP(B479,[1]물질정보!B:G,6,0)</f>
        <v>CCCCOC(=O)C(=C)C</v>
      </c>
      <c r="H479" t="s">
        <v>79</v>
      </c>
      <c r="I479" t="s">
        <v>80</v>
      </c>
      <c r="J479" t="s">
        <v>164</v>
      </c>
      <c r="K479">
        <v>2000</v>
      </c>
      <c r="L479" t="s">
        <v>161</v>
      </c>
      <c r="M479" t="s">
        <v>86</v>
      </c>
      <c r="N479" t="s">
        <v>29</v>
      </c>
      <c r="O479" t="s">
        <v>29</v>
      </c>
      <c r="P479" t="s">
        <v>29</v>
      </c>
      <c r="Q479" t="s">
        <v>29</v>
      </c>
      <c r="R479" t="s">
        <v>159</v>
      </c>
      <c r="S479" t="s">
        <v>29</v>
      </c>
      <c r="T479" t="s">
        <v>29</v>
      </c>
      <c r="U479" t="s">
        <v>29</v>
      </c>
      <c r="V479" s="6" t="s">
        <v>162</v>
      </c>
      <c r="W479" t="s">
        <v>86</v>
      </c>
      <c r="X479" t="s">
        <v>29</v>
      </c>
      <c r="Y479" s="6" t="s">
        <v>164</v>
      </c>
    </row>
    <row r="480" spans="2:25" x14ac:dyDescent="0.3">
      <c r="B480" s="5" t="s">
        <v>25</v>
      </c>
      <c r="C480" s="5" t="str">
        <f>VLOOKUP(B480,[1]물질정보!B:C,2,0)</f>
        <v>97-88-1</v>
      </c>
      <c r="D480" t="str">
        <f>VLOOKUP(B480,[1]물질정보!B:D,3,0)</f>
        <v>butyl methacrylate</v>
      </c>
      <c r="E480" t="str">
        <f>VLOOKUP(B480,[1]물질정보!B:E,4,0)</f>
        <v>C8H14O2</v>
      </c>
      <c r="F480" t="str">
        <f>VLOOKUP(B480,[1]물질정보!B:F,5,0)</f>
        <v>142.2 g/mol</v>
      </c>
      <c r="G480" s="5" t="str">
        <f>VLOOKUP(B480,[1]물질정보!B:G,6,0)</f>
        <v>CCCCOC(=O)C(=C)C</v>
      </c>
      <c r="H480" t="s">
        <v>79</v>
      </c>
      <c r="I480" t="s">
        <v>80</v>
      </c>
      <c r="J480" t="s">
        <v>81</v>
      </c>
      <c r="K480">
        <v>18020</v>
      </c>
      <c r="L480" t="s">
        <v>161</v>
      </c>
      <c r="M480" t="s">
        <v>86</v>
      </c>
      <c r="N480" t="s">
        <v>29</v>
      </c>
      <c r="O480" t="s">
        <v>29</v>
      </c>
      <c r="P480" t="s">
        <v>29</v>
      </c>
      <c r="Q480" t="s">
        <v>29</v>
      </c>
      <c r="R480" t="s">
        <v>159</v>
      </c>
      <c r="S480" t="s">
        <v>29</v>
      </c>
      <c r="T480" t="s">
        <v>29</v>
      </c>
      <c r="U480" t="s">
        <v>29</v>
      </c>
      <c r="V480" s="6" t="s">
        <v>162</v>
      </c>
      <c r="W480" t="s">
        <v>86</v>
      </c>
      <c r="X480" t="s">
        <v>29</v>
      </c>
      <c r="Y480" s="6" t="s">
        <v>81</v>
      </c>
    </row>
    <row r="481" spans="2:25" x14ac:dyDescent="0.3">
      <c r="B481" s="5" t="s">
        <v>25</v>
      </c>
      <c r="C481" s="5" t="str">
        <f>VLOOKUP(B481,[1]물질정보!B:C,2,0)</f>
        <v>97-88-1</v>
      </c>
      <c r="D481" t="str">
        <f>VLOOKUP(B481,[1]물질정보!B:D,3,0)</f>
        <v>butyl methacrylate</v>
      </c>
      <c r="E481" t="str">
        <f>VLOOKUP(B481,[1]물질정보!B:E,4,0)</f>
        <v>C8H14O2</v>
      </c>
      <c r="F481" t="str">
        <f>VLOOKUP(B481,[1]물질정보!B:F,5,0)</f>
        <v>142.2 g/mol</v>
      </c>
      <c r="G481" s="5" t="str">
        <f>VLOOKUP(B481,[1]물질정보!B:G,6,0)</f>
        <v>CCCCOC(=O)C(=C)C</v>
      </c>
      <c r="H481" t="s">
        <v>79</v>
      </c>
      <c r="I481" t="s">
        <v>80</v>
      </c>
      <c r="J481" t="s">
        <v>81</v>
      </c>
      <c r="K481">
        <v>14416</v>
      </c>
      <c r="L481" t="s">
        <v>161</v>
      </c>
      <c r="M481" t="s">
        <v>83</v>
      </c>
      <c r="N481" t="s">
        <v>29</v>
      </c>
      <c r="O481" t="s">
        <v>29</v>
      </c>
      <c r="P481" t="s">
        <v>29</v>
      </c>
      <c r="Q481" t="s">
        <v>29</v>
      </c>
      <c r="R481" t="s">
        <v>159</v>
      </c>
      <c r="S481" t="s">
        <v>29</v>
      </c>
      <c r="T481" t="s">
        <v>29</v>
      </c>
      <c r="U481" t="s">
        <v>29</v>
      </c>
      <c r="V481" s="6" t="s">
        <v>162</v>
      </c>
      <c r="W481" t="s">
        <v>83</v>
      </c>
      <c r="X481" t="s">
        <v>29</v>
      </c>
      <c r="Y481" s="6" t="s">
        <v>81</v>
      </c>
    </row>
    <row r="482" spans="2:25" x14ac:dyDescent="0.3">
      <c r="B482" s="5" t="s">
        <v>25</v>
      </c>
      <c r="C482" s="5" t="str">
        <f>VLOOKUP(B482,[1]물질정보!B:C,2,0)</f>
        <v>97-88-1</v>
      </c>
      <c r="D482" t="str">
        <f>VLOOKUP(B482,[1]물질정보!B:D,3,0)</f>
        <v>butyl methacrylate</v>
      </c>
      <c r="E482" t="str">
        <f>VLOOKUP(B482,[1]물질정보!B:E,4,0)</f>
        <v>C8H14O2</v>
      </c>
      <c r="F482" t="str">
        <f>VLOOKUP(B482,[1]물질정보!B:F,5,0)</f>
        <v>142.2 g/mol</v>
      </c>
      <c r="G482" s="5" t="str">
        <f>VLOOKUP(B482,[1]물질정보!B:G,6,0)</f>
        <v>CCCCOC(=O)C(=C)C</v>
      </c>
      <c r="H482" t="s">
        <v>79</v>
      </c>
      <c r="I482" t="s">
        <v>80</v>
      </c>
      <c r="J482" t="s">
        <v>81</v>
      </c>
      <c r="K482">
        <v>16000</v>
      </c>
      <c r="L482" t="s">
        <v>161</v>
      </c>
      <c r="M482" t="s">
        <v>86</v>
      </c>
      <c r="N482" t="s">
        <v>29</v>
      </c>
      <c r="O482" t="s">
        <v>29</v>
      </c>
      <c r="P482" t="s">
        <v>29</v>
      </c>
      <c r="Q482" t="s">
        <v>29</v>
      </c>
      <c r="R482" t="s">
        <v>159</v>
      </c>
      <c r="S482" t="s">
        <v>29</v>
      </c>
      <c r="T482" t="s">
        <v>29</v>
      </c>
      <c r="U482" t="s">
        <v>29</v>
      </c>
      <c r="V482" s="6" t="s">
        <v>162</v>
      </c>
      <c r="W482" t="s">
        <v>86</v>
      </c>
      <c r="X482" t="s">
        <v>29</v>
      </c>
      <c r="Y482" s="6" t="s">
        <v>81</v>
      </c>
    </row>
    <row r="483" spans="2:25" x14ac:dyDescent="0.3">
      <c r="B483" s="5" t="s">
        <v>25</v>
      </c>
      <c r="C483" s="5" t="str">
        <f>VLOOKUP(B483,[1]물질정보!B:C,2,0)</f>
        <v>97-88-1</v>
      </c>
      <c r="D483" t="str">
        <f>VLOOKUP(B483,[1]물질정보!B:D,3,0)</f>
        <v>butyl methacrylate</v>
      </c>
      <c r="E483" t="str">
        <f>VLOOKUP(B483,[1]물질정보!B:E,4,0)</f>
        <v>C8H14O2</v>
      </c>
      <c r="F483" t="str">
        <f>VLOOKUP(B483,[1]물질정보!B:F,5,0)</f>
        <v>142.2 g/mol</v>
      </c>
      <c r="G483" s="5" t="str">
        <f>VLOOKUP(B483,[1]물질정보!B:G,6,0)</f>
        <v>CCCCOC(=O)C(=C)C</v>
      </c>
      <c r="H483" t="s">
        <v>79</v>
      </c>
      <c r="I483" t="s">
        <v>80</v>
      </c>
      <c r="J483" t="s">
        <v>81</v>
      </c>
      <c r="K483">
        <v>12900</v>
      </c>
      <c r="L483" t="s">
        <v>161</v>
      </c>
      <c r="M483" t="s">
        <v>83</v>
      </c>
      <c r="N483" t="s">
        <v>29</v>
      </c>
      <c r="O483" t="s">
        <v>29</v>
      </c>
      <c r="P483" t="s">
        <v>29</v>
      </c>
      <c r="Q483" t="s">
        <v>29</v>
      </c>
      <c r="R483" t="s">
        <v>159</v>
      </c>
      <c r="S483" t="s">
        <v>29</v>
      </c>
      <c r="T483" t="s">
        <v>29</v>
      </c>
      <c r="U483" t="s">
        <v>29</v>
      </c>
      <c r="V483" s="6" t="s">
        <v>162</v>
      </c>
      <c r="W483" t="s">
        <v>83</v>
      </c>
      <c r="X483" t="s">
        <v>29</v>
      </c>
      <c r="Y483" s="6" t="s">
        <v>81</v>
      </c>
    </row>
    <row r="484" spans="2:25" x14ac:dyDescent="0.3">
      <c r="B484" s="5" t="s">
        <v>25</v>
      </c>
      <c r="C484" s="5" t="str">
        <f>VLOOKUP(B484,[1]물질정보!B:C,2,0)</f>
        <v>97-88-1</v>
      </c>
      <c r="D484" t="str">
        <f>VLOOKUP(B484,[1]물질정보!B:D,3,0)</f>
        <v>butyl methacrylate</v>
      </c>
      <c r="E484" t="str">
        <f>VLOOKUP(B484,[1]물질정보!B:E,4,0)</f>
        <v>C8H14O2</v>
      </c>
      <c r="F484" t="str">
        <f>VLOOKUP(B484,[1]물질정보!B:F,5,0)</f>
        <v>142.2 g/mol</v>
      </c>
      <c r="G484" s="5" t="str">
        <f>VLOOKUP(B484,[1]물질정보!B:G,6,0)</f>
        <v>CCCCOC(=O)C(=C)C</v>
      </c>
      <c r="H484" t="s">
        <v>79</v>
      </c>
      <c r="I484" t="s">
        <v>80</v>
      </c>
      <c r="J484" t="s">
        <v>81</v>
      </c>
      <c r="K484">
        <v>22600</v>
      </c>
      <c r="L484" t="s">
        <v>161</v>
      </c>
      <c r="M484" t="s">
        <v>86</v>
      </c>
      <c r="N484" t="s">
        <v>29</v>
      </c>
      <c r="O484" t="s">
        <v>29</v>
      </c>
      <c r="P484" t="s">
        <v>29</v>
      </c>
      <c r="Q484" t="s">
        <v>29</v>
      </c>
      <c r="R484" t="s">
        <v>159</v>
      </c>
      <c r="S484" t="s">
        <v>29</v>
      </c>
      <c r="T484" t="s">
        <v>29</v>
      </c>
      <c r="U484" t="s">
        <v>29</v>
      </c>
      <c r="V484" s="6" t="s">
        <v>162</v>
      </c>
      <c r="W484" t="s">
        <v>86</v>
      </c>
      <c r="X484" t="s">
        <v>29</v>
      </c>
      <c r="Y484" s="6" t="s">
        <v>81</v>
      </c>
    </row>
    <row r="485" spans="2:25" x14ac:dyDescent="0.3">
      <c r="B485" s="5" t="s">
        <v>25</v>
      </c>
      <c r="C485" s="5" t="str">
        <f>VLOOKUP(B485,[1]물질정보!B:C,2,0)</f>
        <v>97-88-1</v>
      </c>
      <c r="D485" t="str">
        <f>VLOOKUP(B485,[1]물질정보!B:D,3,0)</f>
        <v>butyl methacrylate</v>
      </c>
      <c r="E485" t="str">
        <f>VLOOKUP(B485,[1]물질정보!B:E,4,0)</f>
        <v>C8H14O2</v>
      </c>
      <c r="F485" t="str">
        <f>VLOOKUP(B485,[1]물질정보!B:F,5,0)</f>
        <v>142.2 g/mol</v>
      </c>
      <c r="G485" s="5" t="str">
        <f>VLOOKUP(B485,[1]물질정보!B:G,6,0)</f>
        <v>CCCCOC(=O)C(=C)C</v>
      </c>
      <c r="H485" t="s">
        <v>79</v>
      </c>
      <c r="I485" t="s">
        <v>80</v>
      </c>
      <c r="J485" t="s">
        <v>81</v>
      </c>
      <c r="K485">
        <v>6300</v>
      </c>
      <c r="L485" t="s">
        <v>161</v>
      </c>
      <c r="M485" t="s">
        <v>120</v>
      </c>
      <c r="N485" t="s">
        <v>29</v>
      </c>
      <c r="O485" t="s">
        <v>29</v>
      </c>
      <c r="P485" t="s">
        <v>29</v>
      </c>
      <c r="Q485" t="s">
        <v>29</v>
      </c>
      <c r="R485" t="s">
        <v>159</v>
      </c>
      <c r="S485" t="s">
        <v>29</v>
      </c>
      <c r="T485" t="s">
        <v>29</v>
      </c>
      <c r="U485" t="s">
        <v>29</v>
      </c>
      <c r="V485" s="6" t="s">
        <v>162</v>
      </c>
      <c r="W485" t="s">
        <v>120</v>
      </c>
      <c r="X485" t="s">
        <v>29</v>
      </c>
      <c r="Y485" s="6" t="s">
        <v>81</v>
      </c>
    </row>
    <row r="486" spans="2:25" x14ac:dyDescent="0.3">
      <c r="B486" s="5" t="s">
        <v>25</v>
      </c>
      <c r="C486" s="5" t="str">
        <f>VLOOKUP(B486,[1]물질정보!B:C,2,0)</f>
        <v>97-88-1</v>
      </c>
      <c r="D486" t="str">
        <f>VLOOKUP(B486,[1]물질정보!B:D,3,0)</f>
        <v>butyl methacrylate</v>
      </c>
      <c r="E486" t="str">
        <f>VLOOKUP(B486,[1]물질정보!B:E,4,0)</f>
        <v>C8H14O2</v>
      </c>
      <c r="F486" t="str">
        <f>VLOOKUP(B486,[1]물질정보!B:F,5,0)</f>
        <v>142.2 g/mol</v>
      </c>
      <c r="G486" s="5" t="str">
        <f>VLOOKUP(B486,[1]물질정보!B:G,6,0)</f>
        <v>CCCCOC(=O)C(=C)C</v>
      </c>
      <c r="H486" t="s">
        <v>79</v>
      </c>
      <c r="I486" t="s">
        <v>80</v>
      </c>
      <c r="J486" t="s">
        <v>81</v>
      </c>
      <c r="K486">
        <v>13515</v>
      </c>
      <c r="L486" t="s">
        <v>161</v>
      </c>
      <c r="M486" t="s">
        <v>83</v>
      </c>
      <c r="N486" t="s">
        <v>29</v>
      </c>
      <c r="O486" t="s">
        <v>29</v>
      </c>
      <c r="P486" t="s">
        <v>29</v>
      </c>
      <c r="Q486" t="s">
        <v>29</v>
      </c>
      <c r="R486" t="s">
        <v>159</v>
      </c>
      <c r="S486" t="s">
        <v>29</v>
      </c>
      <c r="T486" t="s">
        <v>29</v>
      </c>
      <c r="U486" t="s">
        <v>29</v>
      </c>
      <c r="V486" s="6" t="s">
        <v>162</v>
      </c>
      <c r="W486" t="s">
        <v>83</v>
      </c>
      <c r="X486" t="s">
        <v>29</v>
      </c>
      <c r="Y486" s="6" t="s">
        <v>81</v>
      </c>
    </row>
    <row r="487" spans="2:25" x14ac:dyDescent="0.3">
      <c r="B487" s="5" t="s">
        <v>25</v>
      </c>
      <c r="C487" s="5" t="str">
        <f>VLOOKUP(B487,[1]물질정보!B:C,2,0)</f>
        <v>97-88-1</v>
      </c>
      <c r="D487" t="str">
        <f>VLOOKUP(B487,[1]물질정보!B:D,3,0)</f>
        <v>butyl methacrylate</v>
      </c>
      <c r="E487" t="str">
        <f>VLOOKUP(B487,[1]물질정보!B:E,4,0)</f>
        <v>C8H14O2</v>
      </c>
      <c r="F487" t="str">
        <f>VLOOKUP(B487,[1]물질정보!B:F,5,0)</f>
        <v>142.2 g/mol</v>
      </c>
      <c r="G487" s="5" t="str">
        <f>VLOOKUP(B487,[1]물질정보!B:G,6,0)</f>
        <v>CCCCOC(=O)C(=C)C</v>
      </c>
      <c r="H487" t="s">
        <v>79</v>
      </c>
      <c r="I487" t="s">
        <v>80</v>
      </c>
      <c r="J487" t="s">
        <v>81</v>
      </c>
      <c r="K487">
        <v>20292</v>
      </c>
      <c r="L487" t="s">
        <v>161</v>
      </c>
      <c r="M487" t="s">
        <v>83</v>
      </c>
      <c r="N487" t="s">
        <v>29</v>
      </c>
      <c r="O487" t="s">
        <v>29</v>
      </c>
      <c r="P487" t="s">
        <v>29</v>
      </c>
      <c r="Q487" t="s">
        <v>29</v>
      </c>
      <c r="R487" t="s">
        <v>159</v>
      </c>
      <c r="S487" t="s">
        <v>29</v>
      </c>
      <c r="T487" t="s">
        <v>29</v>
      </c>
      <c r="U487" t="s">
        <v>29</v>
      </c>
      <c r="V487" s="6" t="s">
        <v>162</v>
      </c>
      <c r="W487" t="s">
        <v>83</v>
      </c>
      <c r="X487" t="s">
        <v>29</v>
      </c>
      <c r="Y487" s="6" t="s">
        <v>81</v>
      </c>
    </row>
    <row r="488" spans="2:25" x14ac:dyDescent="0.3">
      <c r="B488" s="5" t="s">
        <v>25</v>
      </c>
      <c r="C488" s="5" t="str">
        <f>VLOOKUP(B488,[1]물질정보!B:C,2,0)</f>
        <v>97-88-1</v>
      </c>
      <c r="D488" t="str">
        <f>VLOOKUP(B488,[1]물질정보!B:D,3,0)</f>
        <v>butyl methacrylate</v>
      </c>
      <c r="E488" t="str">
        <f>VLOOKUP(B488,[1]물질정보!B:E,4,0)</f>
        <v>C8H14O2</v>
      </c>
      <c r="F488" t="str">
        <f>VLOOKUP(B488,[1]물질정보!B:F,5,0)</f>
        <v>142.2 g/mol</v>
      </c>
      <c r="G488" s="5" t="str">
        <f>VLOOKUP(B488,[1]물질정보!B:G,6,0)</f>
        <v>CCCCOC(=O)C(=C)C</v>
      </c>
      <c r="H488" t="s">
        <v>79</v>
      </c>
      <c r="I488" t="s">
        <v>80</v>
      </c>
      <c r="J488" t="s">
        <v>81</v>
      </c>
      <c r="K488">
        <v>18561</v>
      </c>
      <c r="L488" t="s">
        <v>161</v>
      </c>
      <c r="M488" t="s">
        <v>86</v>
      </c>
      <c r="N488" t="s">
        <v>29</v>
      </c>
      <c r="O488" t="s">
        <v>29</v>
      </c>
      <c r="P488" t="s">
        <v>29</v>
      </c>
      <c r="Q488" t="s">
        <v>29</v>
      </c>
      <c r="R488" t="s">
        <v>159</v>
      </c>
      <c r="S488" t="s">
        <v>29</v>
      </c>
      <c r="T488" t="s">
        <v>29</v>
      </c>
      <c r="U488" t="s">
        <v>29</v>
      </c>
      <c r="V488" s="6" t="s">
        <v>162</v>
      </c>
      <c r="W488" t="s">
        <v>86</v>
      </c>
      <c r="X488" t="s">
        <v>29</v>
      </c>
      <c r="Y488" s="6" t="s">
        <v>81</v>
      </c>
    </row>
    <row r="489" spans="2:25" x14ac:dyDescent="0.3">
      <c r="B489" s="5" t="s">
        <v>25</v>
      </c>
      <c r="C489" s="5" t="str">
        <f>VLOOKUP(B489,[1]물질정보!B:C,2,0)</f>
        <v>97-88-1</v>
      </c>
      <c r="D489" t="str">
        <f>VLOOKUP(B489,[1]물질정보!B:D,3,0)</f>
        <v>butyl methacrylate</v>
      </c>
      <c r="E489" t="str">
        <f>VLOOKUP(B489,[1]물질정보!B:E,4,0)</f>
        <v>C8H14O2</v>
      </c>
      <c r="F489" t="str">
        <f>VLOOKUP(B489,[1]물질정보!B:F,5,0)</f>
        <v>142.2 g/mol</v>
      </c>
      <c r="G489" s="5" t="str">
        <f>VLOOKUP(B489,[1]물질정보!B:G,6,0)</f>
        <v>CCCCOC(=O)C(=C)C</v>
      </c>
      <c r="H489" t="s">
        <v>79</v>
      </c>
      <c r="I489" t="s">
        <v>80</v>
      </c>
      <c r="J489" t="s">
        <v>81</v>
      </c>
      <c r="K489">
        <v>15800</v>
      </c>
      <c r="L489" t="s">
        <v>161</v>
      </c>
      <c r="M489" t="s">
        <v>83</v>
      </c>
      <c r="N489" t="s">
        <v>29</v>
      </c>
      <c r="O489" t="s">
        <v>29</v>
      </c>
      <c r="P489" t="s">
        <v>29</v>
      </c>
      <c r="Q489" t="s">
        <v>29</v>
      </c>
      <c r="R489" t="s">
        <v>159</v>
      </c>
      <c r="S489" t="s">
        <v>29</v>
      </c>
      <c r="T489" t="s">
        <v>29</v>
      </c>
      <c r="U489" t="s">
        <v>29</v>
      </c>
      <c r="V489" s="6" t="s">
        <v>162</v>
      </c>
      <c r="W489" t="s">
        <v>83</v>
      </c>
      <c r="X489" t="s">
        <v>29</v>
      </c>
      <c r="Y489" s="6" t="s">
        <v>81</v>
      </c>
    </row>
    <row r="490" spans="2:25" x14ac:dyDescent="0.3">
      <c r="B490" s="5" t="s">
        <v>25</v>
      </c>
      <c r="C490" s="5" t="str">
        <f>VLOOKUP(B490,[1]물질정보!B:C,2,0)</f>
        <v>97-88-1</v>
      </c>
      <c r="D490" t="str">
        <f>VLOOKUP(B490,[1]물질정보!B:D,3,0)</f>
        <v>butyl methacrylate</v>
      </c>
      <c r="E490" t="str">
        <f>VLOOKUP(B490,[1]물질정보!B:E,4,0)</f>
        <v>C8H14O2</v>
      </c>
      <c r="F490" t="str">
        <f>VLOOKUP(B490,[1]물질정보!B:F,5,0)</f>
        <v>142.2 g/mol</v>
      </c>
      <c r="G490" s="5" t="str">
        <f>VLOOKUP(B490,[1]물질정보!B:G,6,0)</f>
        <v>CCCCOC(=O)C(=C)C</v>
      </c>
      <c r="H490" t="s">
        <v>79</v>
      </c>
      <c r="I490" t="s">
        <v>80</v>
      </c>
      <c r="J490" t="s">
        <v>81</v>
      </c>
      <c r="K490">
        <v>12900</v>
      </c>
      <c r="L490" t="s">
        <v>161</v>
      </c>
      <c r="M490" t="s">
        <v>83</v>
      </c>
      <c r="N490" t="s">
        <v>29</v>
      </c>
      <c r="O490" t="s">
        <v>29</v>
      </c>
      <c r="P490" t="s">
        <v>29</v>
      </c>
      <c r="Q490" t="s">
        <v>29</v>
      </c>
      <c r="R490" t="s">
        <v>159</v>
      </c>
      <c r="S490" t="s">
        <v>29</v>
      </c>
      <c r="T490" t="s">
        <v>29</v>
      </c>
      <c r="U490" t="s">
        <v>29</v>
      </c>
      <c r="V490" s="6" t="s">
        <v>162</v>
      </c>
      <c r="W490" t="s">
        <v>83</v>
      </c>
      <c r="X490" t="s">
        <v>29</v>
      </c>
      <c r="Y490" s="6" t="s">
        <v>81</v>
      </c>
    </row>
    <row r="491" spans="2:25" x14ac:dyDescent="0.3">
      <c r="B491" s="5" t="s">
        <v>25</v>
      </c>
      <c r="C491" s="5" t="str">
        <f>VLOOKUP(B491,[1]물질정보!B:C,2,0)</f>
        <v>97-88-1</v>
      </c>
      <c r="D491" t="str">
        <f>VLOOKUP(B491,[1]물질정보!B:D,3,0)</f>
        <v>butyl methacrylate</v>
      </c>
      <c r="E491" t="str">
        <f>VLOOKUP(B491,[1]물질정보!B:E,4,0)</f>
        <v>C8H14O2</v>
      </c>
      <c r="F491" t="str">
        <f>VLOOKUP(B491,[1]물질정보!B:F,5,0)</f>
        <v>142.2 g/mol</v>
      </c>
      <c r="G491" s="5" t="str">
        <f>VLOOKUP(B491,[1]물질정보!B:G,6,0)</f>
        <v>CCCCOC(=O)C(=C)C</v>
      </c>
      <c r="H491" t="s">
        <v>79</v>
      </c>
      <c r="I491" t="s">
        <v>80</v>
      </c>
      <c r="J491" t="s">
        <v>81</v>
      </c>
      <c r="K491">
        <v>25000</v>
      </c>
      <c r="L491" t="s">
        <v>161</v>
      </c>
      <c r="M491" t="s">
        <v>120</v>
      </c>
      <c r="N491" t="s">
        <v>29</v>
      </c>
      <c r="O491" t="s">
        <v>29</v>
      </c>
      <c r="P491" t="s">
        <v>29</v>
      </c>
      <c r="Q491" t="s">
        <v>29</v>
      </c>
      <c r="R491" t="s">
        <v>159</v>
      </c>
      <c r="S491" t="s">
        <v>29</v>
      </c>
      <c r="T491" t="s">
        <v>29</v>
      </c>
      <c r="U491" t="s">
        <v>29</v>
      </c>
      <c r="V491" s="6" t="s">
        <v>162</v>
      </c>
      <c r="W491" t="s">
        <v>120</v>
      </c>
      <c r="X491" t="s">
        <v>29</v>
      </c>
      <c r="Y491" s="6" t="s">
        <v>81</v>
      </c>
    </row>
    <row r="492" spans="2:25" x14ac:dyDescent="0.3">
      <c r="B492" s="5" t="s">
        <v>25</v>
      </c>
      <c r="C492" s="5" t="str">
        <f>VLOOKUP(B492,[1]물질정보!B:C,2,0)</f>
        <v>97-88-1</v>
      </c>
      <c r="D492" t="str">
        <f>VLOOKUP(B492,[1]물질정보!B:D,3,0)</f>
        <v>butyl methacrylate</v>
      </c>
      <c r="E492" t="str">
        <f>VLOOKUP(B492,[1]물질정보!B:E,4,0)</f>
        <v>C8H14O2</v>
      </c>
      <c r="F492" t="str">
        <f>VLOOKUP(B492,[1]물질정보!B:F,5,0)</f>
        <v>142.2 g/mol</v>
      </c>
      <c r="G492" s="5" t="str">
        <f>VLOOKUP(B492,[1]물질정보!B:G,6,0)</f>
        <v>CCCCOC(=O)C(=C)C</v>
      </c>
      <c r="H492" t="s">
        <v>79</v>
      </c>
      <c r="I492" t="s">
        <v>80</v>
      </c>
      <c r="J492" t="s">
        <v>81</v>
      </c>
      <c r="K492">
        <v>15800</v>
      </c>
      <c r="L492" t="s">
        <v>161</v>
      </c>
      <c r="M492" t="s">
        <v>83</v>
      </c>
      <c r="N492" t="s">
        <v>29</v>
      </c>
      <c r="O492" t="s">
        <v>29</v>
      </c>
      <c r="P492" t="s">
        <v>29</v>
      </c>
      <c r="Q492" t="s">
        <v>29</v>
      </c>
      <c r="R492" t="s">
        <v>159</v>
      </c>
      <c r="S492" t="s">
        <v>29</v>
      </c>
      <c r="T492" t="s">
        <v>29</v>
      </c>
      <c r="U492" t="s">
        <v>29</v>
      </c>
      <c r="V492" s="6" t="s">
        <v>163</v>
      </c>
      <c r="W492" t="s">
        <v>83</v>
      </c>
      <c r="X492" t="s">
        <v>29</v>
      </c>
      <c r="Y492" s="6" t="s">
        <v>81</v>
      </c>
    </row>
    <row r="493" spans="2:25" x14ac:dyDescent="0.3">
      <c r="B493" s="5" t="s">
        <v>25</v>
      </c>
      <c r="C493" s="5" t="str">
        <f>VLOOKUP(B493,[1]물질정보!B:C,2,0)</f>
        <v>97-88-1</v>
      </c>
      <c r="D493" t="str">
        <f>VLOOKUP(B493,[1]물질정보!B:D,3,0)</f>
        <v>butyl methacrylate</v>
      </c>
      <c r="E493" t="str">
        <f>VLOOKUP(B493,[1]물질정보!B:E,4,0)</f>
        <v>C8H14O2</v>
      </c>
      <c r="F493" t="str">
        <f>VLOOKUP(B493,[1]물질정보!B:F,5,0)</f>
        <v>142.2 g/mol</v>
      </c>
      <c r="G493" s="5" t="str">
        <f>VLOOKUP(B493,[1]물질정보!B:G,6,0)</f>
        <v>CCCCOC(=O)C(=C)C</v>
      </c>
      <c r="H493" t="s">
        <v>79</v>
      </c>
      <c r="I493" t="s">
        <v>80</v>
      </c>
      <c r="J493" t="s">
        <v>81</v>
      </c>
      <c r="K493">
        <v>2000</v>
      </c>
      <c r="L493" t="s">
        <v>161</v>
      </c>
      <c r="M493" t="s">
        <v>86</v>
      </c>
      <c r="N493" t="s">
        <v>29</v>
      </c>
      <c r="O493" t="s">
        <v>29</v>
      </c>
      <c r="P493" t="s">
        <v>29</v>
      </c>
      <c r="Q493" t="s">
        <v>29</v>
      </c>
      <c r="R493" t="s">
        <v>159</v>
      </c>
      <c r="S493" t="s">
        <v>29</v>
      </c>
      <c r="T493" t="s">
        <v>29</v>
      </c>
      <c r="U493" t="s">
        <v>29</v>
      </c>
      <c r="V493" s="6" t="s">
        <v>168</v>
      </c>
      <c r="W493" t="s">
        <v>86</v>
      </c>
      <c r="X493" t="s">
        <v>29</v>
      </c>
      <c r="Y493" s="6" t="s">
        <v>81</v>
      </c>
    </row>
    <row r="494" spans="2:25" x14ac:dyDescent="0.3">
      <c r="B494" s="5" t="s">
        <v>25</v>
      </c>
      <c r="C494" s="5" t="str">
        <f>VLOOKUP(B494,[1]물질정보!B:C,2,0)</f>
        <v>97-88-1</v>
      </c>
      <c r="D494" t="str">
        <f>VLOOKUP(B494,[1]물질정보!B:D,3,0)</f>
        <v>butyl methacrylate</v>
      </c>
      <c r="E494" t="str">
        <f>VLOOKUP(B494,[1]물질정보!B:E,4,0)</f>
        <v>C8H14O2</v>
      </c>
      <c r="F494" t="str">
        <f>VLOOKUP(B494,[1]물질정보!B:F,5,0)</f>
        <v>142.2 g/mol</v>
      </c>
      <c r="G494" s="5" t="str">
        <f>VLOOKUP(B494,[1]물질정보!B:G,6,0)</f>
        <v>CCCCOC(=O)C(=C)C</v>
      </c>
      <c r="H494" t="s">
        <v>79</v>
      </c>
      <c r="I494" t="s">
        <v>80</v>
      </c>
      <c r="J494" t="s">
        <v>81</v>
      </c>
      <c r="K494">
        <v>2000</v>
      </c>
      <c r="L494" t="s">
        <v>161</v>
      </c>
      <c r="M494" t="s">
        <v>86</v>
      </c>
      <c r="N494" t="s">
        <v>29</v>
      </c>
      <c r="O494" t="s">
        <v>29</v>
      </c>
      <c r="P494" t="s">
        <v>29</v>
      </c>
      <c r="Q494" t="s">
        <v>29</v>
      </c>
      <c r="R494" t="s">
        <v>159</v>
      </c>
      <c r="S494" t="s">
        <v>29</v>
      </c>
      <c r="T494" t="s">
        <v>29</v>
      </c>
      <c r="U494" t="s">
        <v>29</v>
      </c>
      <c r="V494" s="6" t="s">
        <v>169</v>
      </c>
      <c r="W494" t="s">
        <v>86</v>
      </c>
      <c r="X494" t="s">
        <v>29</v>
      </c>
      <c r="Y494" s="6" t="s">
        <v>81</v>
      </c>
    </row>
    <row r="495" spans="2:25" x14ac:dyDescent="0.3">
      <c r="B495" s="5" t="s">
        <v>77</v>
      </c>
      <c r="C495" s="5" t="str">
        <f>VLOOKUP(B495,[1]물질정보!B:C,2,0)</f>
        <v>140-88-5</v>
      </c>
      <c r="D495" t="str">
        <f>VLOOKUP(B495,[1]물질정보!B:D,3,0)</f>
        <v>ethyl acrylate</v>
      </c>
      <c r="E495" t="str">
        <f>VLOOKUP(B495,[1]물질정보!B:E,4,0)</f>
        <v>C5H8O2</v>
      </c>
      <c r="F495" t="str">
        <f>VLOOKUP(B495,[1]물질정보!B:F,5,0)</f>
        <v>100.12 g/mol</v>
      </c>
      <c r="G495" s="5" t="str">
        <f>VLOOKUP(B495,[1]물질정보!B:G,6,0)</f>
        <v>CCOC(=O)C=C</v>
      </c>
      <c r="H495" t="s">
        <v>79</v>
      </c>
      <c r="I495" t="s">
        <v>80</v>
      </c>
      <c r="J495" t="s">
        <v>81</v>
      </c>
      <c r="K495">
        <v>554</v>
      </c>
      <c r="L495" t="s">
        <v>158</v>
      </c>
      <c r="M495" t="s">
        <v>86</v>
      </c>
      <c r="N495" t="s">
        <v>29</v>
      </c>
      <c r="O495" t="s">
        <v>170</v>
      </c>
      <c r="P495" t="s">
        <v>29</v>
      </c>
      <c r="Q495" t="s">
        <v>29</v>
      </c>
      <c r="R495" t="s">
        <v>159</v>
      </c>
      <c r="S495" t="s">
        <v>167</v>
      </c>
      <c r="T495" t="s">
        <v>29</v>
      </c>
      <c r="U495" t="s">
        <v>29</v>
      </c>
      <c r="V495" s="6" t="s">
        <v>160</v>
      </c>
      <c r="W495" t="s">
        <v>86</v>
      </c>
      <c r="X495" t="s">
        <v>29</v>
      </c>
      <c r="Y495" s="6" t="s">
        <v>81</v>
      </c>
    </row>
    <row r="496" spans="2:25" x14ac:dyDescent="0.3">
      <c r="B496" s="5" t="s">
        <v>77</v>
      </c>
      <c r="C496" s="5" t="str">
        <f>VLOOKUP(B496,[1]물질정보!B:C,2,0)</f>
        <v>140-88-5</v>
      </c>
      <c r="D496" t="str">
        <f>VLOOKUP(B496,[1]물질정보!B:D,3,0)</f>
        <v>ethyl acrylate</v>
      </c>
      <c r="E496" t="str">
        <f>VLOOKUP(B496,[1]물질정보!B:E,4,0)</f>
        <v>C5H8O2</v>
      </c>
      <c r="F496" t="str">
        <f>VLOOKUP(B496,[1]물질정보!B:F,5,0)</f>
        <v>100.12 g/mol</v>
      </c>
      <c r="G496" s="5" t="str">
        <f>VLOOKUP(B496,[1]물질정보!B:G,6,0)</f>
        <v>CCOC(=O)C=C</v>
      </c>
      <c r="H496" t="s">
        <v>79</v>
      </c>
      <c r="I496" t="s">
        <v>80</v>
      </c>
      <c r="J496" t="s">
        <v>81</v>
      </c>
      <c r="K496" t="s">
        <v>171</v>
      </c>
      <c r="L496" t="s">
        <v>158</v>
      </c>
      <c r="M496" t="s">
        <v>86</v>
      </c>
      <c r="N496" t="s">
        <v>29</v>
      </c>
      <c r="O496" t="s">
        <v>166</v>
      </c>
      <c r="P496" t="s">
        <v>29</v>
      </c>
      <c r="Q496" t="s">
        <v>29</v>
      </c>
      <c r="R496" t="s">
        <v>159</v>
      </c>
      <c r="S496" t="s">
        <v>167</v>
      </c>
      <c r="T496" t="s">
        <v>29</v>
      </c>
      <c r="U496" t="s">
        <v>29</v>
      </c>
      <c r="V496" s="6" t="s">
        <v>160</v>
      </c>
      <c r="W496" t="s">
        <v>86</v>
      </c>
      <c r="X496" t="s">
        <v>29</v>
      </c>
      <c r="Y496" s="6" t="s">
        <v>81</v>
      </c>
    </row>
    <row r="497" spans="2:25" x14ac:dyDescent="0.3">
      <c r="B497" s="5" t="s">
        <v>77</v>
      </c>
      <c r="C497" s="5" t="str">
        <f>VLOOKUP(B497,[1]물질정보!B:C,2,0)</f>
        <v>140-88-5</v>
      </c>
      <c r="D497" t="str">
        <f>VLOOKUP(B497,[1]물질정보!B:D,3,0)</f>
        <v>ethyl acrylate</v>
      </c>
      <c r="E497" t="str">
        <f>VLOOKUP(B497,[1]물질정보!B:E,4,0)</f>
        <v>C5H8O2</v>
      </c>
      <c r="F497" t="str">
        <f>VLOOKUP(B497,[1]물질정보!B:F,5,0)</f>
        <v>100.12 g/mol</v>
      </c>
      <c r="G497" s="5" t="str">
        <f>VLOOKUP(B497,[1]물질정보!B:G,6,0)</f>
        <v>CCOC(=O)C=C</v>
      </c>
      <c r="H497" t="s">
        <v>79</v>
      </c>
      <c r="I497" t="s">
        <v>80</v>
      </c>
      <c r="J497" t="s">
        <v>81</v>
      </c>
      <c r="K497" t="s">
        <v>172</v>
      </c>
      <c r="L497" t="s">
        <v>161</v>
      </c>
      <c r="M497" t="s">
        <v>120</v>
      </c>
      <c r="N497" t="s">
        <v>29</v>
      </c>
      <c r="O497" t="s">
        <v>29</v>
      </c>
      <c r="P497" t="s">
        <v>29</v>
      </c>
      <c r="Q497" t="s">
        <v>29</v>
      </c>
      <c r="R497" t="s">
        <v>159</v>
      </c>
      <c r="S497" t="s">
        <v>29</v>
      </c>
      <c r="T497" t="s">
        <v>29</v>
      </c>
      <c r="U497" t="s">
        <v>29</v>
      </c>
      <c r="V497" s="6" t="s">
        <v>163</v>
      </c>
      <c r="W497" t="s">
        <v>120</v>
      </c>
      <c r="X497" t="s">
        <v>29</v>
      </c>
      <c r="Y497" s="6" t="s">
        <v>81</v>
      </c>
    </row>
    <row r="498" spans="2:25" x14ac:dyDescent="0.3">
      <c r="B498" s="5" t="s">
        <v>77</v>
      </c>
      <c r="C498" s="5" t="str">
        <f>VLOOKUP(B498,[1]물질정보!B:C,2,0)</f>
        <v>140-88-5</v>
      </c>
      <c r="D498" t="str">
        <f>VLOOKUP(B498,[1]물질정보!B:D,3,0)</f>
        <v>ethyl acrylate</v>
      </c>
      <c r="E498" t="str">
        <f>VLOOKUP(B498,[1]물질정보!B:E,4,0)</f>
        <v>C5H8O2</v>
      </c>
      <c r="F498" t="str">
        <f>VLOOKUP(B498,[1]물질정보!B:F,5,0)</f>
        <v>100.12 g/mol</v>
      </c>
      <c r="G498" s="5" t="str">
        <f>VLOOKUP(B498,[1]물질정보!B:G,6,0)</f>
        <v>CCOC(=O)C=C</v>
      </c>
      <c r="H498" t="s">
        <v>79</v>
      </c>
      <c r="I498" t="s">
        <v>80</v>
      </c>
      <c r="J498" t="s">
        <v>81</v>
      </c>
      <c r="K498" t="s">
        <v>173</v>
      </c>
      <c r="L498" t="s">
        <v>161</v>
      </c>
      <c r="M498" t="s">
        <v>120</v>
      </c>
      <c r="N498" t="s">
        <v>29</v>
      </c>
      <c r="O498" t="s">
        <v>29</v>
      </c>
      <c r="P498" t="s">
        <v>29</v>
      </c>
      <c r="Q498" t="s">
        <v>29</v>
      </c>
      <c r="R498" t="s">
        <v>159</v>
      </c>
      <c r="S498" t="s">
        <v>29</v>
      </c>
      <c r="T498" t="s">
        <v>29</v>
      </c>
      <c r="U498" t="s">
        <v>29</v>
      </c>
      <c r="V498" s="6" t="s">
        <v>163</v>
      </c>
      <c r="W498" t="s">
        <v>120</v>
      </c>
      <c r="X498" t="s">
        <v>29</v>
      </c>
      <c r="Y498" s="6" t="s">
        <v>81</v>
      </c>
    </row>
    <row r="499" spans="2:25" x14ac:dyDescent="0.3">
      <c r="B499" s="5" t="s">
        <v>77</v>
      </c>
      <c r="C499" s="5" t="str">
        <f>VLOOKUP(B499,[1]물질정보!B:C,2,0)</f>
        <v>140-88-5</v>
      </c>
      <c r="D499" t="str">
        <f>VLOOKUP(B499,[1]물질정보!B:D,3,0)</f>
        <v>ethyl acrylate</v>
      </c>
      <c r="E499" t="str">
        <f>VLOOKUP(B499,[1]물질정보!B:E,4,0)</f>
        <v>C5H8O2</v>
      </c>
      <c r="F499" t="str">
        <f>VLOOKUP(B499,[1]물질정보!B:F,5,0)</f>
        <v>100.12 g/mol</v>
      </c>
      <c r="G499" s="5" t="str">
        <f>VLOOKUP(B499,[1]물질정보!B:G,6,0)</f>
        <v>CCOC(=O)C=C</v>
      </c>
      <c r="H499" t="s">
        <v>79</v>
      </c>
      <c r="I499" t="s">
        <v>80</v>
      </c>
      <c r="J499" t="s">
        <v>81</v>
      </c>
      <c r="K499">
        <v>1800</v>
      </c>
      <c r="L499" t="s">
        <v>161</v>
      </c>
      <c r="M499" t="s">
        <v>83</v>
      </c>
      <c r="N499" t="s">
        <v>29</v>
      </c>
      <c r="O499" t="s">
        <v>29</v>
      </c>
      <c r="P499" t="s">
        <v>29</v>
      </c>
      <c r="Q499" t="s">
        <v>29</v>
      </c>
      <c r="R499" t="s">
        <v>159</v>
      </c>
      <c r="S499" t="s">
        <v>29</v>
      </c>
      <c r="T499" t="s">
        <v>29</v>
      </c>
      <c r="U499" t="s">
        <v>29</v>
      </c>
      <c r="V499" s="6" t="s">
        <v>163</v>
      </c>
      <c r="W499" t="s">
        <v>83</v>
      </c>
      <c r="X499" t="s">
        <v>29</v>
      </c>
      <c r="Y499" s="6" t="s">
        <v>81</v>
      </c>
    </row>
    <row r="500" spans="2:25" x14ac:dyDescent="0.3">
      <c r="B500" s="5" t="s">
        <v>77</v>
      </c>
      <c r="C500" s="5" t="str">
        <f>VLOOKUP(B500,[1]물질정보!B:C,2,0)</f>
        <v>140-88-5</v>
      </c>
      <c r="D500" t="str">
        <f>VLOOKUP(B500,[1]물질정보!B:D,3,0)</f>
        <v>ethyl acrylate</v>
      </c>
      <c r="E500" t="str">
        <f>VLOOKUP(B500,[1]물질정보!B:E,4,0)</f>
        <v>C5H8O2</v>
      </c>
      <c r="F500" t="str">
        <f>VLOOKUP(B500,[1]물질정보!B:F,5,0)</f>
        <v>100.12 g/mol</v>
      </c>
      <c r="G500" s="5" t="str">
        <f>VLOOKUP(B500,[1]물질정보!B:G,6,0)</f>
        <v>CCOC(=O)C=C</v>
      </c>
      <c r="H500" t="s">
        <v>79</v>
      </c>
      <c r="I500" t="s">
        <v>80</v>
      </c>
      <c r="J500" t="s">
        <v>81</v>
      </c>
      <c r="K500">
        <v>14800</v>
      </c>
      <c r="L500" t="s">
        <v>161</v>
      </c>
      <c r="M500" t="s">
        <v>86</v>
      </c>
      <c r="N500" t="s">
        <v>29</v>
      </c>
      <c r="O500" t="s">
        <v>29</v>
      </c>
      <c r="P500" t="s">
        <v>29</v>
      </c>
      <c r="Q500" t="s">
        <v>29</v>
      </c>
      <c r="R500" t="s">
        <v>159</v>
      </c>
      <c r="S500" t="s">
        <v>29</v>
      </c>
      <c r="T500" t="s">
        <v>29</v>
      </c>
      <c r="U500" t="s">
        <v>29</v>
      </c>
      <c r="V500" s="6" t="s">
        <v>163</v>
      </c>
      <c r="W500" t="s">
        <v>86</v>
      </c>
      <c r="X500" t="s">
        <v>29</v>
      </c>
      <c r="Y500" s="6" t="s">
        <v>81</v>
      </c>
    </row>
    <row r="501" spans="2:25" x14ac:dyDescent="0.3">
      <c r="B501" s="5" t="s">
        <v>77</v>
      </c>
      <c r="C501" s="5" t="str">
        <f>VLOOKUP(B501,[1]물질정보!B:C,2,0)</f>
        <v>140-88-5</v>
      </c>
      <c r="D501" t="str">
        <f>VLOOKUP(B501,[1]물질정보!B:D,3,0)</f>
        <v>ethyl acrylate</v>
      </c>
      <c r="E501" t="str">
        <f>VLOOKUP(B501,[1]물질정보!B:E,4,0)</f>
        <v>C5H8O2</v>
      </c>
      <c r="F501" t="str">
        <f>VLOOKUP(B501,[1]물질정보!B:F,5,0)</f>
        <v>100.12 g/mol</v>
      </c>
      <c r="G501" s="5" t="str">
        <f>VLOOKUP(B501,[1]물질정보!B:G,6,0)</f>
        <v>CCOC(=O)C=C</v>
      </c>
      <c r="H501" t="s">
        <v>79</v>
      </c>
      <c r="I501" t="s">
        <v>80</v>
      </c>
      <c r="J501" t="s">
        <v>81</v>
      </c>
      <c r="K501">
        <v>3630</v>
      </c>
      <c r="L501" t="s">
        <v>161</v>
      </c>
      <c r="M501" t="s">
        <v>120</v>
      </c>
      <c r="N501" t="s">
        <v>29</v>
      </c>
      <c r="O501" t="s">
        <v>29</v>
      </c>
      <c r="P501" t="s">
        <v>29</v>
      </c>
      <c r="Q501" t="s">
        <v>29</v>
      </c>
      <c r="R501" t="s">
        <v>159</v>
      </c>
      <c r="S501" t="s">
        <v>29</v>
      </c>
      <c r="T501" t="s">
        <v>29</v>
      </c>
      <c r="U501" t="s">
        <v>29</v>
      </c>
      <c r="V501" s="6" t="s">
        <v>163</v>
      </c>
      <c r="W501" t="s">
        <v>120</v>
      </c>
      <c r="X501" t="s">
        <v>29</v>
      </c>
      <c r="Y501" s="6" t="s">
        <v>81</v>
      </c>
    </row>
    <row r="502" spans="2:25" x14ac:dyDescent="0.3">
      <c r="B502" s="5" t="s">
        <v>77</v>
      </c>
      <c r="C502" s="5" t="str">
        <f>VLOOKUP(B502,[1]물질정보!B:C,2,0)</f>
        <v>140-88-5</v>
      </c>
      <c r="D502" t="str">
        <f>VLOOKUP(B502,[1]물질정보!B:D,3,0)</f>
        <v>ethyl acrylate</v>
      </c>
      <c r="E502" t="str">
        <f>VLOOKUP(B502,[1]물질정보!B:E,4,0)</f>
        <v>C5H8O2</v>
      </c>
      <c r="F502" t="str">
        <f>VLOOKUP(B502,[1]물질정보!B:F,5,0)</f>
        <v>100.12 g/mol</v>
      </c>
      <c r="G502" s="5" t="str">
        <f>VLOOKUP(B502,[1]물질정보!B:G,6,0)</f>
        <v>CCOC(=O)C=C</v>
      </c>
      <c r="H502" t="s">
        <v>79</v>
      </c>
      <c r="I502" t="s">
        <v>80</v>
      </c>
      <c r="J502" t="s">
        <v>81</v>
      </c>
      <c r="K502">
        <v>1799</v>
      </c>
      <c r="L502" t="s">
        <v>161</v>
      </c>
      <c r="M502" t="s">
        <v>83</v>
      </c>
      <c r="N502" t="s">
        <v>29</v>
      </c>
      <c r="O502" t="s">
        <v>29</v>
      </c>
      <c r="P502" t="s">
        <v>29</v>
      </c>
      <c r="Q502" t="s">
        <v>29</v>
      </c>
      <c r="R502" t="s">
        <v>159</v>
      </c>
      <c r="S502" t="s">
        <v>29</v>
      </c>
      <c r="T502" t="s">
        <v>29</v>
      </c>
      <c r="U502" t="s">
        <v>29</v>
      </c>
      <c r="V502" s="6" t="s">
        <v>162</v>
      </c>
      <c r="W502" t="s">
        <v>83</v>
      </c>
      <c r="X502" t="s">
        <v>29</v>
      </c>
      <c r="Y502" s="6" t="s">
        <v>81</v>
      </c>
    </row>
    <row r="503" spans="2:25" x14ac:dyDescent="0.3">
      <c r="B503" s="5" t="s">
        <v>77</v>
      </c>
      <c r="C503" s="5" t="str">
        <f>VLOOKUP(B503,[1]물질정보!B:C,2,0)</f>
        <v>140-88-5</v>
      </c>
      <c r="D503" t="str">
        <f>VLOOKUP(B503,[1]물질정보!B:D,3,0)</f>
        <v>ethyl acrylate</v>
      </c>
      <c r="E503" t="str">
        <f>VLOOKUP(B503,[1]물질정보!B:E,4,0)</f>
        <v>C5H8O2</v>
      </c>
      <c r="F503" t="str">
        <f>VLOOKUP(B503,[1]물질정보!B:F,5,0)</f>
        <v>100.12 g/mol</v>
      </c>
      <c r="G503" s="5" t="str">
        <f>VLOOKUP(B503,[1]물질정보!B:G,6,0)</f>
        <v>CCOC(=O)C=C</v>
      </c>
      <c r="H503" t="s">
        <v>79</v>
      </c>
      <c r="I503" t="s">
        <v>80</v>
      </c>
      <c r="J503" t="s">
        <v>81</v>
      </c>
      <c r="K503">
        <v>370</v>
      </c>
      <c r="L503" t="s">
        <v>161</v>
      </c>
      <c r="M503" t="s">
        <v>120</v>
      </c>
      <c r="N503" t="s">
        <v>29</v>
      </c>
      <c r="O503" t="s">
        <v>29</v>
      </c>
      <c r="P503" t="s">
        <v>29</v>
      </c>
      <c r="Q503" t="s">
        <v>29</v>
      </c>
      <c r="R503" t="s">
        <v>159</v>
      </c>
      <c r="S503" t="s">
        <v>29</v>
      </c>
      <c r="T503" t="s">
        <v>29</v>
      </c>
      <c r="U503" t="s">
        <v>29</v>
      </c>
      <c r="V503" s="6" t="s">
        <v>162</v>
      </c>
      <c r="W503" t="s">
        <v>120</v>
      </c>
      <c r="X503" t="s">
        <v>29</v>
      </c>
      <c r="Y503" s="6" t="s">
        <v>81</v>
      </c>
    </row>
    <row r="504" spans="2:25" x14ac:dyDescent="0.3">
      <c r="B504" s="5" t="s">
        <v>77</v>
      </c>
      <c r="C504" s="5" t="str">
        <f>VLOOKUP(B504,[1]물질정보!B:C,2,0)</f>
        <v>140-88-5</v>
      </c>
      <c r="D504" t="str">
        <f>VLOOKUP(B504,[1]물질정보!B:D,3,0)</f>
        <v>ethyl acrylate</v>
      </c>
      <c r="E504" t="str">
        <f>VLOOKUP(B504,[1]물질정보!B:E,4,0)</f>
        <v>C5H8O2</v>
      </c>
      <c r="F504" t="str">
        <f>VLOOKUP(B504,[1]물질정보!B:F,5,0)</f>
        <v>100.12 g/mol</v>
      </c>
      <c r="G504" s="5" t="str">
        <f>VLOOKUP(B504,[1]물질정보!B:G,6,0)</f>
        <v>CCOC(=O)C=C</v>
      </c>
      <c r="H504" t="s">
        <v>79</v>
      </c>
      <c r="I504" t="s">
        <v>80</v>
      </c>
      <c r="J504" t="s">
        <v>81</v>
      </c>
      <c r="K504">
        <v>800</v>
      </c>
      <c r="L504" t="s">
        <v>161</v>
      </c>
      <c r="M504" t="s">
        <v>86</v>
      </c>
      <c r="N504" t="s">
        <v>29</v>
      </c>
      <c r="O504" t="s">
        <v>29</v>
      </c>
      <c r="P504" t="s">
        <v>29</v>
      </c>
      <c r="Q504" t="s">
        <v>29</v>
      </c>
      <c r="R504" t="s">
        <v>159</v>
      </c>
      <c r="S504" t="s">
        <v>29</v>
      </c>
      <c r="T504" t="s">
        <v>29</v>
      </c>
      <c r="U504" t="s">
        <v>29</v>
      </c>
      <c r="V504" s="6" t="s">
        <v>162</v>
      </c>
      <c r="W504" t="s">
        <v>86</v>
      </c>
      <c r="X504" t="s">
        <v>29</v>
      </c>
      <c r="Y504" s="6" t="s">
        <v>81</v>
      </c>
    </row>
    <row r="505" spans="2:25" x14ac:dyDescent="0.3">
      <c r="B505" s="5" t="s">
        <v>77</v>
      </c>
      <c r="C505" s="5" t="str">
        <f>VLOOKUP(B505,[1]물질정보!B:C,2,0)</f>
        <v>140-88-5</v>
      </c>
      <c r="D505" t="str">
        <f>VLOOKUP(B505,[1]물질정보!B:D,3,0)</f>
        <v>ethyl acrylate</v>
      </c>
      <c r="E505" t="str">
        <f>VLOOKUP(B505,[1]물질정보!B:E,4,0)</f>
        <v>C5H8O2</v>
      </c>
      <c r="F505" t="str">
        <f>VLOOKUP(B505,[1]물질정보!B:F,5,0)</f>
        <v>100.12 g/mol</v>
      </c>
      <c r="G505" s="5" t="str">
        <f>VLOOKUP(B505,[1]물질정보!B:G,6,0)</f>
        <v>CCOC(=O)C=C</v>
      </c>
      <c r="H505" t="s">
        <v>79</v>
      </c>
      <c r="I505" t="s">
        <v>80</v>
      </c>
      <c r="J505" t="s">
        <v>81</v>
      </c>
      <c r="K505">
        <v>1120</v>
      </c>
      <c r="L505" t="s">
        <v>161</v>
      </c>
      <c r="M505" t="s">
        <v>86</v>
      </c>
      <c r="N505" t="s">
        <v>29</v>
      </c>
      <c r="O505" t="s">
        <v>170</v>
      </c>
      <c r="P505" t="s">
        <v>29</v>
      </c>
      <c r="Q505" t="s">
        <v>29</v>
      </c>
      <c r="R505" t="s">
        <v>159</v>
      </c>
      <c r="S505" t="s">
        <v>29</v>
      </c>
      <c r="T505" t="s">
        <v>29</v>
      </c>
      <c r="U505" t="s">
        <v>29</v>
      </c>
      <c r="V505" s="6" t="s">
        <v>168</v>
      </c>
      <c r="W505" t="s">
        <v>86</v>
      </c>
      <c r="X505" t="s">
        <v>29</v>
      </c>
      <c r="Y505" s="6" t="s">
        <v>81</v>
      </c>
    </row>
    <row r="506" spans="2:25" x14ac:dyDescent="0.3">
      <c r="B506" s="5" t="s">
        <v>77</v>
      </c>
      <c r="C506" s="5" t="str">
        <f>VLOOKUP(B506,[1]물질정보!B:C,2,0)</f>
        <v>140-88-5</v>
      </c>
      <c r="D506" t="str">
        <f>VLOOKUP(B506,[1]물질정보!B:D,3,0)</f>
        <v>ethyl acrylate</v>
      </c>
      <c r="E506" t="str">
        <f>VLOOKUP(B506,[1]물질정보!B:E,4,0)</f>
        <v>C5H8O2</v>
      </c>
      <c r="F506" t="str">
        <f>VLOOKUP(B506,[1]물질정보!B:F,5,0)</f>
        <v>100.12 g/mol</v>
      </c>
      <c r="G506" s="5" t="str">
        <f>VLOOKUP(B506,[1]물질정보!B:G,6,0)</f>
        <v>CCOC(=O)C=C</v>
      </c>
      <c r="H506" t="s">
        <v>79</v>
      </c>
      <c r="I506" t="s">
        <v>80</v>
      </c>
      <c r="J506" t="s">
        <v>81</v>
      </c>
      <c r="K506">
        <v>1120</v>
      </c>
      <c r="L506" t="s">
        <v>161</v>
      </c>
      <c r="M506" t="s">
        <v>86</v>
      </c>
      <c r="N506" t="s">
        <v>29</v>
      </c>
      <c r="O506" t="s">
        <v>170</v>
      </c>
      <c r="P506" t="s">
        <v>29</v>
      </c>
      <c r="Q506" t="s">
        <v>29</v>
      </c>
      <c r="R506" t="s">
        <v>159</v>
      </c>
      <c r="S506" t="s">
        <v>29</v>
      </c>
      <c r="T506" t="s">
        <v>29</v>
      </c>
      <c r="U506" t="s">
        <v>29</v>
      </c>
      <c r="V506" s="6" t="s">
        <v>169</v>
      </c>
      <c r="W506" t="s">
        <v>86</v>
      </c>
      <c r="X506" t="s">
        <v>29</v>
      </c>
      <c r="Y506" s="6" t="s">
        <v>81</v>
      </c>
    </row>
    <row r="507" spans="2:25" x14ac:dyDescent="0.3">
      <c r="B507" s="5" t="s">
        <v>67</v>
      </c>
      <c r="C507" s="5" t="str">
        <f>VLOOKUP(B507,[1]물질정보!B:C,2,0)</f>
        <v>818-61-1</v>
      </c>
      <c r="D507" t="str">
        <f>VLOOKUP(B507,[1]물질정보!B:D,3,0)</f>
        <v>2-hydroxyethyl acrylate</v>
      </c>
      <c r="E507" t="str">
        <f>VLOOKUP(B507,[1]물질정보!B:E,4,0)</f>
        <v>C5H8O3</v>
      </c>
      <c r="F507" t="str">
        <f>VLOOKUP(B507,[1]물질정보!B:F,5,0)</f>
        <v>116.11 g/mol</v>
      </c>
      <c r="G507" s="5" t="str">
        <f>VLOOKUP(B507,[1]물질정보!B:G,6,0)</f>
        <v>C=CC(=O)OCCO</v>
      </c>
      <c r="H507" t="s">
        <v>79</v>
      </c>
      <c r="I507" t="s">
        <v>80</v>
      </c>
      <c r="J507" t="s">
        <v>81</v>
      </c>
      <c r="K507">
        <v>960.5</v>
      </c>
      <c r="L507" t="s">
        <v>158</v>
      </c>
      <c r="M507" t="s">
        <v>86</v>
      </c>
      <c r="N507" t="s">
        <v>165</v>
      </c>
      <c r="O507" t="s">
        <v>166</v>
      </c>
      <c r="P507" t="s">
        <v>29</v>
      </c>
      <c r="Q507" t="s">
        <v>29</v>
      </c>
      <c r="R507" t="s">
        <v>159</v>
      </c>
      <c r="S507" t="s">
        <v>167</v>
      </c>
      <c r="T507" t="s">
        <v>29</v>
      </c>
      <c r="U507" t="s">
        <v>29</v>
      </c>
      <c r="V507" s="6" t="s">
        <v>160</v>
      </c>
      <c r="W507" t="s">
        <v>86</v>
      </c>
      <c r="X507" t="s">
        <v>29</v>
      </c>
      <c r="Y507" s="6" t="s">
        <v>81</v>
      </c>
    </row>
    <row r="508" spans="2:25" x14ac:dyDescent="0.3">
      <c r="B508" s="5" t="s">
        <v>67</v>
      </c>
      <c r="C508" s="5" t="str">
        <f>VLOOKUP(B508,[1]물질정보!B:C,2,0)</f>
        <v>818-61-1</v>
      </c>
      <c r="D508" t="str">
        <f>VLOOKUP(B508,[1]물질정보!B:D,3,0)</f>
        <v>2-hydroxyethyl acrylate</v>
      </c>
      <c r="E508" t="str">
        <f>VLOOKUP(B508,[1]물질정보!B:E,4,0)</f>
        <v>C5H8O3</v>
      </c>
      <c r="F508" t="str">
        <f>VLOOKUP(B508,[1]물질정보!B:F,5,0)</f>
        <v>116.11 g/mol</v>
      </c>
      <c r="G508" s="5" t="str">
        <f>VLOOKUP(B508,[1]물질정보!B:G,6,0)</f>
        <v>C=CC(=O)OCCO</v>
      </c>
      <c r="H508" t="s">
        <v>79</v>
      </c>
      <c r="I508" t="s">
        <v>80</v>
      </c>
      <c r="J508" t="s">
        <v>81</v>
      </c>
      <c r="K508">
        <v>548</v>
      </c>
      <c r="L508" t="s">
        <v>158</v>
      </c>
      <c r="M508" t="s">
        <v>86</v>
      </c>
      <c r="N508" t="s">
        <v>29</v>
      </c>
      <c r="O508" t="s">
        <v>29</v>
      </c>
      <c r="P508" t="s">
        <v>29</v>
      </c>
      <c r="Q508" t="s">
        <v>29</v>
      </c>
      <c r="R508" t="s">
        <v>159</v>
      </c>
      <c r="S508" t="s">
        <v>29</v>
      </c>
      <c r="T508" t="s">
        <v>29</v>
      </c>
      <c r="U508" t="s">
        <v>29</v>
      </c>
      <c r="V508" s="6" t="s">
        <v>163</v>
      </c>
      <c r="W508" t="s">
        <v>86</v>
      </c>
      <c r="X508" t="s">
        <v>29</v>
      </c>
      <c r="Y508" s="6" t="s">
        <v>81</v>
      </c>
    </row>
    <row r="509" spans="2:25" x14ac:dyDescent="0.3">
      <c r="B509" s="5" t="s">
        <v>67</v>
      </c>
      <c r="C509" s="5" t="str">
        <f>VLOOKUP(B509,[1]물질정보!B:C,2,0)</f>
        <v>818-61-1</v>
      </c>
      <c r="D509" t="str">
        <f>VLOOKUP(B509,[1]물질정보!B:D,3,0)</f>
        <v>2-hydroxyethyl acrylate</v>
      </c>
      <c r="E509" t="str">
        <f>VLOOKUP(B509,[1]물질정보!B:E,4,0)</f>
        <v>C5H8O3</v>
      </c>
      <c r="F509" t="str">
        <f>VLOOKUP(B509,[1]물질정보!B:F,5,0)</f>
        <v>116.11 g/mol</v>
      </c>
      <c r="G509" s="5" t="str">
        <f>VLOOKUP(B509,[1]물질정보!B:G,6,0)</f>
        <v>C=CC(=O)OCCO</v>
      </c>
      <c r="H509" t="s">
        <v>79</v>
      </c>
      <c r="I509" t="s">
        <v>80</v>
      </c>
      <c r="J509" t="s">
        <v>81</v>
      </c>
      <c r="K509">
        <v>300</v>
      </c>
      <c r="L509" t="s">
        <v>161</v>
      </c>
      <c r="M509" t="s">
        <v>83</v>
      </c>
      <c r="N509" t="s">
        <v>29</v>
      </c>
      <c r="O509" t="s">
        <v>29</v>
      </c>
      <c r="P509" t="s">
        <v>29</v>
      </c>
      <c r="Q509" t="s">
        <v>29</v>
      </c>
      <c r="R509" t="s">
        <v>159</v>
      </c>
      <c r="S509" t="s">
        <v>29</v>
      </c>
      <c r="T509" t="s">
        <v>29</v>
      </c>
      <c r="U509" t="s">
        <v>29</v>
      </c>
      <c r="V509" s="6" t="s">
        <v>162</v>
      </c>
      <c r="W509" t="s">
        <v>83</v>
      </c>
      <c r="X509" t="s">
        <v>29</v>
      </c>
      <c r="Y509" s="6" t="s">
        <v>81</v>
      </c>
    </row>
    <row r="510" spans="2:25" x14ac:dyDescent="0.3">
      <c r="B510" s="5" t="s">
        <v>67</v>
      </c>
      <c r="C510" s="5" t="str">
        <f>VLOOKUP(B510,[1]물질정보!B:C,2,0)</f>
        <v>818-61-1</v>
      </c>
      <c r="D510" t="str">
        <f>VLOOKUP(B510,[1]물질정보!B:D,3,0)</f>
        <v>2-hydroxyethyl acrylate</v>
      </c>
      <c r="E510" t="str">
        <f>VLOOKUP(B510,[1]물질정보!B:E,4,0)</f>
        <v>C5H8O3</v>
      </c>
      <c r="F510" t="str">
        <f>VLOOKUP(B510,[1]물질정보!B:F,5,0)</f>
        <v>116.11 g/mol</v>
      </c>
      <c r="G510" s="5" t="str">
        <f>VLOOKUP(B510,[1]물질정보!B:G,6,0)</f>
        <v>C=CC(=O)OCCO</v>
      </c>
      <c r="H510" t="s">
        <v>79</v>
      </c>
      <c r="I510" t="s">
        <v>80</v>
      </c>
      <c r="J510" t="s">
        <v>81</v>
      </c>
      <c r="K510">
        <v>548</v>
      </c>
      <c r="L510" t="s">
        <v>161</v>
      </c>
      <c r="M510" t="s">
        <v>86</v>
      </c>
      <c r="N510" t="s">
        <v>29</v>
      </c>
      <c r="O510" t="s">
        <v>29</v>
      </c>
      <c r="P510" t="s">
        <v>29</v>
      </c>
      <c r="Q510" t="s">
        <v>29</v>
      </c>
      <c r="R510" t="s">
        <v>159</v>
      </c>
      <c r="S510" t="s">
        <v>29</v>
      </c>
      <c r="T510" t="s">
        <v>29</v>
      </c>
      <c r="U510" t="s">
        <v>29</v>
      </c>
      <c r="V510" s="6" t="s">
        <v>162</v>
      </c>
      <c r="W510" t="s">
        <v>86</v>
      </c>
      <c r="X510" t="s">
        <v>29</v>
      </c>
      <c r="Y510" s="6" t="s">
        <v>81</v>
      </c>
    </row>
    <row r="511" spans="2:25" x14ac:dyDescent="0.3">
      <c r="B511" s="5" t="s">
        <v>67</v>
      </c>
      <c r="C511" s="5" t="str">
        <f>VLOOKUP(B511,[1]물질정보!B:C,2,0)</f>
        <v>818-61-1</v>
      </c>
      <c r="D511" t="str">
        <f>VLOOKUP(B511,[1]물질정보!B:D,3,0)</f>
        <v>2-hydroxyethyl acrylate</v>
      </c>
      <c r="E511" t="str">
        <f>VLOOKUP(B511,[1]물질정보!B:E,4,0)</f>
        <v>C5H8O3</v>
      </c>
      <c r="F511" t="str">
        <f>VLOOKUP(B511,[1]물질정보!B:F,5,0)</f>
        <v>116.11 g/mol</v>
      </c>
      <c r="G511" s="5" t="str">
        <f>VLOOKUP(B511,[1]물질정보!B:G,6,0)</f>
        <v>C=CC(=O)OCCO</v>
      </c>
      <c r="H511" t="s">
        <v>79</v>
      </c>
      <c r="I511" t="s">
        <v>80</v>
      </c>
      <c r="J511" t="s">
        <v>81</v>
      </c>
      <c r="K511">
        <v>540</v>
      </c>
      <c r="L511" t="s">
        <v>161</v>
      </c>
      <c r="M511" t="s">
        <v>86</v>
      </c>
      <c r="N511" t="s">
        <v>29</v>
      </c>
      <c r="O511" t="s">
        <v>170</v>
      </c>
      <c r="P511" t="s">
        <v>29</v>
      </c>
      <c r="Q511" t="s">
        <v>29</v>
      </c>
      <c r="R511" t="s">
        <v>159</v>
      </c>
      <c r="S511" t="s">
        <v>29</v>
      </c>
      <c r="T511" t="s">
        <v>29</v>
      </c>
      <c r="U511" t="s">
        <v>29</v>
      </c>
      <c r="V511" s="6" t="s">
        <v>168</v>
      </c>
      <c r="W511" t="s">
        <v>86</v>
      </c>
      <c r="X511" t="s">
        <v>29</v>
      </c>
      <c r="Y511" s="6" t="s">
        <v>81</v>
      </c>
    </row>
    <row r="512" spans="2:25" x14ac:dyDescent="0.3">
      <c r="B512" s="5" t="s">
        <v>67</v>
      </c>
      <c r="C512" s="5" t="str">
        <f>VLOOKUP(B512,[1]물질정보!B:C,2,0)</f>
        <v>818-61-1</v>
      </c>
      <c r="D512" t="str">
        <f>VLOOKUP(B512,[1]물질정보!B:D,3,0)</f>
        <v>2-hydroxyethyl acrylate</v>
      </c>
      <c r="E512" t="str">
        <f>VLOOKUP(B512,[1]물질정보!B:E,4,0)</f>
        <v>C5H8O3</v>
      </c>
      <c r="F512" t="str">
        <f>VLOOKUP(B512,[1]물질정보!B:F,5,0)</f>
        <v>116.11 g/mol</v>
      </c>
      <c r="G512" s="5" t="str">
        <f>VLOOKUP(B512,[1]물질정보!B:G,6,0)</f>
        <v>C=CC(=O)OCCO</v>
      </c>
      <c r="H512" t="s">
        <v>79</v>
      </c>
      <c r="I512" t="s">
        <v>80</v>
      </c>
      <c r="J512" t="s">
        <v>81</v>
      </c>
      <c r="K512">
        <v>540</v>
      </c>
      <c r="L512" t="s">
        <v>161</v>
      </c>
      <c r="M512" t="s">
        <v>86</v>
      </c>
      <c r="N512" t="s">
        <v>29</v>
      </c>
      <c r="O512" t="s">
        <v>170</v>
      </c>
      <c r="P512" t="s">
        <v>29</v>
      </c>
      <c r="Q512" t="s">
        <v>29</v>
      </c>
      <c r="R512" t="s">
        <v>159</v>
      </c>
      <c r="S512" t="s">
        <v>29</v>
      </c>
      <c r="T512" t="s">
        <v>29</v>
      </c>
      <c r="U512" t="s">
        <v>29</v>
      </c>
      <c r="V512" s="6" t="s">
        <v>169</v>
      </c>
      <c r="W512" t="s">
        <v>86</v>
      </c>
      <c r="X512" t="s">
        <v>29</v>
      </c>
      <c r="Y512" s="6" t="s">
        <v>81</v>
      </c>
    </row>
    <row r="513" spans="2:25" x14ac:dyDescent="0.3">
      <c r="B513" s="5" t="s">
        <v>65</v>
      </c>
      <c r="C513" s="5" t="str">
        <f>VLOOKUP(B513,[1]물질정보!B:C,2,0)</f>
        <v>141-32-2</v>
      </c>
      <c r="D513" t="str">
        <f>VLOOKUP(B513,[1]물질정보!B:D,3,0)</f>
        <v>butyl acrylate</v>
      </c>
      <c r="E513" t="str">
        <f>VLOOKUP(B513,[1]물질정보!B:E,4,0)</f>
        <v>C7H12O2</v>
      </c>
      <c r="F513" t="str">
        <f>VLOOKUP(B513,[1]물질정보!B:F,5,0)</f>
        <v>128.169 g/mol</v>
      </c>
      <c r="G513" s="5" t="str">
        <f>VLOOKUP(B513,[1]물질정보!B:G,6,0)</f>
        <v>CCCCOC(=O)C=C</v>
      </c>
      <c r="H513" t="s">
        <v>79</v>
      </c>
      <c r="I513" t="s">
        <v>80</v>
      </c>
      <c r="J513" t="s">
        <v>81</v>
      </c>
      <c r="K513">
        <v>3730</v>
      </c>
      <c r="L513" t="s">
        <v>161</v>
      </c>
      <c r="M513" t="s">
        <v>86</v>
      </c>
      <c r="N513" t="s">
        <v>29</v>
      </c>
      <c r="O513" t="s">
        <v>29</v>
      </c>
      <c r="P513" t="s">
        <v>29</v>
      </c>
      <c r="Q513" t="s">
        <v>29</v>
      </c>
      <c r="R513" t="s">
        <v>159</v>
      </c>
      <c r="S513" t="s">
        <v>29</v>
      </c>
      <c r="T513" t="s">
        <v>29</v>
      </c>
      <c r="U513" t="s">
        <v>29</v>
      </c>
      <c r="V513" s="6" t="s">
        <v>163</v>
      </c>
      <c r="W513" t="s">
        <v>86</v>
      </c>
      <c r="X513" t="s">
        <v>29</v>
      </c>
      <c r="Y513" s="6" t="s">
        <v>81</v>
      </c>
    </row>
    <row r="514" spans="2:25" x14ac:dyDescent="0.3">
      <c r="B514" s="5" t="s">
        <v>65</v>
      </c>
      <c r="C514" s="5" t="str">
        <f>VLOOKUP(B514,[1]물질정보!B:C,2,0)</f>
        <v>141-32-2</v>
      </c>
      <c r="D514" t="str">
        <f>VLOOKUP(B514,[1]물질정보!B:D,3,0)</f>
        <v>butyl acrylate</v>
      </c>
      <c r="E514" t="str">
        <f>VLOOKUP(B514,[1]물질정보!B:E,4,0)</f>
        <v>C7H12O2</v>
      </c>
      <c r="F514" t="str">
        <f>VLOOKUP(B514,[1]물질정보!B:F,5,0)</f>
        <v>128.169 g/mol</v>
      </c>
      <c r="G514" s="5" t="str">
        <f>VLOOKUP(B514,[1]물질정보!B:G,6,0)</f>
        <v>CCCCOC(=O)C=C</v>
      </c>
      <c r="H514" t="s">
        <v>79</v>
      </c>
      <c r="I514" t="s">
        <v>80</v>
      </c>
      <c r="J514" t="s">
        <v>81</v>
      </c>
      <c r="K514">
        <v>900</v>
      </c>
      <c r="L514" t="s">
        <v>161</v>
      </c>
      <c r="M514" t="s">
        <v>86</v>
      </c>
      <c r="N514" t="s">
        <v>29</v>
      </c>
      <c r="O514" t="s">
        <v>29</v>
      </c>
      <c r="P514" t="s">
        <v>29</v>
      </c>
      <c r="Q514" t="s">
        <v>29</v>
      </c>
      <c r="R514" t="s">
        <v>159</v>
      </c>
      <c r="S514" t="s">
        <v>29</v>
      </c>
      <c r="T514" t="s">
        <v>29</v>
      </c>
      <c r="U514" t="s">
        <v>29</v>
      </c>
      <c r="V514" s="6" t="s">
        <v>163</v>
      </c>
      <c r="W514" t="s">
        <v>86</v>
      </c>
      <c r="X514" t="s">
        <v>29</v>
      </c>
      <c r="Y514" s="6" t="s">
        <v>81</v>
      </c>
    </row>
    <row r="515" spans="2:25" x14ac:dyDescent="0.3">
      <c r="B515" s="5" t="s">
        <v>65</v>
      </c>
      <c r="C515" s="5" t="str">
        <f>VLOOKUP(B515,[1]물질정보!B:C,2,0)</f>
        <v>141-32-2</v>
      </c>
      <c r="D515" t="str">
        <f>VLOOKUP(B515,[1]물질정보!B:D,3,0)</f>
        <v>butyl acrylate</v>
      </c>
      <c r="E515" t="str">
        <f>VLOOKUP(B515,[1]물질정보!B:E,4,0)</f>
        <v>C7H12O2</v>
      </c>
      <c r="F515" t="str">
        <f>VLOOKUP(B515,[1]물질정보!B:F,5,0)</f>
        <v>128.169 g/mol</v>
      </c>
      <c r="G515" s="5" t="str">
        <f>VLOOKUP(B515,[1]물질정보!B:G,6,0)</f>
        <v>CCCCOC(=O)C=C</v>
      </c>
      <c r="H515" t="s">
        <v>79</v>
      </c>
      <c r="I515" t="s">
        <v>80</v>
      </c>
      <c r="J515" t="s">
        <v>81</v>
      </c>
      <c r="K515">
        <v>3143</v>
      </c>
      <c r="L515" t="s">
        <v>161</v>
      </c>
      <c r="M515" t="s">
        <v>86</v>
      </c>
      <c r="N515" t="s">
        <v>29</v>
      </c>
      <c r="O515" t="s">
        <v>29</v>
      </c>
      <c r="P515" t="s">
        <v>29</v>
      </c>
      <c r="Q515" t="s">
        <v>29</v>
      </c>
      <c r="R515" t="s">
        <v>159</v>
      </c>
      <c r="S515" t="s">
        <v>29</v>
      </c>
      <c r="T515" t="s">
        <v>29</v>
      </c>
      <c r="U515" t="s">
        <v>29</v>
      </c>
      <c r="V515" s="6" t="s">
        <v>163</v>
      </c>
      <c r="W515" t="s">
        <v>86</v>
      </c>
      <c r="X515" t="s">
        <v>29</v>
      </c>
      <c r="Y515" s="6" t="s">
        <v>81</v>
      </c>
    </row>
    <row r="516" spans="2:25" x14ac:dyDescent="0.3">
      <c r="B516" s="5" t="s">
        <v>65</v>
      </c>
      <c r="C516" s="5" t="str">
        <f>VLOOKUP(B516,[1]물질정보!B:C,2,0)</f>
        <v>141-32-2</v>
      </c>
      <c r="D516" t="str">
        <f>VLOOKUP(B516,[1]물질정보!B:D,3,0)</f>
        <v>butyl acrylate</v>
      </c>
      <c r="E516" t="str">
        <f>VLOOKUP(B516,[1]물질정보!B:E,4,0)</f>
        <v>C7H12O2</v>
      </c>
      <c r="F516" t="str">
        <f>VLOOKUP(B516,[1]물질정보!B:F,5,0)</f>
        <v>128.169 g/mol</v>
      </c>
      <c r="G516" s="5" t="str">
        <f>VLOOKUP(B516,[1]물질정보!B:G,6,0)</f>
        <v>CCCCOC(=O)C=C</v>
      </c>
      <c r="H516" t="s">
        <v>79</v>
      </c>
      <c r="I516" t="s">
        <v>80</v>
      </c>
      <c r="J516" t="s">
        <v>81</v>
      </c>
      <c r="K516">
        <v>9050</v>
      </c>
      <c r="L516" t="s">
        <v>161</v>
      </c>
      <c r="M516" t="s">
        <v>86</v>
      </c>
      <c r="N516" t="s">
        <v>29</v>
      </c>
      <c r="O516" t="s">
        <v>170</v>
      </c>
      <c r="P516" t="s">
        <v>29</v>
      </c>
      <c r="Q516" t="s">
        <v>29</v>
      </c>
      <c r="R516" t="s">
        <v>159</v>
      </c>
      <c r="S516" t="s">
        <v>29</v>
      </c>
      <c r="T516" t="s">
        <v>29</v>
      </c>
      <c r="U516" t="s">
        <v>29</v>
      </c>
      <c r="V516" s="6" t="s">
        <v>163</v>
      </c>
      <c r="W516" t="s">
        <v>86</v>
      </c>
      <c r="X516" t="s">
        <v>29</v>
      </c>
      <c r="Y516" s="6" t="s">
        <v>81</v>
      </c>
    </row>
    <row r="517" spans="2:25" x14ac:dyDescent="0.3">
      <c r="B517" s="5" t="s">
        <v>65</v>
      </c>
      <c r="C517" s="5" t="str">
        <f>VLOOKUP(B517,[1]물질정보!B:C,2,0)</f>
        <v>141-32-2</v>
      </c>
      <c r="D517" t="str">
        <f>VLOOKUP(B517,[1]물질정보!B:D,3,0)</f>
        <v>butyl acrylate</v>
      </c>
      <c r="E517" t="str">
        <f>VLOOKUP(B517,[1]물질정보!B:E,4,0)</f>
        <v>C7H12O2</v>
      </c>
      <c r="F517" t="str">
        <f>VLOOKUP(B517,[1]물질정보!B:F,5,0)</f>
        <v>128.169 g/mol</v>
      </c>
      <c r="G517" s="5" t="str">
        <f>VLOOKUP(B517,[1]물질정보!B:G,6,0)</f>
        <v>CCCCOC(=O)C=C</v>
      </c>
      <c r="H517" t="s">
        <v>79</v>
      </c>
      <c r="I517" t="s">
        <v>80</v>
      </c>
      <c r="J517" t="s">
        <v>81</v>
      </c>
      <c r="K517">
        <v>7561</v>
      </c>
      <c r="L517" t="s">
        <v>161</v>
      </c>
      <c r="M517" t="s">
        <v>83</v>
      </c>
      <c r="N517" t="s">
        <v>29</v>
      </c>
      <c r="O517" t="s">
        <v>29</v>
      </c>
      <c r="P517" t="s">
        <v>29</v>
      </c>
      <c r="Q517" t="s">
        <v>29</v>
      </c>
      <c r="R517" t="s">
        <v>159</v>
      </c>
      <c r="S517" t="s">
        <v>29</v>
      </c>
      <c r="T517" t="s">
        <v>29</v>
      </c>
      <c r="U517" t="s">
        <v>29</v>
      </c>
      <c r="V517" s="6" t="s">
        <v>163</v>
      </c>
      <c r="W517" t="s">
        <v>83</v>
      </c>
      <c r="X517" t="s">
        <v>29</v>
      </c>
      <c r="Y517" s="6" t="s">
        <v>81</v>
      </c>
    </row>
    <row r="518" spans="2:25" x14ac:dyDescent="0.3">
      <c r="B518" s="5" t="s">
        <v>65</v>
      </c>
      <c r="C518" s="5" t="str">
        <f>VLOOKUP(B518,[1]물질정보!B:C,2,0)</f>
        <v>141-32-2</v>
      </c>
      <c r="D518" t="str">
        <f>VLOOKUP(B518,[1]물질정보!B:D,3,0)</f>
        <v>butyl acrylate</v>
      </c>
      <c r="E518" t="str">
        <f>VLOOKUP(B518,[1]물질정보!B:E,4,0)</f>
        <v>C7H12O2</v>
      </c>
      <c r="F518" t="str">
        <f>VLOOKUP(B518,[1]물질정보!B:F,5,0)</f>
        <v>128.169 g/mol</v>
      </c>
      <c r="G518" s="5" t="str">
        <f>VLOOKUP(B518,[1]물질정보!B:G,6,0)</f>
        <v>CCCCOC(=O)C=C</v>
      </c>
      <c r="H518" t="s">
        <v>79</v>
      </c>
      <c r="I518" t="s">
        <v>80</v>
      </c>
      <c r="J518" t="s">
        <v>81</v>
      </c>
      <c r="K518">
        <v>5880</v>
      </c>
      <c r="L518" t="s">
        <v>161</v>
      </c>
      <c r="M518" t="s">
        <v>83</v>
      </c>
      <c r="N518" t="s">
        <v>29</v>
      </c>
      <c r="O518" t="s">
        <v>29</v>
      </c>
      <c r="P518" t="s">
        <v>29</v>
      </c>
      <c r="Q518" t="s">
        <v>29</v>
      </c>
      <c r="R518" t="s">
        <v>159</v>
      </c>
      <c r="S518" t="s">
        <v>29</v>
      </c>
      <c r="T518" t="s">
        <v>29</v>
      </c>
      <c r="U518" t="s">
        <v>29</v>
      </c>
      <c r="V518" s="6" t="s">
        <v>162</v>
      </c>
      <c r="W518" t="s">
        <v>83</v>
      </c>
      <c r="X518" t="s">
        <v>29</v>
      </c>
      <c r="Y518" s="6" t="s">
        <v>81</v>
      </c>
    </row>
    <row r="519" spans="2:25" x14ac:dyDescent="0.3">
      <c r="B519" s="5" t="s">
        <v>65</v>
      </c>
      <c r="C519" s="5" t="str">
        <f>VLOOKUP(B519,[1]물질정보!B:C,2,0)</f>
        <v>141-32-2</v>
      </c>
      <c r="D519" t="str">
        <f>VLOOKUP(B519,[1]물질정보!B:D,3,0)</f>
        <v>butyl acrylate</v>
      </c>
      <c r="E519" t="str">
        <f>VLOOKUP(B519,[1]물질정보!B:E,4,0)</f>
        <v>C7H12O2</v>
      </c>
      <c r="F519" t="str">
        <f>VLOOKUP(B519,[1]물질정보!B:F,5,0)</f>
        <v>128.169 g/mol</v>
      </c>
      <c r="G519" s="5" t="str">
        <f>VLOOKUP(B519,[1]물질정보!B:G,6,0)</f>
        <v>CCCCOC(=O)C=C</v>
      </c>
      <c r="H519" t="s">
        <v>79</v>
      </c>
      <c r="I519" t="s">
        <v>80</v>
      </c>
      <c r="J519" t="s">
        <v>81</v>
      </c>
      <c r="K519">
        <v>900</v>
      </c>
      <c r="L519" t="s">
        <v>161</v>
      </c>
      <c r="M519" t="s">
        <v>86</v>
      </c>
      <c r="N519" t="s">
        <v>29</v>
      </c>
      <c r="O519" t="s">
        <v>29</v>
      </c>
      <c r="P519" t="s">
        <v>29</v>
      </c>
      <c r="Q519" t="s">
        <v>29</v>
      </c>
      <c r="R519" t="s">
        <v>159</v>
      </c>
      <c r="S519" t="s">
        <v>29</v>
      </c>
      <c r="T519" t="s">
        <v>29</v>
      </c>
      <c r="U519" t="s">
        <v>29</v>
      </c>
      <c r="V519" s="6" t="s">
        <v>162</v>
      </c>
      <c r="W519" t="s">
        <v>86</v>
      </c>
      <c r="X519" t="s">
        <v>29</v>
      </c>
      <c r="Y519" s="6" t="s">
        <v>81</v>
      </c>
    </row>
    <row r="520" spans="2:25" x14ac:dyDescent="0.3">
      <c r="B520" s="5" t="s">
        <v>65</v>
      </c>
      <c r="C520" s="5" t="str">
        <f>VLOOKUP(B520,[1]물질정보!B:C,2,0)</f>
        <v>141-32-2</v>
      </c>
      <c r="D520" t="str">
        <f>VLOOKUP(B520,[1]물질정보!B:D,3,0)</f>
        <v>butyl acrylate</v>
      </c>
      <c r="E520" t="str">
        <f>VLOOKUP(B520,[1]물질정보!B:E,4,0)</f>
        <v>C7H12O2</v>
      </c>
      <c r="F520" t="str">
        <f>VLOOKUP(B520,[1]물질정보!B:F,5,0)</f>
        <v>128.169 g/mol</v>
      </c>
      <c r="G520" s="5" t="str">
        <f>VLOOKUP(B520,[1]물질정보!B:G,6,0)</f>
        <v>CCCCOC(=O)C=C</v>
      </c>
      <c r="H520" t="s">
        <v>79</v>
      </c>
      <c r="I520" t="s">
        <v>80</v>
      </c>
      <c r="J520" t="s">
        <v>81</v>
      </c>
      <c r="K520">
        <v>3150</v>
      </c>
      <c r="L520" t="s">
        <v>158</v>
      </c>
      <c r="M520" t="s">
        <v>86</v>
      </c>
      <c r="N520" t="s">
        <v>29</v>
      </c>
      <c r="O520" t="s">
        <v>29</v>
      </c>
      <c r="P520" t="s">
        <v>29</v>
      </c>
      <c r="Q520" t="s">
        <v>29</v>
      </c>
      <c r="R520" t="s">
        <v>159</v>
      </c>
      <c r="S520" t="s">
        <v>167</v>
      </c>
      <c r="T520" t="s">
        <v>29</v>
      </c>
      <c r="U520" t="s">
        <v>29</v>
      </c>
      <c r="V520" s="6" t="s">
        <v>160</v>
      </c>
      <c r="W520" t="s">
        <v>86</v>
      </c>
      <c r="X520" t="s">
        <v>29</v>
      </c>
      <c r="Y520" s="6" t="s">
        <v>81</v>
      </c>
    </row>
    <row r="521" spans="2:25" x14ac:dyDescent="0.3">
      <c r="B521" s="5" t="s">
        <v>65</v>
      </c>
      <c r="C521" s="5" t="str">
        <f>VLOOKUP(B521,[1]물질정보!B:C,2,0)</f>
        <v>141-32-2</v>
      </c>
      <c r="D521" t="str">
        <f>VLOOKUP(B521,[1]물질정보!B:D,3,0)</f>
        <v>butyl acrylate</v>
      </c>
      <c r="E521" t="str">
        <f>VLOOKUP(B521,[1]물질정보!B:E,4,0)</f>
        <v>C7H12O2</v>
      </c>
      <c r="F521" t="str">
        <f>VLOOKUP(B521,[1]물질정보!B:F,5,0)</f>
        <v>128.169 g/mol</v>
      </c>
      <c r="G521" s="5" t="str">
        <f>VLOOKUP(B521,[1]물질정보!B:G,6,0)</f>
        <v>CCCCOC(=O)C=C</v>
      </c>
      <c r="H521" t="s">
        <v>79</v>
      </c>
      <c r="I521" t="s">
        <v>80</v>
      </c>
      <c r="J521" t="s">
        <v>81</v>
      </c>
      <c r="K521">
        <v>3150</v>
      </c>
      <c r="L521" t="s">
        <v>161</v>
      </c>
      <c r="M521" t="s">
        <v>86</v>
      </c>
      <c r="N521" t="s">
        <v>29</v>
      </c>
      <c r="O521" t="s">
        <v>29</v>
      </c>
      <c r="P521" t="s">
        <v>29</v>
      </c>
      <c r="Q521" t="s">
        <v>29</v>
      </c>
      <c r="R521" t="s">
        <v>159</v>
      </c>
      <c r="S521" t="s">
        <v>29</v>
      </c>
      <c r="T521" t="s">
        <v>29</v>
      </c>
      <c r="U521" t="s">
        <v>29</v>
      </c>
      <c r="V521" s="6" t="s">
        <v>168</v>
      </c>
      <c r="W521" t="s">
        <v>86</v>
      </c>
      <c r="X521" t="s">
        <v>29</v>
      </c>
      <c r="Y521" s="6" t="s">
        <v>81</v>
      </c>
    </row>
    <row r="522" spans="2:25" x14ac:dyDescent="0.3">
      <c r="B522" s="5" t="s">
        <v>65</v>
      </c>
      <c r="C522" s="5" t="str">
        <f>VLOOKUP(B522,[1]물질정보!B:C,2,0)</f>
        <v>141-32-2</v>
      </c>
      <c r="D522" t="str">
        <f>VLOOKUP(B522,[1]물질정보!B:D,3,0)</f>
        <v>butyl acrylate</v>
      </c>
      <c r="E522" t="str">
        <f>VLOOKUP(B522,[1]물질정보!B:E,4,0)</f>
        <v>C7H12O2</v>
      </c>
      <c r="F522" t="str">
        <f>VLOOKUP(B522,[1]물질정보!B:F,5,0)</f>
        <v>128.169 g/mol</v>
      </c>
      <c r="G522" s="5" t="str">
        <f>VLOOKUP(B522,[1]물질정보!B:G,6,0)</f>
        <v>CCCCOC(=O)C=C</v>
      </c>
      <c r="H522" t="s">
        <v>79</v>
      </c>
      <c r="I522" t="s">
        <v>80</v>
      </c>
      <c r="J522" t="s">
        <v>81</v>
      </c>
      <c r="K522">
        <v>3150</v>
      </c>
      <c r="L522" t="s">
        <v>161</v>
      </c>
      <c r="M522" t="s">
        <v>86</v>
      </c>
      <c r="N522" t="s">
        <v>29</v>
      </c>
      <c r="O522" t="s">
        <v>29</v>
      </c>
      <c r="P522" t="s">
        <v>29</v>
      </c>
      <c r="Q522" t="s">
        <v>29</v>
      </c>
      <c r="R522" t="s">
        <v>159</v>
      </c>
      <c r="S522" t="s">
        <v>29</v>
      </c>
      <c r="T522" t="s">
        <v>29</v>
      </c>
      <c r="U522" t="s">
        <v>29</v>
      </c>
      <c r="V522" s="6" t="s">
        <v>169</v>
      </c>
      <c r="W522" t="s">
        <v>86</v>
      </c>
      <c r="X522" t="s">
        <v>29</v>
      </c>
      <c r="Y522" s="6" t="s">
        <v>81</v>
      </c>
    </row>
    <row r="523" spans="2:25" x14ac:dyDescent="0.3">
      <c r="B523" s="5" t="s">
        <v>64</v>
      </c>
      <c r="C523" s="5" t="str">
        <f>VLOOKUP(B523,[1]물질정보!B:C,2,0)</f>
        <v>2478-10-6</v>
      </c>
      <c r="D523" t="str">
        <f>VLOOKUP(B523,[1]물질정보!B:D,3,0)</f>
        <v>4-hydroxybutyl acrylate</v>
      </c>
      <c r="E523" t="str">
        <f>VLOOKUP(B523,[1]물질정보!B:E,4,0)</f>
        <v>C7H12O3</v>
      </c>
      <c r="F523" t="str">
        <f>VLOOKUP(B523,[1]물질정보!B:F,5,0)</f>
        <v>144.17 g/mol</v>
      </c>
      <c r="G523" s="5" t="str">
        <f>VLOOKUP(B523,[1]물질정보!B:G,6,0)</f>
        <v>C=CC(=O)OCCCCO</v>
      </c>
      <c r="H523" t="s">
        <v>79</v>
      </c>
      <c r="I523" t="s">
        <v>80</v>
      </c>
      <c r="J523" t="s">
        <v>81</v>
      </c>
      <c r="K523">
        <v>871</v>
      </c>
      <c r="L523" t="s">
        <v>158</v>
      </c>
      <c r="M523" t="s">
        <v>86</v>
      </c>
      <c r="N523" t="s">
        <v>165</v>
      </c>
      <c r="O523" t="s">
        <v>166</v>
      </c>
      <c r="P523">
        <v>48</v>
      </c>
      <c r="Q523" t="s">
        <v>31</v>
      </c>
      <c r="R523" t="s">
        <v>159</v>
      </c>
      <c r="S523" t="s">
        <v>167</v>
      </c>
      <c r="T523" t="s">
        <v>29</v>
      </c>
      <c r="U523" t="s">
        <v>29</v>
      </c>
      <c r="V523" s="6" t="s">
        <v>160</v>
      </c>
      <c r="W523" t="s">
        <v>86</v>
      </c>
      <c r="X523" t="s">
        <v>48</v>
      </c>
      <c r="Y523" s="6" t="s">
        <v>81</v>
      </c>
    </row>
    <row r="524" spans="2:25" x14ac:dyDescent="0.3">
      <c r="B524" s="5" t="s">
        <v>64</v>
      </c>
      <c r="C524" s="5" t="str">
        <f>VLOOKUP(B524,[1]물질정보!B:C,2,0)</f>
        <v>2478-10-6</v>
      </c>
      <c r="D524" t="str">
        <f>VLOOKUP(B524,[1]물질정보!B:D,3,0)</f>
        <v>4-hydroxybutyl acrylate</v>
      </c>
      <c r="E524" t="str">
        <f>VLOOKUP(B524,[1]물질정보!B:E,4,0)</f>
        <v>C7H12O3</v>
      </c>
      <c r="F524" t="str">
        <f>VLOOKUP(B524,[1]물질정보!B:F,5,0)</f>
        <v>144.17 g/mol</v>
      </c>
      <c r="G524" s="5" t="str">
        <f>VLOOKUP(B524,[1]물질정보!B:G,6,0)</f>
        <v>C=CC(=O)OCCCCO</v>
      </c>
      <c r="H524" t="s">
        <v>79</v>
      </c>
      <c r="I524" t="s">
        <v>80</v>
      </c>
      <c r="J524" t="s">
        <v>81</v>
      </c>
      <c r="K524">
        <v>823</v>
      </c>
      <c r="L524" t="s">
        <v>158</v>
      </c>
      <c r="M524" t="s">
        <v>86</v>
      </c>
      <c r="N524" t="s">
        <v>165</v>
      </c>
      <c r="O524" t="s">
        <v>170</v>
      </c>
      <c r="P524">
        <v>48</v>
      </c>
      <c r="Q524" t="s">
        <v>31</v>
      </c>
      <c r="R524" t="s">
        <v>159</v>
      </c>
      <c r="S524" t="s">
        <v>167</v>
      </c>
      <c r="T524" t="s">
        <v>29</v>
      </c>
      <c r="U524" t="s">
        <v>29</v>
      </c>
      <c r="V524" s="6" t="s">
        <v>160</v>
      </c>
      <c r="W524" t="s">
        <v>86</v>
      </c>
      <c r="X524" t="s">
        <v>48</v>
      </c>
      <c r="Y524" s="6" t="s">
        <v>81</v>
      </c>
    </row>
    <row r="525" spans="2:25" x14ac:dyDescent="0.3">
      <c r="B525" s="5" t="s">
        <v>64</v>
      </c>
      <c r="C525" s="5" t="str">
        <f>VLOOKUP(B525,[1]물질정보!B:C,2,0)</f>
        <v>2478-10-6</v>
      </c>
      <c r="D525" t="str">
        <f>VLOOKUP(B525,[1]물질정보!B:D,3,0)</f>
        <v>4-hydroxybutyl acrylate</v>
      </c>
      <c r="E525" t="str">
        <f>VLOOKUP(B525,[1]물질정보!B:E,4,0)</f>
        <v>C7H12O3</v>
      </c>
      <c r="F525" t="str">
        <f>VLOOKUP(B525,[1]물질정보!B:F,5,0)</f>
        <v>144.17 g/mol</v>
      </c>
      <c r="G525" s="5" t="str">
        <f>VLOOKUP(B525,[1]물질정보!B:G,6,0)</f>
        <v>C=CC(=O)OCCCCO</v>
      </c>
      <c r="H525" t="s">
        <v>79</v>
      </c>
      <c r="I525" t="s">
        <v>80</v>
      </c>
      <c r="J525" t="s">
        <v>81</v>
      </c>
      <c r="K525">
        <v>921</v>
      </c>
      <c r="L525" t="s">
        <v>158</v>
      </c>
      <c r="M525" t="s">
        <v>86</v>
      </c>
      <c r="N525" t="s">
        <v>165</v>
      </c>
      <c r="O525" t="s">
        <v>174</v>
      </c>
      <c r="P525">
        <v>48</v>
      </c>
      <c r="Q525" t="s">
        <v>31</v>
      </c>
      <c r="R525" t="s">
        <v>159</v>
      </c>
      <c r="S525" t="s">
        <v>167</v>
      </c>
      <c r="T525" t="s">
        <v>29</v>
      </c>
      <c r="U525" t="s">
        <v>29</v>
      </c>
      <c r="V525" s="6" t="s">
        <v>160</v>
      </c>
      <c r="W525" t="s">
        <v>86</v>
      </c>
      <c r="X525" t="s">
        <v>48</v>
      </c>
      <c r="Y525" s="6" t="s">
        <v>81</v>
      </c>
    </row>
    <row r="526" spans="2:25" x14ac:dyDescent="0.3">
      <c r="B526" s="5" t="s">
        <v>64</v>
      </c>
      <c r="C526" s="5" t="str">
        <f>VLOOKUP(B526,[1]물질정보!B:C,2,0)</f>
        <v>2478-10-6</v>
      </c>
      <c r="D526" t="str">
        <f>VLOOKUP(B526,[1]물질정보!B:D,3,0)</f>
        <v>4-hydroxybutyl acrylate</v>
      </c>
      <c r="E526" t="str">
        <f>VLOOKUP(B526,[1]물질정보!B:E,4,0)</f>
        <v>C7H12O3</v>
      </c>
      <c r="F526" t="str">
        <f>VLOOKUP(B526,[1]물질정보!B:F,5,0)</f>
        <v>144.17 g/mol</v>
      </c>
      <c r="G526" s="5" t="str">
        <f>VLOOKUP(B526,[1]물질정보!B:G,6,0)</f>
        <v>C=CC(=O)OCCCCO</v>
      </c>
      <c r="H526" t="s">
        <v>79</v>
      </c>
      <c r="I526" t="s">
        <v>80</v>
      </c>
      <c r="J526" t="s">
        <v>81</v>
      </c>
      <c r="K526">
        <v>832</v>
      </c>
      <c r="L526" t="s">
        <v>158</v>
      </c>
      <c r="M526" t="s">
        <v>86</v>
      </c>
      <c r="N526" t="s">
        <v>165</v>
      </c>
      <c r="O526" t="s">
        <v>166</v>
      </c>
      <c r="P526" t="s">
        <v>29</v>
      </c>
      <c r="Q526" t="s">
        <v>29</v>
      </c>
      <c r="R526" t="s">
        <v>159</v>
      </c>
      <c r="S526" t="s">
        <v>167</v>
      </c>
      <c r="T526" t="s">
        <v>29</v>
      </c>
      <c r="U526" t="s">
        <v>29</v>
      </c>
      <c r="V526" s="6" t="s">
        <v>160</v>
      </c>
      <c r="W526" t="s">
        <v>86</v>
      </c>
      <c r="X526" t="s">
        <v>29</v>
      </c>
      <c r="Y526" s="6" t="s">
        <v>81</v>
      </c>
    </row>
    <row r="527" spans="2:25" x14ac:dyDescent="0.3">
      <c r="B527" s="5" t="s">
        <v>64</v>
      </c>
      <c r="C527" s="5" t="str">
        <f>VLOOKUP(B527,[1]물질정보!B:C,2,0)</f>
        <v>2478-10-6</v>
      </c>
      <c r="D527" t="str">
        <f>VLOOKUP(B527,[1]물질정보!B:D,3,0)</f>
        <v>4-hydroxybutyl acrylate</v>
      </c>
      <c r="E527" t="str">
        <f>VLOOKUP(B527,[1]물질정보!B:E,4,0)</f>
        <v>C7H12O3</v>
      </c>
      <c r="F527" t="str">
        <f>VLOOKUP(B527,[1]물질정보!B:F,5,0)</f>
        <v>144.17 g/mol</v>
      </c>
      <c r="G527" s="5" t="str">
        <f>VLOOKUP(B527,[1]물질정보!B:G,6,0)</f>
        <v>C=CC(=O)OCCCCO</v>
      </c>
      <c r="H527" t="s">
        <v>79</v>
      </c>
      <c r="I527" t="s">
        <v>80</v>
      </c>
      <c r="J527" t="s">
        <v>81</v>
      </c>
      <c r="K527">
        <v>520</v>
      </c>
      <c r="L527" t="s">
        <v>158</v>
      </c>
      <c r="M527" t="s">
        <v>120</v>
      </c>
      <c r="N527" t="s">
        <v>29</v>
      </c>
      <c r="O527" t="s">
        <v>166</v>
      </c>
      <c r="P527" t="s">
        <v>29</v>
      </c>
      <c r="Q527" t="s">
        <v>29</v>
      </c>
      <c r="R527" t="s">
        <v>159</v>
      </c>
      <c r="S527" t="s">
        <v>167</v>
      </c>
      <c r="T527" t="s">
        <v>29</v>
      </c>
      <c r="U527" t="s">
        <v>29</v>
      </c>
      <c r="V527" s="6" t="s">
        <v>160</v>
      </c>
      <c r="W527" t="s">
        <v>120</v>
      </c>
      <c r="X527" t="s">
        <v>29</v>
      </c>
      <c r="Y527" s="6" t="s">
        <v>81</v>
      </c>
    </row>
    <row r="528" spans="2:25" x14ac:dyDescent="0.3">
      <c r="B528" s="5" t="s">
        <v>59</v>
      </c>
      <c r="C528" s="5" t="str">
        <f>VLOOKUP(B528,[1]물질정보!B:C,2,0)</f>
        <v>2499-95-8</v>
      </c>
      <c r="D528" t="str">
        <f>VLOOKUP(B528,[1]물질정보!B:D,3,0)</f>
        <v>hexyl acrylate</v>
      </c>
      <c r="E528" t="str">
        <f>VLOOKUP(B528,[1]물질정보!B:E,4,0)</f>
        <v>C9H16O2</v>
      </c>
      <c r="F528" t="str">
        <f>VLOOKUP(B528,[1]물질정보!B:F,5,0)</f>
        <v>156.22 g/mol</v>
      </c>
      <c r="G528" s="5" t="str">
        <f>VLOOKUP(B528,[1]물질정보!B:G,6,0)</f>
        <v>CCCCCCOC(=O)C=C</v>
      </c>
      <c r="H528" t="s">
        <v>79</v>
      </c>
      <c r="I528" t="s">
        <v>80</v>
      </c>
      <c r="J528" t="s">
        <v>81</v>
      </c>
      <c r="K528">
        <v>23114</v>
      </c>
      <c r="L528" t="s">
        <v>161</v>
      </c>
      <c r="M528" t="s">
        <v>86</v>
      </c>
      <c r="N528" t="s">
        <v>29</v>
      </c>
      <c r="O528" t="s">
        <v>29</v>
      </c>
      <c r="P528" t="s">
        <v>29</v>
      </c>
      <c r="Q528" t="s">
        <v>29</v>
      </c>
      <c r="R528" t="s">
        <v>159</v>
      </c>
      <c r="S528" t="s">
        <v>29</v>
      </c>
      <c r="T528" t="s">
        <v>29</v>
      </c>
      <c r="U528" t="s">
        <v>29</v>
      </c>
      <c r="V528" s="6" t="s">
        <v>162</v>
      </c>
      <c r="W528" t="s">
        <v>86</v>
      </c>
      <c r="X528" t="s">
        <v>29</v>
      </c>
      <c r="Y528" s="6" t="s">
        <v>81</v>
      </c>
    </row>
    <row r="529" spans="2:25" x14ac:dyDescent="0.3">
      <c r="B529" s="5" t="s">
        <v>59</v>
      </c>
      <c r="C529" s="5" t="str">
        <f>VLOOKUP(B529,[1]물질정보!B:C,2,0)</f>
        <v>2499-95-8</v>
      </c>
      <c r="D529" t="str">
        <f>VLOOKUP(B529,[1]물질정보!B:D,3,0)</f>
        <v>hexyl acrylate</v>
      </c>
      <c r="E529" t="str">
        <f>VLOOKUP(B529,[1]물질정보!B:E,4,0)</f>
        <v>C9H16O2</v>
      </c>
      <c r="F529" t="str">
        <f>VLOOKUP(B529,[1]물질정보!B:F,5,0)</f>
        <v>156.22 g/mol</v>
      </c>
      <c r="G529" s="5" t="str">
        <f>VLOOKUP(B529,[1]물질정보!B:G,6,0)</f>
        <v>CCCCCCOC(=O)C=C</v>
      </c>
      <c r="H529" t="s">
        <v>79</v>
      </c>
      <c r="I529" t="s">
        <v>80</v>
      </c>
      <c r="J529" t="s">
        <v>81</v>
      </c>
      <c r="K529">
        <v>22932</v>
      </c>
      <c r="L529" t="s">
        <v>158</v>
      </c>
      <c r="M529" t="s">
        <v>86</v>
      </c>
      <c r="N529" t="s">
        <v>175</v>
      </c>
      <c r="O529" t="s">
        <v>170</v>
      </c>
      <c r="P529" t="s">
        <v>29</v>
      </c>
      <c r="Q529" t="s">
        <v>29</v>
      </c>
      <c r="R529" t="s">
        <v>159</v>
      </c>
      <c r="S529" t="s">
        <v>29</v>
      </c>
      <c r="T529" t="s">
        <v>29</v>
      </c>
      <c r="U529" t="s">
        <v>29</v>
      </c>
      <c r="V529" s="6" t="s">
        <v>160</v>
      </c>
      <c r="W529" t="s">
        <v>86</v>
      </c>
      <c r="X529" t="s">
        <v>29</v>
      </c>
      <c r="Y529" s="6" t="s">
        <v>81</v>
      </c>
    </row>
    <row r="530" spans="2:25" x14ac:dyDescent="0.3">
      <c r="B530" s="5" t="s">
        <v>125</v>
      </c>
      <c r="C530" s="5" t="str">
        <f>VLOOKUP(B530,[1]물질정보!B:C,2,0)</f>
        <v>-</v>
      </c>
      <c r="D530" t="str">
        <f>VLOOKUP(B530,[1]물질정보!B:D,3,0)</f>
        <v xml:space="preserve">9-(9H-Carbazol-9-yl)-7H-benzo[c]carbazole </v>
      </c>
      <c r="E530" t="str">
        <f>VLOOKUP(B530,[1]물질정보!B:E,4,0)</f>
        <v>C28H18N2</v>
      </c>
      <c r="F530" t="str">
        <f>VLOOKUP(B530,[1]물질정보!B:F,5,0)</f>
        <v>382.5 g/mol</v>
      </c>
      <c r="G530" s="5" t="str">
        <f>VLOOKUP(B530,[1]물질정보!B:G,6,0)</f>
        <v>C1=CC=C2C(=C1)C=CC3=C2C4=C(N3)C=C(C=C4)N5C6=CC=CC=C6C7=CC=CC=C75</v>
      </c>
      <c r="H530" t="s">
        <v>79</v>
      </c>
      <c r="I530" t="s">
        <v>80</v>
      </c>
      <c r="J530" t="s">
        <v>81</v>
      </c>
      <c r="K530">
        <v>2000</v>
      </c>
      <c r="L530" t="s">
        <v>161</v>
      </c>
      <c r="M530" t="s">
        <v>29</v>
      </c>
      <c r="N530" t="s">
        <v>29</v>
      </c>
      <c r="O530" t="s">
        <v>29</v>
      </c>
      <c r="P530" t="s">
        <v>29</v>
      </c>
      <c r="Q530" t="s">
        <v>29</v>
      </c>
      <c r="R530" t="s">
        <v>159</v>
      </c>
      <c r="S530" t="s">
        <v>29</v>
      </c>
      <c r="T530" t="s">
        <v>29</v>
      </c>
      <c r="U530" t="s">
        <v>29</v>
      </c>
      <c r="V530" s="6" t="s">
        <v>168</v>
      </c>
      <c r="W530" t="s">
        <v>29</v>
      </c>
      <c r="X530" t="s">
        <v>29</v>
      </c>
      <c r="Y530" s="6" t="s">
        <v>81</v>
      </c>
    </row>
    <row r="531" spans="2:25" x14ac:dyDescent="0.3">
      <c r="B531" s="5" t="s">
        <v>71</v>
      </c>
      <c r="C531" s="5" t="str">
        <f>VLOOKUP(B531,[1]물질정보!B:C,2,0)</f>
        <v>97-63-2</v>
      </c>
      <c r="D531" t="str">
        <f>VLOOKUP(B531,[1]물질정보!B:D,3,0)</f>
        <v>ethyl methacrylate</v>
      </c>
      <c r="E531" t="str">
        <f>VLOOKUP(B531,[1]물질정보!B:E,4,0)</f>
        <v>C6H10O2</v>
      </c>
      <c r="F531" t="str">
        <f>VLOOKUP(B531,[1]물질정보!B:F,5,0)</f>
        <v>114.14 g/mol</v>
      </c>
      <c r="G531" s="5" t="str">
        <f>VLOOKUP(B531,[1]물질정보!B:G,6,0)</f>
        <v>CCOC(=O)C(=C)C</v>
      </c>
      <c r="H531" t="s">
        <v>79</v>
      </c>
      <c r="I531" t="s">
        <v>176</v>
      </c>
      <c r="J531" t="s">
        <v>49</v>
      </c>
      <c r="K531">
        <v>55</v>
      </c>
      <c r="L531" t="s">
        <v>177</v>
      </c>
      <c r="M531" t="s">
        <v>86</v>
      </c>
      <c r="N531" t="s">
        <v>29</v>
      </c>
      <c r="O531" t="s">
        <v>166</v>
      </c>
      <c r="P531">
        <v>4</v>
      </c>
      <c r="Q531" t="s">
        <v>31</v>
      </c>
      <c r="R531" t="s">
        <v>159</v>
      </c>
      <c r="S531" t="s">
        <v>178</v>
      </c>
      <c r="T531" t="s">
        <v>29</v>
      </c>
      <c r="U531" t="s">
        <v>29</v>
      </c>
      <c r="V531" s="6" t="s">
        <v>160</v>
      </c>
      <c r="W531" t="s">
        <v>86</v>
      </c>
      <c r="X531" t="s">
        <v>179</v>
      </c>
      <c r="Y531" s="6" t="s">
        <v>49</v>
      </c>
    </row>
    <row r="532" spans="2:25" x14ac:dyDescent="0.3">
      <c r="B532" s="5" t="s">
        <v>71</v>
      </c>
      <c r="C532" s="5" t="str">
        <f>VLOOKUP(B532,[1]물질정보!B:C,2,0)</f>
        <v>97-63-2</v>
      </c>
      <c r="D532" t="str">
        <f>VLOOKUP(B532,[1]물질정보!B:D,3,0)</f>
        <v>ethyl methacrylate</v>
      </c>
      <c r="E532" t="str">
        <f>VLOOKUP(B532,[1]물질정보!B:E,4,0)</f>
        <v>C6H10O2</v>
      </c>
      <c r="F532" t="str">
        <f>VLOOKUP(B532,[1]물질정보!B:F,5,0)</f>
        <v>114.14 g/mol</v>
      </c>
      <c r="G532" s="5" t="str">
        <f>VLOOKUP(B532,[1]물질정보!B:G,6,0)</f>
        <v>CCOC(=O)C(=C)C</v>
      </c>
      <c r="H532" t="s">
        <v>79</v>
      </c>
      <c r="I532" t="s">
        <v>176</v>
      </c>
      <c r="J532" t="s">
        <v>81</v>
      </c>
      <c r="K532">
        <v>38748.5</v>
      </c>
      <c r="L532" t="s">
        <v>161</v>
      </c>
      <c r="M532" t="s">
        <v>86</v>
      </c>
      <c r="N532" t="s">
        <v>29</v>
      </c>
      <c r="O532" t="s">
        <v>29</v>
      </c>
      <c r="P532" t="s">
        <v>29</v>
      </c>
      <c r="Q532" t="s">
        <v>29</v>
      </c>
      <c r="R532" t="s">
        <v>159</v>
      </c>
      <c r="S532" t="s">
        <v>29</v>
      </c>
      <c r="T532" t="s">
        <v>29</v>
      </c>
      <c r="U532" t="s">
        <v>29</v>
      </c>
      <c r="V532" s="6" t="s">
        <v>163</v>
      </c>
      <c r="W532" t="s">
        <v>86</v>
      </c>
      <c r="X532" t="s">
        <v>29</v>
      </c>
      <c r="Y532" s="6" t="s">
        <v>81</v>
      </c>
    </row>
    <row r="533" spans="2:25" x14ac:dyDescent="0.3">
      <c r="B533" s="5" t="s">
        <v>71</v>
      </c>
      <c r="C533" s="5" t="str">
        <f>VLOOKUP(B533,[1]물질정보!B:C,2,0)</f>
        <v>97-63-2</v>
      </c>
      <c r="D533" t="str">
        <f>VLOOKUP(B533,[1]물질정보!B:D,3,0)</f>
        <v>ethyl methacrylate</v>
      </c>
      <c r="E533" t="str">
        <f>VLOOKUP(B533,[1]물질정보!B:E,4,0)</f>
        <v>C6H10O2</v>
      </c>
      <c r="F533" t="str">
        <f>VLOOKUP(B533,[1]물질정보!B:F,5,0)</f>
        <v>114.14 g/mol</v>
      </c>
      <c r="G533" s="5" t="str">
        <f>VLOOKUP(B533,[1]물질정보!B:G,6,0)</f>
        <v>CCOC(=O)C(=C)C</v>
      </c>
      <c r="H533" t="s">
        <v>79</v>
      </c>
      <c r="I533" t="s">
        <v>176</v>
      </c>
      <c r="J533" t="s">
        <v>49</v>
      </c>
      <c r="K533">
        <v>8300</v>
      </c>
      <c r="L533" t="s">
        <v>180</v>
      </c>
      <c r="M533" t="s">
        <v>86</v>
      </c>
      <c r="N533" t="s">
        <v>29</v>
      </c>
      <c r="O533" t="s">
        <v>29</v>
      </c>
      <c r="P533" t="s">
        <v>29</v>
      </c>
      <c r="Q533" t="s">
        <v>29</v>
      </c>
      <c r="R533" t="s">
        <v>159</v>
      </c>
      <c r="S533" t="s">
        <v>29</v>
      </c>
      <c r="T533" t="s">
        <v>29</v>
      </c>
      <c r="U533" t="s">
        <v>29</v>
      </c>
      <c r="V533" s="6" t="s">
        <v>163</v>
      </c>
      <c r="W533" t="s">
        <v>86</v>
      </c>
      <c r="X533" t="s">
        <v>29</v>
      </c>
      <c r="Y533" s="6" t="s">
        <v>49</v>
      </c>
    </row>
    <row r="534" spans="2:25" x14ac:dyDescent="0.3">
      <c r="B534" s="5" t="s">
        <v>71</v>
      </c>
      <c r="C534" s="5" t="str">
        <f>VLOOKUP(B534,[1]물질정보!B:C,2,0)</f>
        <v>97-63-2</v>
      </c>
      <c r="D534" t="str">
        <f>VLOOKUP(B534,[1]물질정보!B:D,3,0)</f>
        <v>ethyl methacrylate</v>
      </c>
      <c r="E534" t="str">
        <f>VLOOKUP(B534,[1]물질정보!B:E,4,0)</f>
        <v>C6H10O2</v>
      </c>
      <c r="F534" t="str">
        <f>VLOOKUP(B534,[1]물질정보!B:F,5,0)</f>
        <v>114.14 g/mol</v>
      </c>
      <c r="G534" s="5" t="str">
        <f>VLOOKUP(B534,[1]물질정보!B:G,6,0)</f>
        <v>CCOC(=O)C(=C)C</v>
      </c>
      <c r="H534" t="s">
        <v>79</v>
      </c>
      <c r="I534" t="s">
        <v>176</v>
      </c>
      <c r="J534" t="s">
        <v>49</v>
      </c>
      <c r="K534">
        <v>55</v>
      </c>
      <c r="L534" t="s">
        <v>39</v>
      </c>
      <c r="M534" t="s">
        <v>86</v>
      </c>
      <c r="N534" t="s">
        <v>29</v>
      </c>
      <c r="O534" t="s">
        <v>29</v>
      </c>
      <c r="P534">
        <v>4</v>
      </c>
      <c r="Q534" t="s">
        <v>31</v>
      </c>
      <c r="R534" t="s">
        <v>159</v>
      </c>
      <c r="S534" t="s">
        <v>178</v>
      </c>
      <c r="T534" t="s">
        <v>29</v>
      </c>
      <c r="U534" t="s">
        <v>29</v>
      </c>
      <c r="V534" s="6" t="s">
        <v>163</v>
      </c>
      <c r="W534" t="s">
        <v>86</v>
      </c>
      <c r="X534" t="s">
        <v>179</v>
      </c>
      <c r="Y534" s="6" t="s">
        <v>49</v>
      </c>
    </row>
    <row r="535" spans="2:25" x14ac:dyDescent="0.3">
      <c r="B535" s="5" t="s">
        <v>25</v>
      </c>
      <c r="C535" s="5" t="str">
        <f>VLOOKUP(B535,[1]물질정보!B:C,2,0)</f>
        <v>97-88-1</v>
      </c>
      <c r="D535" t="str">
        <f>VLOOKUP(B535,[1]물질정보!B:D,3,0)</f>
        <v>butyl methacrylate</v>
      </c>
      <c r="E535" t="str">
        <f>VLOOKUP(B535,[1]물질정보!B:E,4,0)</f>
        <v>C8H14O2</v>
      </c>
      <c r="F535" t="str">
        <f>VLOOKUP(B535,[1]물질정보!B:F,5,0)</f>
        <v>142.2 g/mol</v>
      </c>
      <c r="G535" s="5" t="str">
        <f>VLOOKUP(B535,[1]물질정보!B:G,6,0)</f>
        <v>CCCCOC(=O)C(=C)C</v>
      </c>
      <c r="H535" t="s">
        <v>79</v>
      </c>
      <c r="I535" t="s">
        <v>176</v>
      </c>
      <c r="J535" t="s">
        <v>181</v>
      </c>
      <c r="K535">
        <v>27</v>
      </c>
      <c r="L535" t="s">
        <v>177</v>
      </c>
      <c r="M535" t="s">
        <v>86</v>
      </c>
      <c r="N535" t="s">
        <v>165</v>
      </c>
      <c r="O535" t="s">
        <v>166</v>
      </c>
      <c r="P535">
        <v>4</v>
      </c>
      <c r="Q535" t="s">
        <v>31</v>
      </c>
      <c r="R535" t="s">
        <v>159</v>
      </c>
      <c r="S535" t="s">
        <v>178</v>
      </c>
      <c r="T535" t="s">
        <v>29</v>
      </c>
      <c r="U535" t="s">
        <v>29</v>
      </c>
      <c r="V535" s="6" t="s">
        <v>160</v>
      </c>
      <c r="W535" t="s">
        <v>86</v>
      </c>
      <c r="X535" t="s">
        <v>179</v>
      </c>
      <c r="Y535" s="6" t="s">
        <v>181</v>
      </c>
    </row>
    <row r="536" spans="2:25" x14ac:dyDescent="0.3">
      <c r="B536" s="5" t="s">
        <v>25</v>
      </c>
      <c r="C536" s="5" t="str">
        <f>VLOOKUP(B536,[1]물질정보!B:C,2,0)</f>
        <v>97-88-1</v>
      </c>
      <c r="D536" t="str">
        <f>VLOOKUP(B536,[1]물질정보!B:D,3,0)</f>
        <v>butyl methacrylate</v>
      </c>
      <c r="E536" t="str">
        <f>VLOOKUP(B536,[1]물질정보!B:E,4,0)</f>
        <v>C8H14O2</v>
      </c>
      <c r="F536" t="str">
        <f>VLOOKUP(B536,[1]물질정보!B:F,5,0)</f>
        <v>142.2 g/mol</v>
      </c>
      <c r="G536" s="5" t="str">
        <f>VLOOKUP(B536,[1]물질정보!B:G,6,0)</f>
        <v>CCCCOC(=O)C(=C)C</v>
      </c>
      <c r="H536" t="s">
        <v>79</v>
      </c>
      <c r="I536" t="s">
        <v>176</v>
      </c>
      <c r="J536" t="s">
        <v>49</v>
      </c>
      <c r="K536">
        <v>19.7</v>
      </c>
      <c r="L536" t="s">
        <v>39</v>
      </c>
      <c r="M536" t="s">
        <v>86</v>
      </c>
      <c r="N536" t="s">
        <v>29</v>
      </c>
      <c r="O536" t="s">
        <v>29</v>
      </c>
      <c r="P536" t="s">
        <v>29</v>
      </c>
      <c r="Q536" t="s">
        <v>29</v>
      </c>
      <c r="R536" t="s">
        <v>159</v>
      </c>
      <c r="S536" t="s">
        <v>29</v>
      </c>
      <c r="T536" t="s">
        <v>29</v>
      </c>
      <c r="U536" t="s">
        <v>29</v>
      </c>
      <c r="V536" s="6" t="s">
        <v>163</v>
      </c>
      <c r="W536" t="s">
        <v>86</v>
      </c>
      <c r="X536" t="s">
        <v>29</v>
      </c>
      <c r="Y536" s="6" t="s">
        <v>49</v>
      </c>
    </row>
    <row r="537" spans="2:25" x14ac:dyDescent="0.3">
      <c r="B537" s="5" t="s">
        <v>25</v>
      </c>
      <c r="C537" s="5" t="str">
        <f>VLOOKUP(B537,[1]물질정보!B:C,2,0)</f>
        <v>97-88-1</v>
      </c>
      <c r="D537" t="str">
        <f>VLOOKUP(B537,[1]물질정보!B:D,3,0)</f>
        <v>butyl methacrylate</v>
      </c>
      <c r="E537" t="str">
        <f>VLOOKUP(B537,[1]물질정보!B:E,4,0)</f>
        <v>C8H14O2</v>
      </c>
      <c r="F537" t="str">
        <f>VLOOKUP(B537,[1]물질정보!B:F,5,0)</f>
        <v>142.2 g/mol</v>
      </c>
      <c r="G537" s="5" t="str">
        <f>VLOOKUP(B537,[1]물질정보!B:G,6,0)</f>
        <v>CCCCOC(=O)C(=C)C</v>
      </c>
      <c r="H537" t="s">
        <v>79</v>
      </c>
      <c r="I537" t="s">
        <v>176</v>
      </c>
      <c r="J537" t="s">
        <v>181</v>
      </c>
      <c r="K537">
        <v>5117.99</v>
      </c>
      <c r="L537" t="s">
        <v>182</v>
      </c>
      <c r="M537" t="s">
        <v>86</v>
      </c>
      <c r="N537" t="s">
        <v>29</v>
      </c>
      <c r="O537" t="s">
        <v>29</v>
      </c>
      <c r="P537" t="s">
        <v>29</v>
      </c>
      <c r="Q537" t="s">
        <v>29</v>
      </c>
      <c r="R537" t="s">
        <v>159</v>
      </c>
      <c r="S537" t="s">
        <v>29</v>
      </c>
      <c r="T537" t="s">
        <v>29</v>
      </c>
      <c r="U537" t="s">
        <v>29</v>
      </c>
      <c r="V537" s="6" t="s">
        <v>162</v>
      </c>
      <c r="W537" t="s">
        <v>86</v>
      </c>
      <c r="X537" t="s">
        <v>29</v>
      </c>
      <c r="Y537" s="6" t="s">
        <v>181</v>
      </c>
    </row>
    <row r="538" spans="2:25" x14ac:dyDescent="0.3">
      <c r="B538" s="5" t="s">
        <v>25</v>
      </c>
      <c r="C538" s="5" t="str">
        <f>VLOOKUP(B538,[1]물질정보!B:C,2,0)</f>
        <v>97-88-1</v>
      </c>
      <c r="D538" t="str">
        <f>VLOOKUP(B538,[1]물질정보!B:D,3,0)</f>
        <v>butyl methacrylate</v>
      </c>
      <c r="E538" t="str">
        <f>VLOOKUP(B538,[1]물질정보!B:E,4,0)</f>
        <v>C8H14O2</v>
      </c>
      <c r="F538" t="str">
        <f>VLOOKUP(B538,[1]물질정보!B:F,5,0)</f>
        <v>142.2 g/mol</v>
      </c>
      <c r="G538" s="5" t="str">
        <f>VLOOKUP(B538,[1]물질정보!B:G,6,0)</f>
        <v>CCCCOC(=O)C(=C)C</v>
      </c>
      <c r="H538" t="s">
        <v>79</v>
      </c>
      <c r="I538" t="s">
        <v>176</v>
      </c>
      <c r="J538" t="s">
        <v>49</v>
      </c>
      <c r="K538">
        <v>5000</v>
      </c>
      <c r="L538" t="s">
        <v>182</v>
      </c>
      <c r="M538" t="s">
        <v>86</v>
      </c>
      <c r="N538" t="s">
        <v>29</v>
      </c>
      <c r="O538" t="s">
        <v>29</v>
      </c>
      <c r="P538" t="s">
        <v>29</v>
      </c>
      <c r="Q538" t="s">
        <v>29</v>
      </c>
      <c r="R538" t="s">
        <v>159</v>
      </c>
      <c r="S538" t="s">
        <v>29</v>
      </c>
      <c r="T538" t="s">
        <v>29</v>
      </c>
      <c r="U538" t="s">
        <v>29</v>
      </c>
      <c r="V538" s="6" t="s">
        <v>162</v>
      </c>
      <c r="W538" t="s">
        <v>86</v>
      </c>
      <c r="X538" t="s">
        <v>29</v>
      </c>
      <c r="Y538" s="6" t="s">
        <v>49</v>
      </c>
    </row>
    <row r="539" spans="2:25" x14ac:dyDescent="0.3">
      <c r="B539" s="5" t="s">
        <v>25</v>
      </c>
      <c r="C539" s="5" t="str">
        <f>VLOOKUP(B539,[1]물질정보!B:C,2,0)</f>
        <v>97-88-1</v>
      </c>
      <c r="D539" t="str">
        <f>VLOOKUP(B539,[1]물질정보!B:D,3,0)</f>
        <v>butyl methacrylate</v>
      </c>
      <c r="E539" t="str">
        <f>VLOOKUP(B539,[1]물질정보!B:E,4,0)</f>
        <v>C8H14O2</v>
      </c>
      <c r="F539" t="str">
        <f>VLOOKUP(B539,[1]물질정보!B:F,5,0)</f>
        <v>142.2 g/mol</v>
      </c>
      <c r="G539" s="5" t="str">
        <f>VLOOKUP(B539,[1]물질정보!B:G,6,0)</f>
        <v>CCCCOC(=O)C(=C)C</v>
      </c>
      <c r="H539" t="s">
        <v>79</v>
      </c>
      <c r="I539" t="s">
        <v>176</v>
      </c>
      <c r="J539" t="s">
        <v>49</v>
      </c>
      <c r="K539">
        <v>28556.1</v>
      </c>
      <c r="L539" t="s">
        <v>182</v>
      </c>
      <c r="M539" t="s">
        <v>86</v>
      </c>
      <c r="N539" t="s">
        <v>29</v>
      </c>
      <c r="O539" t="s">
        <v>29</v>
      </c>
      <c r="P539" t="s">
        <v>29</v>
      </c>
      <c r="Q539" t="s">
        <v>29</v>
      </c>
      <c r="R539" t="s">
        <v>159</v>
      </c>
      <c r="S539" t="s">
        <v>29</v>
      </c>
      <c r="T539" t="s">
        <v>29</v>
      </c>
      <c r="U539" t="s">
        <v>29</v>
      </c>
      <c r="V539" s="6" t="s">
        <v>162</v>
      </c>
      <c r="W539" t="s">
        <v>86</v>
      </c>
      <c r="X539" t="s">
        <v>29</v>
      </c>
      <c r="Y539" s="6" t="s">
        <v>49</v>
      </c>
    </row>
    <row r="540" spans="2:25" x14ac:dyDescent="0.3">
      <c r="B540" s="5" t="s">
        <v>25</v>
      </c>
      <c r="C540" s="5" t="str">
        <f>VLOOKUP(B540,[1]물질정보!B:C,2,0)</f>
        <v>97-88-1</v>
      </c>
      <c r="D540" t="str">
        <f>VLOOKUP(B540,[1]물질정보!B:D,3,0)</f>
        <v>butyl methacrylate</v>
      </c>
      <c r="E540" t="str">
        <f>VLOOKUP(B540,[1]물질정보!B:E,4,0)</f>
        <v>C8H14O2</v>
      </c>
      <c r="F540" t="str">
        <f>VLOOKUP(B540,[1]물질정보!B:F,5,0)</f>
        <v>142.2 g/mol</v>
      </c>
      <c r="G540" s="5" t="str">
        <f>VLOOKUP(B540,[1]물질정보!B:G,6,0)</f>
        <v>CCCCOC(=O)C(=C)C</v>
      </c>
      <c r="H540" t="s">
        <v>79</v>
      </c>
      <c r="I540" t="s">
        <v>176</v>
      </c>
      <c r="J540" t="s">
        <v>49</v>
      </c>
      <c r="K540">
        <v>26100</v>
      </c>
      <c r="L540" t="s">
        <v>182</v>
      </c>
      <c r="M540" t="s">
        <v>83</v>
      </c>
      <c r="N540" t="s">
        <v>29</v>
      </c>
      <c r="O540" t="s">
        <v>29</v>
      </c>
      <c r="P540" t="s">
        <v>29</v>
      </c>
      <c r="Q540" t="s">
        <v>29</v>
      </c>
      <c r="R540" t="s">
        <v>159</v>
      </c>
      <c r="S540" t="s">
        <v>29</v>
      </c>
      <c r="T540" t="s">
        <v>29</v>
      </c>
      <c r="U540" t="s">
        <v>29</v>
      </c>
      <c r="V540" s="6" t="s">
        <v>162</v>
      </c>
      <c r="W540" t="s">
        <v>83</v>
      </c>
      <c r="X540" t="s">
        <v>29</v>
      </c>
      <c r="Y540" s="6" t="s">
        <v>49</v>
      </c>
    </row>
    <row r="541" spans="2:25" x14ac:dyDescent="0.3">
      <c r="B541" s="5" t="s">
        <v>25</v>
      </c>
      <c r="C541" s="5" t="str">
        <f>VLOOKUP(B541,[1]물질정보!B:C,2,0)</f>
        <v>97-88-1</v>
      </c>
      <c r="D541" t="str">
        <f>VLOOKUP(B541,[1]물질정보!B:D,3,0)</f>
        <v>butyl methacrylate</v>
      </c>
      <c r="E541" t="str">
        <f>VLOOKUP(B541,[1]물질정보!B:E,4,0)</f>
        <v>C8H14O2</v>
      </c>
      <c r="F541" t="str">
        <f>VLOOKUP(B541,[1]물질정보!B:F,5,0)</f>
        <v>142.2 g/mol</v>
      </c>
      <c r="G541" s="5" t="str">
        <f>VLOOKUP(B541,[1]물질정보!B:G,6,0)</f>
        <v>CCCCOC(=O)C(=C)C</v>
      </c>
      <c r="H541" t="s">
        <v>79</v>
      </c>
      <c r="I541" t="s">
        <v>176</v>
      </c>
      <c r="J541" t="s">
        <v>49</v>
      </c>
      <c r="K541">
        <v>29</v>
      </c>
      <c r="L541" t="s">
        <v>39</v>
      </c>
      <c r="M541" t="s">
        <v>86</v>
      </c>
      <c r="N541" t="s">
        <v>29</v>
      </c>
      <c r="O541" t="s">
        <v>29</v>
      </c>
      <c r="P541">
        <v>4</v>
      </c>
      <c r="Q541" t="s">
        <v>31</v>
      </c>
      <c r="R541" t="s">
        <v>159</v>
      </c>
      <c r="S541" t="s">
        <v>29</v>
      </c>
      <c r="T541" t="s">
        <v>29</v>
      </c>
      <c r="U541" t="s">
        <v>29</v>
      </c>
      <c r="V541" s="6" t="s">
        <v>168</v>
      </c>
      <c r="W541" t="s">
        <v>86</v>
      </c>
      <c r="X541" t="s">
        <v>179</v>
      </c>
      <c r="Y541" s="6" t="s">
        <v>49</v>
      </c>
    </row>
    <row r="542" spans="2:25" x14ac:dyDescent="0.3">
      <c r="B542" s="5" t="s">
        <v>25</v>
      </c>
      <c r="C542" s="5" t="str">
        <f>VLOOKUP(B542,[1]물질정보!B:C,2,0)</f>
        <v>97-88-1</v>
      </c>
      <c r="D542" t="str">
        <f>VLOOKUP(B542,[1]물질정보!B:D,3,0)</f>
        <v>butyl methacrylate</v>
      </c>
      <c r="E542" t="str">
        <f>VLOOKUP(B542,[1]물질정보!B:E,4,0)</f>
        <v>C8H14O2</v>
      </c>
      <c r="F542" t="str">
        <f>VLOOKUP(B542,[1]물질정보!B:F,5,0)</f>
        <v>142.2 g/mol</v>
      </c>
      <c r="G542" s="5" t="str">
        <f>VLOOKUP(B542,[1]물질정보!B:G,6,0)</f>
        <v>CCCCOC(=O)C(=C)C</v>
      </c>
      <c r="H542" t="s">
        <v>79</v>
      </c>
      <c r="I542" t="s">
        <v>176</v>
      </c>
      <c r="J542" t="s">
        <v>49</v>
      </c>
      <c r="K542">
        <v>29</v>
      </c>
      <c r="L542" t="s">
        <v>39</v>
      </c>
      <c r="M542" t="s">
        <v>86</v>
      </c>
      <c r="N542" t="s">
        <v>29</v>
      </c>
      <c r="O542" t="s">
        <v>29</v>
      </c>
      <c r="P542">
        <v>4</v>
      </c>
      <c r="Q542" t="s">
        <v>31</v>
      </c>
      <c r="R542" t="s">
        <v>159</v>
      </c>
      <c r="S542" t="s">
        <v>29</v>
      </c>
      <c r="T542" t="s">
        <v>29</v>
      </c>
      <c r="U542" t="s">
        <v>29</v>
      </c>
      <c r="V542" s="6" t="s">
        <v>169</v>
      </c>
      <c r="W542" t="s">
        <v>86</v>
      </c>
      <c r="X542" t="s">
        <v>179</v>
      </c>
      <c r="Y542" s="6" t="s">
        <v>49</v>
      </c>
    </row>
    <row r="543" spans="2:25" x14ac:dyDescent="0.3">
      <c r="B543" s="5" t="s">
        <v>77</v>
      </c>
      <c r="C543" s="5" t="str">
        <f>VLOOKUP(B543,[1]물질정보!B:C,2,0)</f>
        <v>140-88-5</v>
      </c>
      <c r="D543" t="str">
        <f>VLOOKUP(B543,[1]물질정보!B:D,3,0)</f>
        <v>ethyl acrylate</v>
      </c>
      <c r="E543" t="str">
        <f>VLOOKUP(B543,[1]물질정보!B:E,4,0)</f>
        <v>C5H8O2</v>
      </c>
      <c r="F543" t="str">
        <f>VLOOKUP(B543,[1]물질정보!B:F,5,0)</f>
        <v>100.12 g/mol</v>
      </c>
      <c r="G543" s="5" t="str">
        <f>VLOOKUP(B543,[1]물질정보!B:G,6,0)</f>
        <v>CCOC(=O)C=C</v>
      </c>
      <c r="H543" t="s">
        <v>79</v>
      </c>
      <c r="I543" t="s">
        <v>176</v>
      </c>
      <c r="J543" t="s">
        <v>49</v>
      </c>
      <c r="K543">
        <v>9.1370000000000005</v>
      </c>
      <c r="L543" t="s">
        <v>177</v>
      </c>
      <c r="M543" t="s">
        <v>86</v>
      </c>
      <c r="N543" t="s">
        <v>175</v>
      </c>
      <c r="O543" t="s">
        <v>166</v>
      </c>
      <c r="P543">
        <v>4</v>
      </c>
      <c r="Q543" t="s">
        <v>31</v>
      </c>
      <c r="R543" t="s">
        <v>159</v>
      </c>
      <c r="S543" t="s">
        <v>178</v>
      </c>
      <c r="T543" t="s">
        <v>29</v>
      </c>
      <c r="U543" t="s">
        <v>29</v>
      </c>
      <c r="V543" s="6" t="s">
        <v>160</v>
      </c>
      <c r="W543" t="s">
        <v>86</v>
      </c>
      <c r="X543" t="s">
        <v>179</v>
      </c>
      <c r="Y543" s="6" t="s">
        <v>49</v>
      </c>
    </row>
    <row r="544" spans="2:25" x14ac:dyDescent="0.3">
      <c r="B544" s="5" t="s">
        <v>77</v>
      </c>
      <c r="C544" s="5" t="str">
        <f>VLOOKUP(B544,[1]물질정보!B:C,2,0)</f>
        <v>140-88-5</v>
      </c>
      <c r="D544" t="str">
        <f>VLOOKUP(B544,[1]물질정보!B:D,3,0)</f>
        <v>ethyl acrylate</v>
      </c>
      <c r="E544" t="str">
        <f>VLOOKUP(B544,[1]물질정보!B:E,4,0)</f>
        <v>C5H8O2</v>
      </c>
      <c r="F544" t="str">
        <f>VLOOKUP(B544,[1]물질정보!B:F,5,0)</f>
        <v>100.12 g/mol</v>
      </c>
      <c r="G544" s="5" t="str">
        <f>VLOOKUP(B544,[1]물질정보!B:G,6,0)</f>
        <v>CCOC(=O)C=C</v>
      </c>
      <c r="H544" t="s">
        <v>79</v>
      </c>
      <c r="I544" t="s">
        <v>176</v>
      </c>
      <c r="J544" t="s">
        <v>49</v>
      </c>
      <c r="K544" t="s">
        <v>183</v>
      </c>
      <c r="L544" t="s">
        <v>177</v>
      </c>
      <c r="M544" t="s">
        <v>86</v>
      </c>
      <c r="N544" t="s">
        <v>165</v>
      </c>
      <c r="O544" t="s">
        <v>166</v>
      </c>
      <c r="P544">
        <v>1</v>
      </c>
      <c r="Q544" t="s">
        <v>31</v>
      </c>
      <c r="R544" t="s">
        <v>159</v>
      </c>
      <c r="S544" t="s">
        <v>178</v>
      </c>
      <c r="T544" t="s">
        <v>29</v>
      </c>
      <c r="U544" t="s">
        <v>29</v>
      </c>
      <c r="V544" s="6" t="s">
        <v>160</v>
      </c>
      <c r="W544" t="s">
        <v>86</v>
      </c>
      <c r="X544" t="s">
        <v>184</v>
      </c>
      <c r="Y544" s="6" t="s">
        <v>49</v>
      </c>
    </row>
    <row r="545" spans="2:25" x14ac:dyDescent="0.3">
      <c r="B545" s="5" t="s">
        <v>77</v>
      </c>
      <c r="C545" s="5" t="str">
        <f>VLOOKUP(B545,[1]물질정보!B:C,2,0)</f>
        <v>140-88-5</v>
      </c>
      <c r="D545" t="str">
        <f>VLOOKUP(B545,[1]물질정보!B:D,3,0)</f>
        <v>ethyl acrylate</v>
      </c>
      <c r="E545" t="str">
        <f>VLOOKUP(B545,[1]물질정보!B:E,4,0)</f>
        <v>C5H8O2</v>
      </c>
      <c r="F545" t="str">
        <f>VLOOKUP(B545,[1]물질정보!B:F,5,0)</f>
        <v>100.12 g/mol</v>
      </c>
      <c r="G545" s="5" t="str">
        <f>VLOOKUP(B545,[1]물질정보!B:G,6,0)</f>
        <v>CCOC(=O)C=C</v>
      </c>
      <c r="H545" t="s">
        <v>79</v>
      </c>
      <c r="I545" t="s">
        <v>176</v>
      </c>
      <c r="J545" t="s">
        <v>49</v>
      </c>
      <c r="K545" t="s">
        <v>185</v>
      </c>
      <c r="L545" t="s">
        <v>177</v>
      </c>
      <c r="M545" t="s">
        <v>86</v>
      </c>
      <c r="N545" t="s">
        <v>165</v>
      </c>
      <c r="O545" t="s">
        <v>166</v>
      </c>
      <c r="P545">
        <v>4</v>
      </c>
      <c r="Q545" t="s">
        <v>31</v>
      </c>
      <c r="R545" t="s">
        <v>159</v>
      </c>
      <c r="S545" t="s">
        <v>178</v>
      </c>
      <c r="T545" t="s">
        <v>29</v>
      </c>
      <c r="U545" t="s">
        <v>29</v>
      </c>
      <c r="V545" s="6" t="s">
        <v>160</v>
      </c>
      <c r="W545" t="s">
        <v>86</v>
      </c>
      <c r="X545" t="s">
        <v>179</v>
      </c>
      <c r="Y545" s="6" t="s">
        <v>49</v>
      </c>
    </row>
    <row r="546" spans="2:25" x14ac:dyDescent="0.3">
      <c r="B546" s="5" t="s">
        <v>77</v>
      </c>
      <c r="C546" s="5" t="str">
        <f>VLOOKUP(B546,[1]물질정보!B:C,2,0)</f>
        <v>140-88-5</v>
      </c>
      <c r="D546" t="str">
        <f>VLOOKUP(B546,[1]물질정보!B:D,3,0)</f>
        <v>ethyl acrylate</v>
      </c>
      <c r="E546" t="str">
        <f>VLOOKUP(B546,[1]물질정보!B:E,4,0)</f>
        <v>C5H8O2</v>
      </c>
      <c r="F546" t="str">
        <f>VLOOKUP(B546,[1]물질정보!B:F,5,0)</f>
        <v>100.12 g/mol</v>
      </c>
      <c r="G546" s="5" t="str">
        <f>VLOOKUP(B546,[1]물질정보!B:G,6,0)</f>
        <v>CCOC(=O)C=C</v>
      </c>
      <c r="H546" t="s">
        <v>79</v>
      </c>
      <c r="I546" t="s">
        <v>176</v>
      </c>
      <c r="J546" t="s">
        <v>49</v>
      </c>
      <c r="K546">
        <v>175</v>
      </c>
      <c r="L546" t="s">
        <v>177</v>
      </c>
      <c r="M546" t="s">
        <v>86</v>
      </c>
      <c r="N546" t="s">
        <v>29</v>
      </c>
      <c r="O546" t="s">
        <v>166</v>
      </c>
      <c r="P546">
        <v>4</v>
      </c>
      <c r="Q546" t="s">
        <v>186</v>
      </c>
      <c r="R546" t="s">
        <v>159</v>
      </c>
      <c r="S546" t="s">
        <v>178</v>
      </c>
      <c r="T546" t="s">
        <v>29</v>
      </c>
      <c r="U546" t="s">
        <v>29</v>
      </c>
      <c r="V546" s="6" t="s">
        <v>160</v>
      </c>
      <c r="W546" t="s">
        <v>86</v>
      </c>
      <c r="X546" t="s">
        <v>187</v>
      </c>
      <c r="Y546" s="6" t="s">
        <v>49</v>
      </c>
    </row>
    <row r="547" spans="2:25" x14ac:dyDescent="0.3">
      <c r="B547" s="5" t="s">
        <v>77</v>
      </c>
      <c r="C547" s="5" t="str">
        <f>VLOOKUP(B547,[1]물질정보!B:C,2,0)</f>
        <v>140-88-5</v>
      </c>
      <c r="D547" t="str">
        <f>VLOOKUP(B547,[1]물질정보!B:D,3,0)</f>
        <v>ethyl acrylate</v>
      </c>
      <c r="E547" t="str">
        <f>VLOOKUP(B547,[1]물질정보!B:E,4,0)</f>
        <v>C5H8O2</v>
      </c>
      <c r="F547" t="str">
        <f>VLOOKUP(B547,[1]물질정보!B:F,5,0)</f>
        <v>100.12 g/mol</v>
      </c>
      <c r="G547" s="5" t="str">
        <f>VLOOKUP(B547,[1]물질정보!B:G,6,0)</f>
        <v>CCOC(=O)C=C</v>
      </c>
      <c r="H547" t="s">
        <v>79</v>
      </c>
      <c r="I547" t="s">
        <v>176</v>
      </c>
      <c r="J547" t="s">
        <v>49</v>
      </c>
      <c r="K547">
        <v>162</v>
      </c>
      <c r="L547" t="s">
        <v>177</v>
      </c>
      <c r="M547" t="s">
        <v>86</v>
      </c>
      <c r="N547" t="s">
        <v>29</v>
      </c>
      <c r="O547" t="s">
        <v>166</v>
      </c>
      <c r="P547">
        <v>8</v>
      </c>
      <c r="Q547" t="s">
        <v>186</v>
      </c>
      <c r="R547" t="s">
        <v>159</v>
      </c>
      <c r="S547" t="s">
        <v>178</v>
      </c>
      <c r="T547" t="s">
        <v>29</v>
      </c>
      <c r="U547" t="s">
        <v>29</v>
      </c>
      <c r="V547" s="6" t="s">
        <v>160</v>
      </c>
      <c r="W547" t="s">
        <v>86</v>
      </c>
      <c r="X547" t="s">
        <v>188</v>
      </c>
      <c r="Y547" s="6" t="s">
        <v>49</v>
      </c>
    </row>
    <row r="548" spans="2:25" x14ac:dyDescent="0.3">
      <c r="B548" s="5" t="s">
        <v>77</v>
      </c>
      <c r="C548" s="5" t="str">
        <f>VLOOKUP(B548,[1]물질정보!B:C,2,0)</f>
        <v>140-88-5</v>
      </c>
      <c r="D548" t="str">
        <f>VLOOKUP(B548,[1]물질정보!B:D,3,0)</f>
        <v>ethyl acrylate</v>
      </c>
      <c r="E548" t="str">
        <f>VLOOKUP(B548,[1]물질정보!B:E,4,0)</f>
        <v>C5H8O2</v>
      </c>
      <c r="F548" t="str">
        <f>VLOOKUP(B548,[1]물질정보!B:F,5,0)</f>
        <v>100.12 g/mol</v>
      </c>
      <c r="G548" s="5" t="str">
        <f>VLOOKUP(B548,[1]물질정보!B:G,6,0)</f>
        <v>CCOC(=O)C=C</v>
      </c>
      <c r="H548" t="s">
        <v>79</v>
      </c>
      <c r="I548" t="s">
        <v>176</v>
      </c>
      <c r="J548" t="s">
        <v>49</v>
      </c>
      <c r="K548">
        <v>165</v>
      </c>
      <c r="L548" t="s">
        <v>177</v>
      </c>
      <c r="M548" t="s">
        <v>86</v>
      </c>
      <c r="N548" t="s">
        <v>29</v>
      </c>
      <c r="O548" t="s">
        <v>166</v>
      </c>
      <c r="P548">
        <v>15</v>
      </c>
      <c r="Q548" t="s">
        <v>186</v>
      </c>
      <c r="R548" t="s">
        <v>159</v>
      </c>
      <c r="S548" t="s">
        <v>178</v>
      </c>
      <c r="T548" t="s">
        <v>29</v>
      </c>
      <c r="U548" t="s">
        <v>29</v>
      </c>
      <c r="V548" s="6" t="s">
        <v>160</v>
      </c>
      <c r="W548" t="s">
        <v>86</v>
      </c>
      <c r="X548" t="s">
        <v>189</v>
      </c>
      <c r="Y548" s="6" t="s">
        <v>49</v>
      </c>
    </row>
    <row r="549" spans="2:25" x14ac:dyDescent="0.3">
      <c r="B549" s="5" t="s">
        <v>77</v>
      </c>
      <c r="C549" s="5" t="str">
        <f>VLOOKUP(B549,[1]물질정보!B:C,2,0)</f>
        <v>140-88-5</v>
      </c>
      <c r="D549" t="str">
        <f>VLOOKUP(B549,[1]물질정보!B:D,3,0)</f>
        <v>ethyl acrylate</v>
      </c>
      <c r="E549" t="str">
        <f>VLOOKUP(B549,[1]물질정보!B:E,4,0)</f>
        <v>C5H8O2</v>
      </c>
      <c r="F549" t="str">
        <f>VLOOKUP(B549,[1]물질정보!B:F,5,0)</f>
        <v>100.12 g/mol</v>
      </c>
      <c r="G549" s="5" t="str">
        <f>VLOOKUP(B549,[1]물질정보!B:G,6,0)</f>
        <v>CCOC(=O)C=C</v>
      </c>
      <c r="H549" t="s">
        <v>79</v>
      </c>
      <c r="I549" t="s">
        <v>176</v>
      </c>
      <c r="J549" t="s">
        <v>49</v>
      </c>
      <c r="K549" t="s">
        <v>190</v>
      </c>
      <c r="L549" t="s">
        <v>180</v>
      </c>
      <c r="M549" t="s">
        <v>86</v>
      </c>
      <c r="N549" t="s">
        <v>29</v>
      </c>
      <c r="O549" t="s">
        <v>29</v>
      </c>
      <c r="P549" t="s">
        <v>29</v>
      </c>
      <c r="Q549" t="s">
        <v>29</v>
      </c>
      <c r="R549" t="s">
        <v>159</v>
      </c>
      <c r="S549" t="s">
        <v>29</v>
      </c>
      <c r="T549" t="s">
        <v>29</v>
      </c>
      <c r="U549" t="s">
        <v>29</v>
      </c>
      <c r="V549" s="6" t="s">
        <v>163</v>
      </c>
      <c r="W549" t="s">
        <v>86</v>
      </c>
      <c r="X549" t="s">
        <v>29</v>
      </c>
      <c r="Y549" s="6" t="s">
        <v>49</v>
      </c>
    </row>
    <row r="550" spans="2:25" x14ac:dyDescent="0.3">
      <c r="B550" s="5" t="s">
        <v>77</v>
      </c>
      <c r="C550" s="5" t="str">
        <f>VLOOKUP(B550,[1]물질정보!B:C,2,0)</f>
        <v>140-88-5</v>
      </c>
      <c r="D550" t="str">
        <f>VLOOKUP(B550,[1]물질정보!B:D,3,0)</f>
        <v>ethyl acrylate</v>
      </c>
      <c r="E550" t="str">
        <f>VLOOKUP(B550,[1]물질정보!B:E,4,0)</f>
        <v>C5H8O2</v>
      </c>
      <c r="F550" t="str">
        <f>VLOOKUP(B550,[1]물질정보!B:F,5,0)</f>
        <v>100.12 g/mol</v>
      </c>
      <c r="G550" s="5" t="str">
        <f>VLOOKUP(B550,[1]물질정보!B:G,6,0)</f>
        <v>CCOC(=O)C=C</v>
      </c>
      <c r="H550" t="s">
        <v>79</v>
      </c>
      <c r="I550" t="s">
        <v>176</v>
      </c>
      <c r="J550" t="s">
        <v>49</v>
      </c>
      <c r="K550">
        <v>5790.03</v>
      </c>
      <c r="L550" t="s">
        <v>182</v>
      </c>
      <c r="M550" t="s">
        <v>86</v>
      </c>
      <c r="N550" t="s">
        <v>29</v>
      </c>
      <c r="O550" t="s">
        <v>29</v>
      </c>
      <c r="P550" t="s">
        <v>29</v>
      </c>
      <c r="Q550" t="s">
        <v>29</v>
      </c>
      <c r="R550" t="s">
        <v>159</v>
      </c>
      <c r="S550" t="s">
        <v>29</v>
      </c>
      <c r="T550" t="s">
        <v>29</v>
      </c>
      <c r="U550" t="s">
        <v>29</v>
      </c>
      <c r="V550" s="6" t="s">
        <v>162</v>
      </c>
      <c r="W550" t="s">
        <v>86</v>
      </c>
      <c r="X550" t="s">
        <v>29</v>
      </c>
      <c r="Y550" s="6" t="s">
        <v>49</v>
      </c>
    </row>
    <row r="551" spans="2:25" x14ac:dyDescent="0.3">
      <c r="B551" s="5" t="s">
        <v>77</v>
      </c>
      <c r="C551" s="5" t="str">
        <f>VLOOKUP(B551,[1]물질정보!B:C,2,0)</f>
        <v>140-88-5</v>
      </c>
      <c r="D551" t="str">
        <f>VLOOKUP(B551,[1]물질정보!B:D,3,0)</f>
        <v>ethyl acrylate</v>
      </c>
      <c r="E551" t="str">
        <f>VLOOKUP(B551,[1]물질정보!B:E,4,0)</f>
        <v>C5H8O2</v>
      </c>
      <c r="F551" t="str">
        <f>VLOOKUP(B551,[1]물질정보!B:F,5,0)</f>
        <v>100.12 g/mol</v>
      </c>
      <c r="G551" s="5" t="str">
        <f>VLOOKUP(B551,[1]물질정보!B:G,6,0)</f>
        <v>CCOC(=O)C=C</v>
      </c>
      <c r="H551" t="s">
        <v>79</v>
      </c>
      <c r="I551" t="s">
        <v>176</v>
      </c>
      <c r="J551" t="s">
        <v>49</v>
      </c>
      <c r="K551">
        <v>16.2</v>
      </c>
      <c r="L551" t="s">
        <v>39</v>
      </c>
      <c r="M551" t="s">
        <v>83</v>
      </c>
      <c r="N551" t="s">
        <v>29</v>
      </c>
      <c r="O551" t="s">
        <v>29</v>
      </c>
      <c r="P551" t="s">
        <v>29</v>
      </c>
      <c r="Q551" t="s">
        <v>29</v>
      </c>
      <c r="R551" t="s">
        <v>159</v>
      </c>
      <c r="S551" t="s">
        <v>29</v>
      </c>
      <c r="T551" t="s">
        <v>29</v>
      </c>
      <c r="U551" t="s">
        <v>29</v>
      </c>
      <c r="V551" s="6" t="s">
        <v>162</v>
      </c>
      <c r="W551" t="s">
        <v>83</v>
      </c>
      <c r="X551" t="s">
        <v>29</v>
      </c>
      <c r="Y551" s="6" t="s">
        <v>49</v>
      </c>
    </row>
    <row r="552" spans="2:25" x14ac:dyDescent="0.3">
      <c r="B552" s="5" t="s">
        <v>77</v>
      </c>
      <c r="C552" s="5" t="str">
        <f>VLOOKUP(B552,[1]물질정보!B:C,2,0)</f>
        <v>140-88-5</v>
      </c>
      <c r="D552" t="str">
        <f>VLOOKUP(B552,[1]물질정보!B:D,3,0)</f>
        <v>ethyl acrylate</v>
      </c>
      <c r="E552" t="str">
        <f>VLOOKUP(B552,[1]물질정보!B:E,4,0)</f>
        <v>C5H8O2</v>
      </c>
      <c r="F552" t="str">
        <f>VLOOKUP(B552,[1]물질정보!B:F,5,0)</f>
        <v>100.12 g/mol</v>
      </c>
      <c r="G552" s="5" t="str">
        <f>VLOOKUP(B552,[1]물질정보!B:G,6,0)</f>
        <v>CCOC(=O)C=C</v>
      </c>
      <c r="H552" t="s">
        <v>79</v>
      </c>
      <c r="I552" t="s">
        <v>176</v>
      </c>
      <c r="J552" t="s">
        <v>49</v>
      </c>
      <c r="K552">
        <v>9.1370000000000005</v>
      </c>
      <c r="L552" t="s">
        <v>39</v>
      </c>
      <c r="M552" t="s">
        <v>86</v>
      </c>
      <c r="N552" t="s">
        <v>29</v>
      </c>
      <c r="O552" t="s">
        <v>29</v>
      </c>
      <c r="P552">
        <v>4</v>
      </c>
      <c r="Q552" t="s">
        <v>31</v>
      </c>
      <c r="R552" t="s">
        <v>159</v>
      </c>
      <c r="S552" t="s">
        <v>29</v>
      </c>
      <c r="T552" t="s">
        <v>29</v>
      </c>
      <c r="U552" t="s">
        <v>29</v>
      </c>
      <c r="V552" s="6" t="s">
        <v>168</v>
      </c>
      <c r="W552" t="s">
        <v>86</v>
      </c>
      <c r="X552" t="s">
        <v>179</v>
      </c>
      <c r="Y552" s="6" t="s">
        <v>49</v>
      </c>
    </row>
    <row r="553" spans="2:25" x14ac:dyDescent="0.3">
      <c r="B553" s="5" t="s">
        <v>77</v>
      </c>
      <c r="C553" s="5" t="str">
        <f>VLOOKUP(B553,[1]물질정보!B:C,2,0)</f>
        <v>140-88-5</v>
      </c>
      <c r="D553" t="str">
        <f>VLOOKUP(B553,[1]물질정보!B:D,3,0)</f>
        <v>ethyl acrylate</v>
      </c>
      <c r="E553" t="str">
        <f>VLOOKUP(B553,[1]물질정보!B:E,4,0)</f>
        <v>C5H8O2</v>
      </c>
      <c r="F553" t="str">
        <f>VLOOKUP(B553,[1]물질정보!B:F,5,0)</f>
        <v>100.12 g/mol</v>
      </c>
      <c r="G553" s="5" t="str">
        <f>VLOOKUP(B553,[1]물질정보!B:G,6,0)</f>
        <v>CCOC(=O)C=C</v>
      </c>
      <c r="H553" t="s">
        <v>79</v>
      </c>
      <c r="I553" t="s">
        <v>176</v>
      </c>
      <c r="J553" t="s">
        <v>49</v>
      </c>
      <c r="K553">
        <v>9</v>
      </c>
      <c r="L553" t="s">
        <v>39</v>
      </c>
      <c r="M553" t="s">
        <v>86</v>
      </c>
      <c r="N553" t="s">
        <v>29</v>
      </c>
      <c r="O553" t="s">
        <v>191</v>
      </c>
      <c r="P553">
        <v>4</v>
      </c>
      <c r="Q553" t="s">
        <v>31</v>
      </c>
      <c r="R553" t="s">
        <v>159</v>
      </c>
      <c r="S553" t="s">
        <v>29</v>
      </c>
      <c r="T553" t="s">
        <v>29</v>
      </c>
      <c r="U553" t="s">
        <v>29</v>
      </c>
      <c r="V553" s="6" t="s">
        <v>168</v>
      </c>
      <c r="W553" t="s">
        <v>86</v>
      </c>
      <c r="X553" t="s">
        <v>179</v>
      </c>
      <c r="Y553" s="6" t="s">
        <v>49</v>
      </c>
    </row>
    <row r="554" spans="2:25" x14ac:dyDescent="0.3">
      <c r="B554" s="5" t="s">
        <v>77</v>
      </c>
      <c r="C554" s="5" t="str">
        <f>VLOOKUP(B554,[1]물질정보!B:C,2,0)</f>
        <v>140-88-5</v>
      </c>
      <c r="D554" t="str">
        <f>VLOOKUP(B554,[1]물질정보!B:D,3,0)</f>
        <v>ethyl acrylate</v>
      </c>
      <c r="E554" t="str">
        <f>VLOOKUP(B554,[1]물질정보!B:E,4,0)</f>
        <v>C5H8O2</v>
      </c>
      <c r="F554" t="str">
        <f>VLOOKUP(B554,[1]물질정보!B:F,5,0)</f>
        <v>100.12 g/mol</v>
      </c>
      <c r="G554" s="5" t="str">
        <f>VLOOKUP(B554,[1]물질정보!B:G,6,0)</f>
        <v>CCOC(=O)C=C</v>
      </c>
      <c r="H554" t="s">
        <v>79</v>
      </c>
      <c r="I554" t="s">
        <v>176</v>
      </c>
      <c r="J554" t="s">
        <v>49</v>
      </c>
      <c r="K554">
        <v>9.1370000000000005</v>
      </c>
      <c r="L554" t="s">
        <v>39</v>
      </c>
      <c r="M554" t="s">
        <v>86</v>
      </c>
      <c r="N554" t="s">
        <v>29</v>
      </c>
      <c r="O554" t="s">
        <v>29</v>
      </c>
      <c r="P554">
        <v>4</v>
      </c>
      <c r="Q554" t="s">
        <v>31</v>
      </c>
      <c r="R554" t="s">
        <v>159</v>
      </c>
      <c r="S554" t="s">
        <v>29</v>
      </c>
      <c r="T554" t="s">
        <v>29</v>
      </c>
      <c r="U554" t="s">
        <v>29</v>
      </c>
      <c r="V554" s="6" t="s">
        <v>169</v>
      </c>
      <c r="W554" t="s">
        <v>86</v>
      </c>
      <c r="X554" t="s">
        <v>179</v>
      </c>
      <c r="Y554" s="6" t="s">
        <v>49</v>
      </c>
    </row>
    <row r="555" spans="2:25" x14ac:dyDescent="0.3">
      <c r="B555" s="5" t="s">
        <v>77</v>
      </c>
      <c r="C555" s="5" t="str">
        <f>VLOOKUP(B555,[1]물질정보!B:C,2,0)</f>
        <v>140-88-5</v>
      </c>
      <c r="D555" t="str">
        <f>VLOOKUP(B555,[1]물질정보!B:D,3,0)</f>
        <v>ethyl acrylate</v>
      </c>
      <c r="E555" t="str">
        <f>VLOOKUP(B555,[1]물질정보!B:E,4,0)</f>
        <v>C5H8O2</v>
      </c>
      <c r="F555" t="str">
        <f>VLOOKUP(B555,[1]물질정보!B:F,5,0)</f>
        <v>100.12 g/mol</v>
      </c>
      <c r="G555" s="5" t="str">
        <f>VLOOKUP(B555,[1]물질정보!B:G,6,0)</f>
        <v>CCOC(=O)C=C</v>
      </c>
      <c r="H555" t="s">
        <v>79</v>
      </c>
      <c r="I555" t="s">
        <v>176</v>
      </c>
      <c r="J555" t="s">
        <v>49</v>
      </c>
      <c r="K555">
        <v>9</v>
      </c>
      <c r="L555" t="s">
        <v>39</v>
      </c>
      <c r="M555" t="s">
        <v>86</v>
      </c>
      <c r="N555" t="s">
        <v>29</v>
      </c>
      <c r="O555" t="s">
        <v>191</v>
      </c>
      <c r="P555">
        <v>4</v>
      </c>
      <c r="Q555" t="s">
        <v>31</v>
      </c>
      <c r="R555" t="s">
        <v>159</v>
      </c>
      <c r="S555" t="s">
        <v>29</v>
      </c>
      <c r="T555" t="s">
        <v>29</v>
      </c>
      <c r="U555" t="s">
        <v>29</v>
      </c>
      <c r="V555" s="6" t="s">
        <v>169</v>
      </c>
      <c r="W555" t="s">
        <v>86</v>
      </c>
      <c r="X555" t="s">
        <v>179</v>
      </c>
      <c r="Y555" s="6" t="s">
        <v>49</v>
      </c>
    </row>
    <row r="556" spans="2:25" x14ac:dyDescent="0.3">
      <c r="B556" s="5" t="s">
        <v>67</v>
      </c>
      <c r="C556" s="5" t="str">
        <f>VLOOKUP(B556,[1]물질정보!B:C,2,0)</f>
        <v>818-61-1</v>
      </c>
      <c r="D556" t="str">
        <f>VLOOKUP(B556,[1]물질정보!B:D,3,0)</f>
        <v>2-hydroxyethyl acrylate</v>
      </c>
      <c r="E556" t="str">
        <f>VLOOKUP(B556,[1]물질정보!B:E,4,0)</f>
        <v>C5H8O3</v>
      </c>
      <c r="F556" t="str">
        <f>VLOOKUP(B556,[1]물질정보!B:F,5,0)</f>
        <v>116.11 g/mol</v>
      </c>
      <c r="G556" s="5" t="str">
        <f>VLOOKUP(B556,[1]물질정보!B:G,6,0)</f>
        <v>C=CC(=O)OCCO</v>
      </c>
      <c r="H556" t="s">
        <v>79</v>
      </c>
      <c r="I556" t="s">
        <v>176</v>
      </c>
      <c r="J556" t="s">
        <v>192</v>
      </c>
      <c r="K556" t="s">
        <v>193</v>
      </c>
      <c r="L556" t="s">
        <v>177</v>
      </c>
      <c r="M556" t="s">
        <v>86</v>
      </c>
      <c r="N556" t="s">
        <v>29</v>
      </c>
      <c r="O556" t="s">
        <v>166</v>
      </c>
      <c r="P556">
        <v>8</v>
      </c>
      <c r="Q556" t="s">
        <v>31</v>
      </c>
      <c r="R556" t="s">
        <v>159</v>
      </c>
      <c r="S556" t="s">
        <v>178</v>
      </c>
      <c r="T556" t="s">
        <v>29</v>
      </c>
      <c r="U556" t="s">
        <v>29</v>
      </c>
      <c r="V556" s="6" t="s">
        <v>160</v>
      </c>
      <c r="W556" t="s">
        <v>86</v>
      </c>
      <c r="X556" t="s">
        <v>194</v>
      </c>
      <c r="Y556" s="6" t="s">
        <v>192</v>
      </c>
    </row>
    <row r="557" spans="2:25" x14ac:dyDescent="0.3">
      <c r="B557" s="5" t="s">
        <v>67</v>
      </c>
      <c r="C557" s="5" t="str">
        <f>VLOOKUP(B557,[1]물질정보!B:C,2,0)</f>
        <v>818-61-1</v>
      </c>
      <c r="D557" t="str">
        <f>VLOOKUP(B557,[1]물질정보!B:D,3,0)</f>
        <v>2-hydroxyethyl acrylate</v>
      </c>
      <c r="E557" t="str">
        <f>VLOOKUP(B557,[1]물질정보!B:E,4,0)</f>
        <v>C5H8O3</v>
      </c>
      <c r="F557" t="str">
        <f>VLOOKUP(B557,[1]물질정보!B:F,5,0)</f>
        <v>116.11 g/mol</v>
      </c>
      <c r="G557" s="5" t="str">
        <f>VLOOKUP(B557,[1]물질정보!B:G,6,0)</f>
        <v>C=CC(=O)OCCO</v>
      </c>
      <c r="H557" t="s">
        <v>79</v>
      </c>
      <c r="I557" t="s">
        <v>176</v>
      </c>
      <c r="J557" t="s">
        <v>29</v>
      </c>
      <c r="K557" t="s">
        <v>29</v>
      </c>
      <c r="L557" t="s">
        <v>29</v>
      </c>
      <c r="M557" t="s">
        <v>29</v>
      </c>
      <c r="N557" t="s">
        <v>29</v>
      </c>
      <c r="O557" t="s">
        <v>29</v>
      </c>
      <c r="P557" t="s">
        <v>29</v>
      </c>
      <c r="Q557" t="s">
        <v>29</v>
      </c>
      <c r="R557" t="s">
        <v>159</v>
      </c>
      <c r="S557" t="s">
        <v>29</v>
      </c>
      <c r="T557" t="s">
        <v>29</v>
      </c>
      <c r="U557" t="s">
        <v>29</v>
      </c>
      <c r="V557" s="6" t="s">
        <v>168</v>
      </c>
      <c r="W557" t="s">
        <v>29</v>
      </c>
      <c r="X557" t="s">
        <v>29</v>
      </c>
    </row>
    <row r="558" spans="2:25" x14ac:dyDescent="0.3">
      <c r="B558" s="5" t="s">
        <v>67</v>
      </c>
      <c r="C558" s="5" t="str">
        <f>VLOOKUP(B558,[1]물질정보!B:C,2,0)</f>
        <v>818-61-1</v>
      </c>
      <c r="D558" t="str">
        <f>VLOOKUP(B558,[1]물질정보!B:D,3,0)</f>
        <v>2-hydroxyethyl acrylate</v>
      </c>
      <c r="E558" t="str">
        <f>VLOOKUP(B558,[1]물질정보!B:E,4,0)</f>
        <v>C5H8O3</v>
      </c>
      <c r="F558" t="str">
        <f>VLOOKUP(B558,[1]물질정보!B:F,5,0)</f>
        <v>116.11 g/mol</v>
      </c>
      <c r="G558" s="5" t="str">
        <f>VLOOKUP(B558,[1]물질정보!B:G,6,0)</f>
        <v>C=CC(=O)OCCO</v>
      </c>
      <c r="H558" t="s">
        <v>79</v>
      </c>
      <c r="I558" t="s">
        <v>176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29</v>
      </c>
      <c r="Q558" t="s">
        <v>29</v>
      </c>
      <c r="R558" t="s">
        <v>159</v>
      </c>
      <c r="S558" t="s">
        <v>29</v>
      </c>
      <c r="T558" t="s">
        <v>29</v>
      </c>
      <c r="U558" t="s">
        <v>29</v>
      </c>
      <c r="V558" s="6" t="s">
        <v>169</v>
      </c>
      <c r="W558" t="s">
        <v>29</v>
      </c>
      <c r="X558" t="s">
        <v>29</v>
      </c>
    </row>
    <row r="559" spans="2:25" x14ac:dyDescent="0.3">
      <c r="B559" s="5" t="s">
        <v>65</v>
      </c>
      <c r="C559" s="5" t="str">
        <f>VLOOKUP(B559,[1]물질정보!B:C,2,0)</f>
        <v>141-32-2</v>
      </c>
      <c r="D559" t="str">
        <f>VLOOKUP(B559,[1]물질정보!B:D,3,0)</f>
        <v>butyl acrylate</v>
      </c>
      <c r="E559" t="str">
        <f>VLOOKUP(B559,[1]물질정보!B:E,4,0)</f>
        <v>C7H12O2</v>
      </c>
      <c r="F559" t="str">
        <f>VLOOKUP(B559,[1]물질정보!B:F,5,0)</f>
        <v>128.169 g/mol</v>
      </c>
      <c r="G559" s="5" t="str">
        <f>VLOOKUP(B559,[1]물질정보!B:G,6,0)</f>
        <v>CCCCOC(=O)C=C</v>
      </c>
      <c r="H559" t="s">
        <v>79</v>
      </c>
      <c r="I559" t="s">
        <v>176</v>
      </c>
      <c r="J559" t="s">
        <v>49</v>
      </c>
      <c r="K559">
        <v>3.9</v>
      </c>
      <c r="L559" t="s">
        <v>39</v>
      </c>
      <c r="M559" t="s">
        <v>83</v>
      </c>
      <c r="N559" t="s">
        <v>29</v>
      </c>
      <c r="O559" t="s">
        <v>29</v>
      </c>
      <c r="P559" t="s">
        <v>29</v>
      </c>
      <c r="Q559" t="s">
        <v>29</v>
      </c>
      <c r="R559" t="s">
        <v>159</v>
      </c>
      <c r="S559" t="s">
        <v>29</v>
      </c>
      <c r="T559" t="s">
        <v>29</v>
      </c>
      <c r="U559" t="s">
        <v>29</v>
      </c>
      <c r="V559" s="6" t="s">
        <v>162</v>
      </c>
      <c r="W559" t="s">
        <v>83</v>
      </c>
      <c r="X559" t="s">
        <v>29</v>
      </c>
      <c r="Y559" s="6" t="s">
        <v>49</v>
      </c>
    </row>
    <row r="560" spans="2:25" x14ac:dyDescent="0.3">
      <c r="B560" s="5" t="s">
        <v>65</v>
      </c>
      <c r="C560" s="5" t="str">
        <f>VLOOKUP(B560,[1]물질정보!B:C,2,0)</f>
        <v>141-32-2</v>
      </c>
      <c r="D560" t="str">
        <f>VLOOKUP(B560,[1]물질정보!B:D,3,0)</f>
        <v>butyl acrylate</v>
      </c>
      <c r="E560" t="str">
        <f>VLOOKUP(B560,[1]물질정보!B:E,4,0)</f>
        <v>C7H12O2</v>
      </c>
      <c r="F560" t="str">
        <f>VLOOKUP(B560,[1]물질정보!B:F,5,0)</f>
        <v>128.169 g/mol</v>
      </c>
      <c r="G560" s="5" t="str">
        <f>VLOOKUP(B560,[1]물질정보!B:G,6,0)</f>
        <v>CCCCOC(=O)C=C</v>
      </c>
      <c r="H560" t="s">
        <v>79</v>
      </c>
      <c r="I560" t="s">
        <v>176</v>
      </c>
      <c r="J560" t="s">
        <v>49</v>
      </c>
      <c r="K560">
        <v>14311.2</v>
      </c>
      <c r="L560" t="s">
        <v>182</v>
      </c>
      <c r="M560" t="s">
        <v>86</v>
      </c>
      <c r="N560" t="s">
        <v>29</v>
      </c>
      <c r="O560" t="s">
        <v>29</v>
      </c>
      <c r="P560" t="s">
        <v>29</v>
      </c>
      <c r="Q560" t="s">
        <v>29</v>
      </c>
      <c r="R560" t="s">
        <v>159</v>
      </c>
      <c r="S560" t="s">
        <v>29</v>
      </c>
      <c r="T560" t="s">
        <v>29</v>
      </c>
      <c r="U560" t="s">
        <v>29</v>
      </c>
      <c r="V560" s="6" t="s">
        <v>162</v>
      </c>
      <c r="W560" t="s">
        <v>86</v>
      </c>
      <c r="X560" t="s">
        <v>29</v>
      </c>
      <c r="Y560" s="6" t="s">
        <v>49</v>
      </c>
    </row>
    <row r="561" spans="2:25" x14ac:dyDescent="0.3">
      <c r="B561" s="5" t="s">
        <v>65</v>
      </c>
      <c r="C561" s="5" t="str">
        <f>VLOOKUP(B561,[1]물질정보!B:C,2,0)</f>
        <v>141-32-2</v>
      </c>
      <c r="D561" t="str">
        <f>VLOOKUP(B561,[1]물질정보!B:D,3,0)</f>
        <v>butyl acrylate</v>
      </c>
      <c r="E561" t="str">
        <f>VLOOKUP(B561,[1]물질정보!B:E,4,0)</f>
        <v>C7H12O2</v>
      </c>
      <c r="F561" t="str">
        <f>VLOOKUP(B561,[1]물질정보!B:F,5,0)</f>
        <v>128.169 g/mol</v>
      </c>
      <c r="G561" s="5" t="str">
        <f>VLOOKUP(B561,[1]물질정보!B:G,6,0)</f>
        <v>CCCCOC(=O)C=C</v>
      </c>
      <c r="H561" t="s">
        <v>79</v>
      </c>
      <c r="I561" t="s">
        <v>176</v>
      </c>
      <c r="J561" t="s">
        <v>49</v>
      </c>
      <c r="K561">
        <v>10.3</v>
      </c>
      <c r="L561" t="s">
        <v>177</v>
      </c>
      <c r="M561" t="s">
        <v>86</v>
      </c>
      <c r="N561" t="s">
        <v>165</v>
      </c>
      <c r="O561" t="s">
        <v>166</v>
      </c>
      <c r="P561">
        <v>4</v>
      </c>
      <c r="Q561" t="s">
        <v>31</v>
      </c>
      <c r="R561" t="s">
        <v>159</v>
      </c>
      <c r="S561" t="s">
        <v>178</v>
      </c>
      <c r="T561" t="s">
        <v>29</v>
      </c>
      <c r="U561" t="s">
        <v>29</v>
      </c>
      <c r="V561" s="6" t="s">
        <v>160</v>
      </c>
      <c r="W561" t="s">
        <v>86</v>
      </c>
      <c r="X561" t="s">
        <v>179</v>
      </c>
      <c r="Y561" s="6" t="s">
        <v>49</v>
      </c>
    </row>
    <row r="562" spans="2:25" x14ac:dyDescent="0.3">
      <c r="B562" s="5" t="s">
        <v>65</v>
      </c>
      <c r="C562" s="5" t="str">
        <f>VLOOKUP(B562,[1]물질정보!B:C,2,0)</f>
        <v>141-32-2</v>
      </c>
      <c r="D562" t="str">
        <f>VLOOKUP(B562,[1]물질정보!B:D,3,0)</f>
        <v>butyl acrylate</v>
      </c>
      <c r="E562" t="str">
        <f>VLOOKUP(B562,[1]물질정보!B:E,4,0)</f>
        <v>C7H12O2</v>
      </c>
      <c r="F562" t="str">
        <f>VLOOKUP(B562,[1]물질정보!B:F,5,0)</f>
        <v>128.169 g/mol</v>
      </c>
      <c r="G562" s="5" t="str">
        <f>VLOOKUP(B562,[1]물질정보!B:G,6,0)</f>
        <v>CCCCOC(=O)C=C</v>
      </c>
      <c r="H562" t="s">
        <v>79</v>
      </c>
      <c r="I562" t="s">
        <v>176</v>
      </c>
      <c r="J562" t="s">
        <v>49</v>
      </c>
      <c r="K562">
        <v>11.2</v>
      </c>
      <c r="L562" t="s">
        <v>39</v>
      </c>
      <c r="M562" t="s">
        <v>86</v>
      </c>
      <c r="N562" t="s">
        <v>165</v>
      </c>
      <c r="O562" t="s">
        <v>166</v>
      </c>
      <c r="P562">
        <v>4</v>
      </c>
      <c r="Q562" t="s">
        <v>31</v>
      </c>
      <c r="R562" t="s">
        <v>159</v>
      </c>
      <c r="S562" t="s">
        <v>178</v>
      </c>
      <c r="T562" t="s">
        <v>29</v>
      </c>
      <c r="U562" t="s">
        <v>29</v>
      </c>
      <c r="V562" s="6" t="s">
        <v>160</v>
      </c>
      <c r="W562" t="s">
        <v>86</v>
      </c>
      <c r="X562" t="s">
        <v>179</v>
      </c>
      <c r="Y562" s="6" t="s">
        <v>49</v>
      </c>
    </row>
    <row r="563" spans="2:25" x14ac:dyDescent="0.3">
      <c r="B563" s="5" t="s">
        <v>65</v>
      </c>
      <c r="C563" s="5" t="str">
        <f>VLOOKUP(B563,[1]물질정보!B:C,2,0)</f>
        <v>141-32-2</v>
      </c>
      <c r="D563" t="str">
        <f>VLOOKUP(B563,[1]물질정보!B:D,3,0)</f>
        <v>butyl acrylate</v>
      </c>
      <c r="E563" t="str">
        <f>VLOOKUP(B563,[1]물질정보!B:E,4,0)</f>
        <v>C7H12O2</v>
      </c>
      <c r="F563" t="str">
        <f>VLOOKUP(B563,[1]물질정보!B:F,5,0)</f>
        <v>128.169 g/mol</v>
      </c>
      <c r="G563" s="5" t="str">
        <f>VLOOKUP(B563,[1]물질정보!B:G,6,0)</f>
        <v>CCCCOC(=O)C=C</v>
      </c>
      <c r="H563" t="s">
        <v>79</v>
      </c>
      <c r="I563" t="s">
        <v>176</v>
      </c>
      <c r="J563" t="s">
        <v>49</v>
      </c>
      <c r="K563">
        <v>10</v>
      </c>
      <c r="L563" t="s">
        <v>177</v>
      </c>
      <c r="M563" t="s">
        <v>86</v>
      </c>
      <c r="N563" t="s">
        <v>165</v>
      </c>
      <c r="O563" t="s">
        <v>166</v>
      </c>
      <c r="P563">
        <v>4</v>
      </c>
      <c r="Q563" t="s">
        <v>31</v>
      </c>
      <c r="R563" t="s">
        <v>159</v>
      </c>
      <c r="S563" t="s">
        <v>178</v>
      </c>
      <c r="T563" t="s">
        <v>29</v>
      </c>
      <c r="U563" t="s">
        <v>29</v>
      </c>
      <c r="V563" s="6" t="s">
        <v>160</v>
      </c>
      <c r="W563" t="s">
        <v>86</v>
      </c>
      <c r="X563" t="s">
        <v>179</v>
      </c>
      <c r="Y563" s="6" t="s">
        <v>49</v>
      </c>
    </row>
    <row r="564" spans="2:25" x14ac:dyDescent="0.3">
      <c r="B564" s="5" t="s">
        <v>65</v>
      </c>
      <c r="C564" s="5" t="str">
        <f>VLOOKUP(B564,[1]물질정보!B:C,2,0)</f>
        <v>141-32-2</v>
      </c>
      <c r="D564" t="str">
        <f>VLOOKUP(B564,[1]물질정보!B:D,3,0)</f>
        <v>butyl acrylate</v>
      </c>
      <c r="E564" t="str">
        <f>VLOOKUP(B564,[1]물질정보!B:E,4,0)</f>
        <v>C7H12O2</v>
      </c>
      <c r="F564" t="str">
        <f>VLOOKUP(B564,[1]물질정보!B:F,5,0)</f>
        <v>128.169 g/mol</v>
      </c>
      <c r="G564" s="5" t="str">
        <f>VLOOKUP(B564,[1]물질정보!B:G,6,0)</f>
        <v>CCCCOC(=O)C=C</v>
      </c>
      <c r="H564" t="s">
        <v>79</v>
      </c>
      <c r="I564" t="s">
        <v>176</v>
      </c>
      <c r="J564" t="s">
        <v>49</v>
      </c>
      <c r="K564">
        <v>11.9</v>
      </c>
      <c r="L564" t="s">
        <v>177</v>
      </c>
      <c r="M564" t="s">
        <v>86</v>
      </c>
      <c r="N564" t="s">
        <v>165</v>
      </c>
      <c r="O564" t="s">
        <v>166</v>
      </c>
      <c r="P564">
        <v>4</v>
      </c>
      <c r="Q564" t="s">
        <v>31</v>
      </c>
      <c r="R564" t="s">
        <v>159</v>
      </c>
      <c r="S564" t="s">
        <v>178</v>
      </c>
      <c r="T564" t="s">
        <v>29</v>
      </c>
      <c r="U564" t="s">
        <v>29</v>
      </c>
      <c r="V564" s="6" t="s">
        <v>160</v>
      </c>
      <c r="W564" t="s">
        <v>86</v>
      </c>
      <c r="X564" t="s">
        <v>179</v>
      </c>
      <c r="Y564" s="6" t="s">
        <v>49</v>
      </c>
    </row>
    <row r="565" spans="2:25" x14ac:dyDescent="0.3">
      <c r="B565" s="5" t="s">
        <v>65</v>
      </c>
      <c r="C565" s="5" t="str">
        <f>VLOOKUP(B565,[1]물질정보!B:C,2,0)</f>
        <v>141-32-2</v>
      </c>
      <c r="D565" t="str">
        <f>VLOOKUP(B565,[1]물질정보!B:D,3,0)</f>
        <v>butyl acrylate</v>
      </c>
      <c r="E565" t="str">
        <f>VLOOKUP(B565,[1]물질정보!B:E,4,0)</f>
        <v>C7H12O2</v>
      </c>
      <c r="F565" t="str">
        <f>VLOOKUP(B565,[1]물질정보!B:F,5,0)</f>
        <v>128.169 g/mol</v>
      </c>
      <c r="G565" s="5" t="str">
        <f>VLOOKUP(B565,[1]물질정보!B:G,6,0)</f>
        <v>CCCCOC(=O)C=C</v>
      </c>
      <c r="H565" t="s">
        <v>79</v>
      </c>
      <c r="I565" t="s">
        <v>176</v>
      </c>
      <c r="J565" t="s">
        <v>49</v>
      </c>
      <c r="K565">
        <v>13.3</v>
      </c>
      <c r="L565" t="s">
        <v>177</v>
      </c>
      <c r="M565" t="s">
        <v>86</v>
      </c>
      <c r="N565" t="s">
        <v>165</v>
      </c>
      <c r="O565" t="s">
        <v>166</v>
      </c>
      <c r="P565">
        <v>4</v>
      </c>
      <c r="Q565" t="s">
        <v>31</v>
      </c>
      <c r="R565" t="s">
        <v>159</v>
      </c>
      <c r="S565" t="s">
        <v>178</v>
      </c>
      <c r="T565" t="s">
        <v>29</v>
      </c>
      <c r="U565" t="s">
        <v>29</v>
      </c>
      <c r="V565" s="6" t="s">
        <v>160</v>
      </c>
      <c r="W565" t="s">
        <v>86</v>
      </c>
      <c r="X565" t="s">
        <v>179</v>
      </c>
      <c r="Y565" s="6" t="s">
        <v>49</v>
      </c>
    </row>
    <row r="566" spans="2:25" x14ac:dyDescent="0.3">
      <c r="B566" s="5" t="s">
        <v>65</v>
      </c>
      <c r="C566" s="5" t="str">
        <f>VLOOKUP(B566,[1]물질정보!B:C,2,0)</f>
        <v>141-32-2</v>
      </c>
      <c r="D566" t="str">
        <f>VLOOKUP(B566,[1]물질정보!B:D,3,0)</f>
        <v>butyl acrylate</v>
      </c>
      <c r="E566" t="str">
        <f>VLOOKUP(B566,[1]물질정보!B:E,4,0)</f>
        <v>C7H12O2</v>
      </c>
      <c r="F566" t="str">
        <f>VLOOKUP(B566,[1]물질정보!B:F,5,0)</f>
        <v>128.169 g/mol</v>
      </c>
      <c r="G566" s="5" t="str">
        <f>VLOOKUP(B566,[1]물질정보!B:G,6,0)</f>
        <v>CCCCOC(=O)C=C</v>
      </c>
      <c r="H566" t="s">
        <v>79</v>
      </c>
      <c r="I566" t="s">
        <v>176</v>
      </c>
      <c r="J566" t="s">
        <v>49</v>
      </c>
      <c r="K566">
        <v>6.8</v>
      </c>
      <c r="L566" t="s">
        <v>177</v>
      </c>
      <c r="M566" t="s">
        <v>83</v>
      </c>
      <c r="N566" t="s">
        <v>29</v>
      </c>
      <c r="O566" t="s">
        <v>166</v>
      </c>
      <c r="P566">
        <v>4</v>
      </c>
      <c r="Q566" t="s">
        <v>31</v>
      </c>
      <c r="R566" t="s">
        <v>159</v>
      </c>
      <c r="S566" t="s">
        <v>178</v>
      </c>
      <c r="T566" t="s">
        <v>29</v>
      </c>
      <c r="U566" t="s">
        <v>29</v>
      </c>
      <c r="V566" s="6" t="s">
        <v>160</v>
      </c>
      <c r="W566" t="s">
        <v>83</v>
      </c>
      <c r="X566" t="s">
        <v>179</v>
      </c>
      <c r="Y566" s="6" t="s">
        <v>49</v>
      </c>
    </row>
    <row r="567" spans="2:25" x14ac:dyDescent="0.3">
      <c r="B567" s="5" t="s">
        <v>65</v>
      </c>
      <c r="C567" s="5" t="str">
        <f>VLOOKUP(B567,[1]물질정보!B:C,2,0)</f>
        <v>141-32-2</v>
      </c>
      <c r="D567" t="str">
        <f>VLOOKUP(B567,[1]물질정보!B:D,3,0)</f>
        <v>butyl acrylate</v>
      </c>
      <c r="E567" t="str">
        <f>VLOOKUP(B567,[1]물질정보!B:E,4,0)</f>
        <v>C7H12O2</v>
      </c>
      <c r="F567" t="str">
        <f>VLOOKUP(B567,[1]물질정보!B:F,5,0)</f>
        <v>128.169 g/mol</v>
      </c>
      <c r="G567" s="5" t="str">
        <f>VLOOKUP(B567,[1]물질정보!B:G,6,0)</f>
        <v>CCCCOC(=O)C=C</v>
      </c>
      <c r="H567" t="s">
        <v>79</v>
      </c>
      <c r="I567" t="s">
        <v>176</v>
      </c>
      <c r="J567" t="s">
        <v>49</v>
      </c>
      <c r="K567">
        <v>7.2</v>
      </c>
      <c r="L567" t="s">
        <v>39</v>
      </c>
      <c r="M567" t="s">
        <v>83</v>
      </c>
      <c r="N567" t="s">
        <v>29</v>
      </c>
      <c r="O567" t="s">
        <v>166</v>
      </c>
      <c r="P567">
        <v>4</v>
      </c>
      <c r="Q567" t="s">
        <v>31</v>
      </c>
      <c r="R567" t="s">
        <v>159</v>
      </c>
      <c r="S567" t="s">
        <v>178</v>
      </c>
      <c r="T567" t="s">
        <v>29</v>
      </c>
      <c r="U567" t="s">
        <v>29</v>
      </c>
      <c r="V567" s="6" t="s">
        <v>160</v>
      </c>
      <c r="W567" t="s">
        <v>83</v>
      </c>
      <c r="X567" t="s">
        <v>179</v>
      </c>
      <c r="Y567" s="6" t="s">
        <v>49</v>
      </c>
    </row>
    <row r="568" spans="2:25" x14ac:dyDescent="0.3">
      <c r="B568" s="5" t="s">
        <v>65</v>
      </c>
      <c r="C568" s="5" t="str">
        <f>VLOOKUP(B568,[1]물질정보!B:C,2,0)</f>
        <v>141-32-2</v>
      </c>
      <c r="D568" t="str">
        <f>VLOOKUP(B568,[1]물질정보!B:D,3,0)</f>
        <v>butyl acrylate</v>
      </c>
      <c r="E568" t="str">
        <f>VLOOKUP(B568,[1]물질정보!B:E,4,0)</f>
        <v>C7H12O2</v>
      </c>
      <c r="F568" t="str">
        <f>VLOOKUP(B568,[1]물질정보!B:F,5,0)</f>
        <v>128.169 g/mol</v>
      </c>
      <c r="G568" s="5" t="str">
        <f>VLOOKUP(B568,[1]물질정보!B:G,6,0)</f>
        <v>CCCCOC(=O)C=C</v>
      </c>
      <c r="H568" t="s">
        <v>79</v>
      </c>
      <c r="I568" t="s">
        <v>176</v>
      </c>
      <c r="J568" t="s">
        <v>49</v>
      </c>
      <c r="K568">
        <v>2730</v>
      </c>
      <c r="L568" t="s">
        <v>180</v>
      </c>
      <c r="M568" t="s">
        <v>86</v>
      </c>
      <c r="N568" t="s">
        <v>29</v>
      </c>
      <c r="O568" t="s">
        <v>29</v>
      </c>
      <c r="P568" t="s">
        <v>29</v>
      </c>
      <c r="Q568" t="s">
        <v>29</v>
      </c>
      <c r="R568" t="s">
        <v>159</v>
      </c>
      <c r="S568" t="s">
        <v>29</v>
      </c>
      <c r="T568" t="s">
        <v>29</v>
      </c>
      <c r="U568" t="s">
        <v>29</v>
      </c>
      <c r="V568" s="6" t="s">
        <v>163</v>
      </c>
      <c r="W568" t="s">
        <v>86</v>
      </c>
      <c r="X568" t="s">
        <v>29</v>
      </c>
      <c r="Y568" s="6" t="s">
        <v>49</v>
      </c>
    </row>
    <row r="569" spans="2:25" x14ac:dyDescent="0.3">
      <c r="B569" s="5" t="s">
        <v>65</v>
      </c>
      <c r="C569" s="5" t="str">
        <f>VLOOKUP(B569,[1]물질정보!B:C,2,0)</f>
        <v>141-32-2</v>
      </c>
      <c r="D569" t="str">
        <f>VLOOKUP(B569,[1]물질정보!B:D,3,0)</f>
        <v>butyl acrylate</v>
      </c>
      <c r="E569" t="str">
        <f>VLOOKUP(B569,[1]물질정보!B:E,4,0)</f>
        <v>C7H12O2</v>
      </c>
      <c r="F569" t="str">
        <f>VLOOKUP(B569,[1]물질정보!B:F,5,0)</f>
        <v>128.169 g/mol</v>
      </c>
      <c r="G569" s="5" t="str">
        <f>VLOOKUP(B569,[1]물질정보!B:G,6,0)</f>
        <v>CCCCOC(=O)C=C</v>
      </c>
      <c r="H569" t="s">
        <v>79</v>
      </c>
      <c r="I569" t="s">
        <v>176</v>
      </c>
      <c r="J569" t="s">
        <v>49</v>
      </c>
      <c r="K569">
        <v>10.3</v>
      </c>
      <c r="L569" t="s">
        <v>195</v>
      </c>
      <c r="M569" t="s">
        <v>86</v>
      </c>
      <c r="N569" t="s">
        <v>29</v>
      </c>
      <c r="O569" t="s">
        <v>29</v>
      </c>
      <c r="P569" t="s">
        <v>29</v>
      </c>
      <c r="Q569" t="s">
        <v>29</v>
      </c>
      <c r="R569" t="s">
        <v>159</v>
      </c>
      <c r="S569" t="s">
        <v>29</v>
      </c>
      <c r="T569" t="s">
        <v>29</v>
      </c>
      <c r="U569" t="s">
        <v>29</v>
      </c>
      <c r="V569" s="6" t="s">
        <v>163</v>
      </c>
      <c r="W569" t="s">
        <v>86</v>
      </c>
      <c r="X569" t="s">
        <v>29</v>
      </c>
      <c r="Y569" s="6" t="s">
        <v>49</v>
      </c>
    </row>
    <row r="570" spans="2:25" x14ac:dyDescent="0.3">
      <c r="B570" s="5" t="s">
        <v>65</v>
      </c>
      <c r="C570" s="5" t="str">
        <f>VLOOKUP(B570,[1]물질정보!B:C,2,0)</f>
        <v>141-32-2</v>
      </c>
      <c r="D570" t="str">
        <f>VLOOKUP(B570,[1]물질정보!B:D,3,0)</f>
        <v>butyl acrylate</v>
      </c>
      <c r="E570" t="str">
        <f>VLOOKUP(B570,[1]물질정보!B:E,4,0)</f>
        <v>C7H12O2</v>
      </c>
      <c r="F570" t="str">
        <f>VLOOKUP(B570,[1]물질정보!B:F,5,0)</f>
        <v>128.169 g/mol</v>
      </c>
      <c r="G570" s="5" t="str">
        <f>VLOOKUP(B570,[1]물질정보!B:G,6,0)</f>
        <v>CCCCOC(=O)C=C</v>
      </c>
      <c r="H570" t="s">
        <v>79</v>
      </c>
      <c r="I570" t="s">
        <v>176</v>
      </c>
      <c r="J570" t="s">
        <v>49</v>
      </c>
      <c r="K570" t="s">
        <v>196</v>
      </c>
      <c r="L570" t="s">
        <v>180</v>
      </c>
      <c r="M570" t="s">
        <v>86</v>
      </c>
      <c r="N570" t="s">
        <v>29</v>
      </c>
      <c r="O570" t="s">
        <v>29</v>
      </c>
      <c r="P570" t="s">
        <v>29</v>
      </c>
      <c r="Q570" t="s">
        <v>29</v>
      </c>
      <c r="R570" t="s">
        <v>159</v>
      </c>
      <c r="S570" t="s">
        <v>178</v>
      </c>
      <c r="T570" t="s">
        <v>29</v>
      </c>
      <c r="U570" t="s">
        <v>29</v>
      </c>
      <c r="V570" s="6" t="s">
        <v>163</v>
      </c>
      <c r="W570" t="s">
        <v>86</v>
      </c>
      <c r="X570" t="s">
        <v>29</v>
      </c>
      <c r="Y570" s="6" t="s">
        <v>49</v>
      </c>
    </row>
    <row r="571" spans="2:25" x14ac:dyDescent="0.3">
      <c r="B571" s="5" t="s">
        <v>65</v>
      </c>
      <c r="C571" s="5" t="str">
        <f>VLOOKUP(B571,[1]물질정보!B:C,2,0)</f>
        <v>141-32-2</v>
      </c>
      <c r="D571" t="str">
        <f>VLOOKUP(B571,[1]물질정보!B:D,3,0)</f>
        <v>butyl acrylate</v>
      </c>
      <c r="E571" t="str">
        <f>VLOOKUP(B571,[1]물질정보!B:E,4,0)</f>
        <v>C7H12O2</v>
      </c>
      <c r="F571" t="str">
        <f>VLOOKUP(B571,[1]물질정보!B:F,5,0)</f>
        <v>128.169 g/mol</v>
      </c>
      <c r="G571" s="5" t="str">
        <f>VLOOKUP(B571,[1]물질정보!B:G,6,0)</f>
        <v>CCCCOC(=O)C=C</v>
      </c>
      <c r="H571" t="s">
        <v>79</v>
      </c>
      <c r="I571" t="s">
        <v>176</v>
      </c>
      <c r="J571" t="s">
        <v>49</v>
      </c>
      <c r="K571">
        <v>7800</v>
      </c>
      <c r="L571" t="s">
        <v>197</v>
      </c>
      <c r="M571" t="s">
        <v>83</v>
      </c>
      <c r="N571" t="s">
        <v>29</v>
      </c>
      <c r="O571" t="s">
        <v>29</v>
      </c>
      <c r="P571" t="s">
        <v>29</v>
      </c>
      <c r="Q571" t="s">
        <v>29</v>
      </c>
      <c r="R571" t="s">
        <v>159</v>
      </c>
      <c r="S571" t="s">
        <v>29</v>
      </c>
      <c r="T571" t="s">
        <v>29</v>
      </c>
      <c r="U571" t="s">
        <v>29</v>
      </c>
      <c r="V571" s="6" t="s">
        <v>163</v>
      </c>
      <c r="W571" t="s">
        <v>83</v>
      </c>
      <c r="X571" t="s">
        <v>29</v>
      </c>
      <c r="Y571" s="6" t="s">
        <v>49</v>
      </c>
    </row>
    <row r="572" spans="2:25" x14ac:dyDescent="0.3">
      <c r="B572" s="5" t="s">
        <v>65</v>
      </c>
      <c r="C572" s="5" t="str">
        <f>VLOOKUP(B572,[1]물질정보!B:C,2,0)</f>
        <v>141-32-2</v>
      </c>
      <c r="D572" t="str">
        <f>VLOOKUP(B572,[1]물질정보!B:D,3,0)</f>
        <v>butyl acrylate</v>
      </c>
      <c r="E572" t="str">
        <f>VLOOKUP(B572,[1]물질정보!B:E,4,0)</f>
        <v>C7H12O2</v>
      </c>
      <c r="F572" t="str">
        <f>VLOOKUP(B572,[1]물질정보!B:F,5,0)</f>
        <v>128.169 g/mol</v>
      </c>
      <c r="G572" s="5" t="str">
        <f>VLOOKUP(B572,[1]물질정보!B:G,6,0)</f>
        <v>CCCCOC(=O)C=C</v>
      </c>
      <c r="H572" t="s">
        <v>79</v>
      </c>
      <c r="I572" t="s">
        <v>176</v>
      </c>
      <c r="J572" t="s">
        <v>49</v>
      </c>
      <c r="K572">
        <v>10.3</v>
      </c>
      <c r="L572" t="s">
        <v>39</v>
      </c>
      <c r="M572" t="s">
        <v>86</v>
      </c>
      <c r="N572" t="s">
        <v>29</v>
      </c>
      <c r="O572" t="s">
        <v>29</v>
      </c>
      <c r="P572">
        <v>4</v>
      </c>
      <c r="Q572" t="s">
        <v>31</v>
      </c>
      <c r="R572" t="s">
        <v>159</v>
      </c>
      <c r="S572" t="s">
        <v>29</v>
      </c>
      <c r="T572" t="s">
        <v>29</v>
      </c>
      <c r="U572" t="s">
        <v>29</v>
      </c>
      <c r="V572" s="6" t="s">
        <v>168</v>
      </c>
      <c r="W572" t="s">
        <v>86</v>
      </c>
      <c r="X572" t="s">
        <v>179</v>
      </c>
      <c r="Y572" s="6" t="s">
        <v>49</v>
      </c>
    </row>
    <row r="573" spans="2:25" x14ac:dyDescent="0.3">
      <c r="B573" s="5" t="s">
        <v>65</v>
      </c>
      <c r="C573" s="5" t="str">
        <f>VLOOKUP(B573,[1]물질정보!B:C,2,0)</f>
        <v>141-32-2</v>
      </c>
      <c r="D573" t="str">
        <f>VLOOKUP(B573,[1]물질정보!B:D,3,0)</f>
        <v>butyl acrylate</v>
      </c>
      <c r="E573" t="str">
        <f>VLOOKUP(B573,[1]물질정보!B:E,4,0)</f>
        <v>C7H12O2</v>
      </c>
      <c r="F573" t="str">
        <f>VLOOKUP(B573,[1]물질정보!B:F,5,0)</f>
        <v>128.169 g/mol</v>
      </c>
      <c r="G573" s="5" t="str">
        <f>VLOOKUP(B573,[1]물질정보!B:G,6,0)</f>
        <v>CCCCOC(=O)C=C</v>
      </c>
      <c r="H573" t="s">
        <v>79</v>
      </c>
      <c r="I573" t="s">
        <v>176</v>
      </c>
      <c r="J573" t="s">
        <v>49</v>
      </c>
      <c r="K573">
        <v>10.3</v>
      </c>
      <c r="L573" t="s">
        <v>39</v>
      </c>
      <c r="M573" t="s">
        <v>86</v>
      </c>
      <c r="N573" t="s">
        <v>29</v>
      </c>
      <c r="O573" t="s">
        <v>29</v>
      </c>
      <c r="P573">
        <v>4</v>
      </c>
      <c r="Q573" t="s">
        <v>31</v>
      </c>
      <c r="R573" t="s">
        <v>159</v>
      </c>
      <c r="S573" t="s">
        <v>29</v>
      </c>
      <c r="T573" t="s">
        <v>29</v>
      </c>
      <c r="U573" t="s">
        <v>29</v>
      </c>
      <c r="V573" s="6" t="s">
        <v>169</v>
      </c>
      <c r="W573" t="s">
        <v>86</v>
      </c>
      <c r="X573" t="s">
        <v>179</v>
      </c>
      <c r="Y573" s="6" t="s">
        <v>49</v>
      </c>
    </row>
    <row r="574" spans="2:25" x14ac:dyDescent="0.3">
      <c r="B574" s="5" t="s">
        <v>64</v>
      </c>
      <c r="C574" s="5" t="str">
        <f>VLOOKUP(B574,[1]물질정보!B:C,2,0)</f>
        <v>2478-10-6</v>
      </c>
      <c r="D574" t="str">
        <f>VLOOKUP(B574,[1]물질정보!B:D,3,0)</f>
        <v>4-hydroxybutyl acrylate</v>
      </c>
      <c r="E574" t="str">
        <f>VLOOKUP(B574,[1]물질정보!B:E,4,0)</f>
        <v>C7H12O3</v>
      </c>
      <c r="F574" t="str">
        <f>VLOOKUP(B574,[1]물질정보!B:F,5,0)</f>
        <v>144.17 g/mol</v>
      </c>
      <c r="G574" s="5" t="str">
        <f>VLOOKUP(B574,[1]물질정보!B:G,6,0)</f>
        <v>C=CC(=O)OCCCCO</v>
      </c>
      <c r="H574" t="s">
        <v>79</v>
      </c>
      <c r="I574" t="s">
        <v>176</v>
      </c>
      <c r="J574" t="s">
        <v>181</v>
      </c>
      <c r="K574">
        <v>0.17</v>
      </c>
      <c r="L574" t="s">
        <v>177</v>
      </c>
      <c r="M574" t="s">
        <v>86</v>
      </c>
      <c r="N574" t="s">
        <v>175</v>
      </c>
      <c r="O574" t="s">
        <v>166</v>
      </c>
      <c r="P574">
        <v>8</v>
      </c>
      <c r="Q574" t="s">
        <v>31</v>
      </c>
      <c r="R574" t="s">
        <v>159</v>
      </c>
      <c r="S574" t="s">
        <v>178</v>
      </c>
      <c r="T574" t="s">
        <v>29</v>
      </c>
      <c r="U574" t="s">
        <v>29</v>
      </c>
      <c r="V574" s="6" t="s">
        <v>160</v>
      </c>
      <c r="W574" t="s">
        <v>86</v>
      </c>
      <c r="X574" t="s">
        <v>194</v>
      </c>
      <c r="Y574" s="6" t="s">
        <v>181</v>
      </c>
    </row>
    <row r="575" spans="2:25" x14ac:dyDescent="0.3">
      <c r="B575" s="5" t="s">
        <v>64</v>
      </c>
      <c r="C575" s="5" t="str">
        <f>VLOOKUP(B575,[1]물질정보!B:C,2,0)</f>
        <v>2478-10-6</v>
      </c>
      <c r="D575" t="str">
        <f>VLOOKUP(B575,[1]물질정보!B:D,3,0)</f>
        <v>4-hydroxybutyl acrylate</v>
      </c>
      <c r="E575" t="str">
        <f>VLOOKUP(B575,[1]물질정보!B:E,4,0)</f>
        <v>C7H12O3</v>
      </c>
      <c r="F575" t="str">
        <f>VLOOKUP(B575,[1]물질정보!B:F,5,0)</f>
        <v>144.17 g/mol</v>
      </c>
      <c r="G575" s="5" t="str">
        <f>VLOOKUP(B575,[1]물질정보!B:G,6,0)</f>
        <v>C=CC(=O)OCCCCO</v>
      </c>
      <c r="H575" t="s">
        <v>79</v>
      </c>
      <c r="I575" t="s">
        <v>176</v>
      </c>
      <c r="J575" t="s">
        <v>198</v>
      </c>
      <c r="K575">
        <v>1.78</v>
      </c>
      <c r="L575" t="s">
        <v>177</v>
      </c>
      <c r="M575" t="s">
        <v>83</v>
      </c>
      <c r="N575" t="s">
        <v>199</v>
      </c>
      <c r="O575" t="s">
        <v>170</v>
      </c>
      <c r="P575">
        <v>30</v>
      </c>
      <c r="Q575" t="s">
        <v>186</v>
      </c>
      <c r="R575" t="s">
        <v>159</v>
      </c>
      <c r="S575" t="s">
        <v>200</v>
      </c>
      <c r="T575" t="s">
        <v>29</v>
      </c>
      <c r="U575" t="s">
        <v>29</v>
      </c>
      <c r="V575" s="6" t="s">
        <v>160</v>
      </c>
      <c r="W575" t="s">
        <v>83</v>
      </c>
      <c r="X575" t="s">
        <v>201</v>
      </c>
      <c r="Y575" s="6" t="s">
        <v>198</v>
      </c>
    </row>
    <row r="576" spans="2:25" x14ac:dyDescent="0.3">
      <c r="B576" s="5" t="s">
        <v>71</v>
      </c>
      <c r="C576" s="5" t="str">
        <f>VLOOKUP(B576,[1]물질정보!B:C,2,0)</f>
        <v>97-63-2</v>
      </c>
      <c r="D576" t="str">
        <f>VLOOKUP(B576,[1]물질정보!B:D,3,0)</f>
        <v>ethyl methacrylate</v>
      </c>
      <c r="E576" t="str">
        <f>VLOOKUP(B576,[1]물질정보!B:E,4,0)</f>
        <v>C6H10O2</v>
      </c>
      <c r="F576" t="str">
        <f>VLOOKUP(B576,[1]물질정보!B:F,5,0)</f>
        <v>114.14 g/mol</v>
      </c>
      <c r="G576" s="5" t="str">
        <f>VLOOKUP(B576,[1]물질정보!B:G,6,0)</f>
        <v>CCOC(=O)C(=C)C</v>
      </c>
      <c r="H576" t="s">
        <v>79</v>
      </c>
      <c r="I576" t="s">
        <v>88</v>
      </c>
      <c r="J576" t="s">
        <v>89</v>
      </c>
      <c r="K576" t="s">
        <v>90</v>
      </c>
      <c r="L576" t="s">
        <v>29</v>
      </c>
      <c r="M576" t="s">
        <v>93</v>
      </c>
      <c r="N576" t="s">
        <v>202</v>
      </c>
      <c r="O576" t="s">
        <v>29</v>
      </c>
      <c r="P576" t="s">
        <v>29</v>
      </c>
      <c r="Q576" t="s">
        <v>29</v>
      </c>
      <c r="R576" t="s">
        <v>159</v>
      </c>
      <c r="S576" t="s">
        <v>203</v>
      </c>
      <c r="T576" t="s">
        <v>29</v>
      </c>
      <c r="U576" t="s">
        <v>29</v>
      </c>
      <c r="V576" s="6" t="s">
        <v>160</v>
      </c>
      <c r="W576" t="s">
        <v>93</v>
      </c>
      <c r="X576" t="s">
        <v>29</v>
      </c>
      <c r="Y576" s="6" t="s">
        <v>89</v>
      </c>
    </row>
    <row r="577" spans="2:25" x14ac:dyDescent="0.3">
      <c r="B577" s="5" t="s">
        <v>71</v>
      </c>
      <c r="C577" s="5" t="str">
        <f>VLOOKUP(B577,[1]물질정보!B:C,2,0)</f>
        <v>97-63-2</v>
      </c>
      <c r="D577" t="str">
        <f>VLOOKUP(B577,[1]물질정보!B:D,3,0)</f>
        <v>ethyl methacrylate</v>
      </c>
      <c r="E577" t="str">
        <f>VLOOKUP(B577,[1]물질정보!B:E,4,0)</f>
        <v>C6H10O2</v>
      </c>
      <c r="F577" t="str">
        <f>VLOOKUP(B577,[1]물질정보!B:F,5,0)</f>
        <v>114.14 g/mol</v>
      </c>
      <c r="G577" s="5" t="str">
        <f>VLOOKUP(B577,[1]물질정보!B:G,6,0)</f>
        <v>CCOC(=O)C(=C)C</v>
      </c>
      <c r="H577" t="s">
        <v>79</v>
      </c>
      <c r="I577" t="s">
        <v>88</v>
      </c>
      <c r="J577" t="s">
        <v>89</v>
      </c>
      <c r="K577" t="s">
        <v>90</v>
      </c>
      <c r="L577" t="s">
        <v>29</v>
      </c>
      <c r="M577" t="s">
        <v>93</v>
      </c>
      <c r="N577" t="s">
        <v>202</v>
      </c>
      <c r="O577" t="s">
        <v>29</v>
      </c>
      <c r="P577" t="s">
        <v>29</v>
      </c>
      <c r="Q577" t="s">
        <v>29</v>
      </c>
      <c r="R577" t="s">
        <v>159</v>
      </c>
      <c r="S577" t="s">
        <v>204</v>
      </c>
      <c r="T577" t="s">
        <v>29</v>
      </c>
      <c r="U577" t="s">
        <v>29</v>
      </c>
      <c r="V577" s="6" t="s">
        <v>160</v>
      </c>
      <c r="W577" t="s">
        <v>93</v>
      </c>
      <c r="X577" t="s">
        <v>29</v>
      </c>
      <c r="Y577" s="6" t="s">
        <v>89</v>
      </c>
    </row>
    <row r="578" spans="2:25" x14ac:dyDescent="0.3">
      <c r="B578" s="5" t="s">
        <v>71</v>
      </c>
      <c r="C578" s="5" t="str">
        <f>VLOOKUP(B578,[1]물질정보!B:C,2,0)</f>
        <v>97-63-2</v>
      </c>
      <c r="D578" t="str">
        <f>VLOOKUP(B578,[1]물질정보!B:D,3,0)</f>
        <v>ethyl methacrylate</v>
      </c>
      <c r="E578" t="str">
        <f>VLOOKUP(B578,[1]물질정보!B:E,4,0)</f>
        <v>C6H10O2</v>
      </c>
      <c r="F578" t="str">
        <f>VLOOKUP(B578,[1]물질정보!B:F,5,0)</f>
        <v>114.14 g/mol</v>
      </c>
      <c r="G578" s="5" t="str">
        <f>VLOOKUP(B578,[1]물질정보!B:G,6,0)</f>
        <v>CCOC(=O)C(=C)C</v>
      </c>
      <c r="H578" t="s">
        <v>79</v>
      </c>
      <c r="I578" t="s">
        <v>88</v>
      </c>
      <c r="J578" t="s">
        <v>89</v>
      </c>
      <c r="K578" t="s">
        <v>90</v>
      </c>
      <c r="L578" t="s">
        <v>29</v>
      </c>
      <c r="M578" t="s">
        <v>205</v>
      </c>
      <c r="N578" t="s">
        <v>206</v>
      </c>
      <c r="O578" t="s">
        <v>29</v>
      </c>
      <c r="P578" t="s">
        <v>29</v>
      </c>
      <c r="Q578" t="s">
        <v>29</v>
      </c>
      <c r="R578" t="s">
        <v>159</v>
      </c>
      <c r="S578" t="s">
        <v>203</v>
      </c>
      <c r="T578" t="s">
        <v>29</v>
      </c>
      <c r="U578" t="s">
        <v>29</v>
      </c>
      <c r="V578" s="6" t="s">
        <v>160</v>
      </c>
      <c r="W578" t="s">
        <v>205</v>
      </c>
      <c r="X578" t="s">
        <v>29</v>
      </c>
      <c r="Y578" s="6" t="s">
        <v>89</v>
      </c>
    </row>
    <row r="579" spans="2:25" x14ac:dyDescent="0.3">
      <c r="B579" s="5" t="s">
        <v>71</v>
      </c>
      <c r="C579" s="5" t="str">
        <f>VLOOKUP(B579,[1]물질정보!B:C,2,0)</f>
        <v>97-63-2</v>
      </c>
      <c r="D579" t="str">
        <f>VLOOKUP(B579,[1]물질정보!B:D,3,0)</f>
        <v>ethyl methacrylate</v>
      </c>
      <c r="E579" t="str">
        <f>VLOOKUP(B579,[1]물질정보!B:E,4,0)</f>
        <v>C6H10O2</v>
      </c>
      <c r="F579" t="str">
        <f>VLOOKUP(B579,[1]물질정보!B:F,5,0)</f>
        <v>114.14 g/mol</v>
      </c>
      <c r="G579" s="5" t="str">
        <f>VLOOKUP(B579,[1]물질정보!B:G,6,0)</f>
        <v>CCOC(=O)C(=C)C</v>
      </c>
      <c r="H579" t="s">
        <v>79</v>
      </c>
      <c r="I579" t="s">
        <v>88</v>
      </c>
      <c r="J579" t="s">
        <v>89</v>
      </c>
      <c r="K579" t="s">
        <v>90</v>
      </c>
      <c r="L579" t="s">
        <v>29</v>
      </c>
      <c r="M579" t="s">
        <v>205</v>
      </c>
      <c r="N579" t="s">
        <v>206</v>
      </c>
      <c r="O579" t="s">
        <v>29</v>
      </c>
      <c r="P579" t="s">
        <v>29</v>
      </c>
      <c r="Q579" t="s">
        <v>29</v>
      </c>
      <c r="R579" t="s">
        <v>159</v>
      </c>
      <c r="S579" t="s">
        <v>204</v>
      </c>
      <c r="T579" t="s">
        <v>29</v>
      </c>
      <c r="U579" t="s">
        <v>29</v>
      </c>
      <c r="V579" s="6" t="s">
        <v>160</v>
      </c>
      <c r="W579" t="s">
        <v>205</v>
      </c>
      <c r="X579" t="s">
        <v>29</v>
      </c>
      <c r="Y579" s="6" t="s">
        <v>89</v>
      </c>
    </row>
    <row r="580" spans="2:25" x14ac:dyDescent="0.3">
      <c r="B580" s="5" t="s">
        <v>71</v>
      </c>
      <c r="C580" s="5" t="str">
        <f>VLOOKUP(B580,[1]물질정보!B:C,2,0)</f>
        <v>97-63-2</v>
      </c>
      <c r="D580" t="str">
        <f>VLOOKUP(B580,[1]물질정보!B:D,3,0)</f>
        <v>ethyl methacrylate</v>
      </c>
      <c r="E580" t="str">
        <f>VLOOKUP(B580,[1]물질정보!B:E,4,0)</f>
        <v>C6H10O2</v>
      </c>
      <c r="F580" t="str">
        <f>VLOOKUP(B580,[1]물질정보!B:F,5,0)</f>
        <v>114.14 g/mol</v>
      </c>
      <c r="G580" s="5" t="str">
        <f>VLOOKUP(B580,[1]물질정보!B:G,6,0)</f>
        <v>CCOC(=O)C(=C)C</v>
      </c>
      <c r="H580" t="s">
        <v>79</v>
      </c>
      <c r="I580" t="s">
        <v>88</v>
      </c>
      <c r="J580" t="s">
        <v>89</v>
      </c>
      <c r="K580" t="s">
        <v>90</v>
      </c>
      <c r="L580" t="s">
        <v>29</v>
      </c>
      <c r="M580" t="s">
        <v>207</v>
      </c>
      <c r="N580" t="s">
        <v>208</v>
      </c>
      <c r="O580" t="s">
        <v>29</v>
      </c>
      <c r="P580" t="s">
        <v>29</v>
      </c>
      <c r="Q580" t="s">
        <v>29</v>
      </c>
      <c r="R580" t="s">
        <v>159</v>
      </c>
      <c r="S580" t="s">
        <v>29</v>
      </c>
      <c r="T580" t="s">
        <v>29</v>
      </c>
      <c r="U580" t="s">
        <v>29</v>
      </c>
      <c r="V580" s="6" t="s">
        <v>163</v>
      </c>
      <c r="W580" t="s">
        <v>93</v>
      </c>
      <c r="X580" t="s">
        <v>29</v>
      </c>
      <c r="Y580" s="6" t="s">
        <v>89</v>
      </c>
    </row>
    <row r="581" spans="2:25" x14ac:dyDescent="0.3">
      <c r="B581" s="5" t="s">
        <v>71</v>
      </c>
      <c r="C581" s="5" t="str">
        <f>VLOOKUP(B581,[1]물질정보!B:C,2,0)</f>
        <v>97-63-2</v>
      </c>
      <c r="D581" t="str">
        <f>VLOOKUP(B581,[1]물질정보!B:D,3,0)</f>
        <v>ethyl methacrylate</v>
      </c>
      <c r="E581" t="str">
        <f>VLOOKUP(B581,[1]물질정보!B:E,4,0)</f>
        <v>C6H10O2</v>
      </c>
      <c r="F581" t="str">
        <f>VLOOKUP(B581,[1]물질정보!B:F,5,0)</f>
        <v>114.14 g/mol</v>
      </c>
      <c r="G581" s="5" t="str">
        <f>VLOOKUP(B581,[1]물질정보!B:G,6,0)</f>
        <v>CCOC(=O)C(=C)C</v>
      </c>
      <c r="H581" t="s">
        <v>79</v>
      </c>
      <c r="I581" t="s">
        <v>88</v>
      </c>
      <c r="J581" t="s">
        <v>89</v>
      </c>
      <c r="K581" t="s">
        <v>90</v>
      </c>
      <c r="L581" t="s">
        <v>29</v>
      </c>
      <c r="M581" t="s">
        <v>91</v>
      </c>
      <c r="N581" t="s">
        <v>202</v>
      </c>
      <c r="O581" t="s">
        <v>29</v>
      </c>
      <c r="P581" t="s">
        <v>29</v>
      </c>
      <c r="Q581" t="s">
        <v>29</v>
      </c>
      <c r="R581" t="s">
        <v>159</v>
      </c>
      <c r="S581" t="s">
        <v>29</v>
      </c>
      <c r="T581" t="s">
        <v>29</v>
      </c>
      <c r="U581" t="s">
        <v>29</v>
      </c>
      <c r="V581" s="6" t="s">
        <v>162</v>
      </c>
      <c r="W581" t="s">
        <v>93</v>
      </c>
      <c r="X581" t="s">
        <v>29</v>
      </c>
      <c r="Y581" s="6" t="s">
        <v>89</v>
      </c>
    </row>
    <row r="582" spans="2:25" x14ac:dyDescent="0.3">
      <c r="B582" s="5" t="s">
        <v>25</v>
      </c>
      <c r="C582" s="5" t="str">
        <f>VLOOKUP(B582,[1]물질정보!B:C,2,0)</f>
        <v>97-88-1</v>
      </c>
      <c r="D582" t="str">
        <f>VLOOKUP(B582,[1]물질정보!B:D,3,0)</f>
        <v>butyl methacrylate</v>
      </c>
      <c r="E582" t="str">
        <f>VLOOKUP(B582,[1]물질정보!B:E,4,0)</f>
        <v>C8H14O2</v>
      </c>
      <c r="F582" t="str">
        <f>VLOOKUP(B582,[1]물질정보!B:F,5,0)</f>
        <v>142.2 g/mol</v>
      </c>
      <c r="G582" s="5" t="str">
        <f>VLOOKUP(B582,[1]물질정보!B:G,6,0)</f>
        <v>CCCCOC(=O)C(=C)C</v>
      </c>
      <c r="H582" t="s">
        <v>79</v>
      </c>
      <c r="I582" t="s">
        <v>88</v>
      </c>
      <c r="J582" t="s">
        <v>89</v>
      </c>
      <c r="K582" t="s">
        <v>90</v>
      </c>
      <c r="L582" t="s">
        <v>29</v>
      </c>
      <c r="M582" t="s">
        <v>93</v>
      </c>
      <c r="N582" t="s">
        <v>202</v>
      </c>
      <c r="O582" t="s">
        <v>29</v>
      </c>
      <c r="P582" t="s">
        <v>29</v>
      </c>
      <c r="Q582" t="s">
        <v>29</v>
      </c>
      <c r="R582" t="s">
        <v>159</v>
      </c>
      <c r="S582" t="s">
        <v>204</v>
      </c>
      <c r="T582" t="s">
        <v>29</v>
      </c>
      <c r="U582" t="s">
        <v>29</v>
      </c>
      <c r="V582" s="6" t="s">
        <v>160</v>
      </c>
      <c r="W582" t="s">
        <v>93</v>
      </c>
      <c r="X582" t="s">
        <v>29</v>
      </c>
      <c r="Y582" s="6" t="s">
        <v>89</v>
      </c>
    </row>
    <row r="583" spans="2:25" x14ac:dyDescent="0.3">
      <c r="B583" s="5" t="s">
        <v>25</v>
      </c>
      <c r="C583" s="5" t="str">
        <f>VLOOKUP(B583,[1]물질정보!B:C,2,0)</f>
        <v>97-88-1</v>
      </c>
      <c r="D583" t="str">
        <f>VLOOKUP(B583,[1]물질정보!B:D,3,0)</f>
        <v>butyl methacrylate</v>
      </c>
      <c r="E583" t="str">
        <f>VLOOKUP(B583,[1]물질정보!B:E,4,0)</f>
        <v>C8H14O2</v>
      </c>
      <c r="F583" t="str">
        <f>VLOOKUP(B583,[1]물질정보!B:F,5,0)</f>
        <v>142.2 g/mol</v>
      </c>
      <c r="G583" s="5" t="str">
        <f>VLOOKUP(B583,[1]물질정보!B:G,6,0)</f>
        <v>CCCCOC(=O)C(=C)C</v>
      </c>
      <c r="H583" t="s">
        <v>79</v>
      </c>
      <c r="I583" t="s">
        <v>88</v>
      </c>
      <c r="J583" t="s">
        <v>89</v>
      </c>
      <c r="K583" t="s">
        <v>90</v>
      </c>
      <c r="L583" t="s">
        <v>29</v>
      </c>
      <c r="M583" t="s">
        <v>93</v>
      </c>
      <c r="N583" t="s">
        <v>202</v>
      </c>
      <c r="O583" t="s">
        <v>29</v>
      </c>
      <c r="P583" t="s">
        <v>29</v>
      </c>
      <c r="Q583" t="s">
        <v>29</v>
      </c>
      <c r="R583" t="s">
        <v>159</v>
      </c>
      <c r="S583" t="s">
        <v>209</v>
      </c>
      <c r="T583" t="s">
        <v>29</v>
      </c>
      <c r="U583" t="s">
        <v>29</v>
      </c>
      <c r="V583" s="6" t="s">
        <v>160</v>
      </c>
      <c r="W583" t="s">
        <v>93</v>
      </c>
      <c r="X583" t="s">
        <v>29</v>
      </c>
      <c r="Y583" s="6" t="s">
        <v>89</v>
      </c>
    </row>
    <row r="584" spans="2:25" x14ac:dyDescent="0.3">
      <c r="B584" s="5" t="s">
        <v>25</v>
      </c>
      <c r="C584" s="5" t="str">
        <f>VLOOKUP(B584,[1]물질정보!B:C,2,0)</f>
        <v>97-88-1</v>
      </c>
      <c r="D584" t="str">
        <f>VLOOKUP(B584,[1]물질정보!B:D,3,0)</f>
        <v>butyl methacrylate</v>
      </c>
      <c r="E584" t="str">
        <f>VLOOKUP(B584,[1]물질정보!B:E,4,0)</f>
        <v>C8H14O2</v>
      </c>
      <c r="F584" t="str">
        <f>VLOOKUP(B584,[1]물질정보!B:F,5,0)</f>
        <v>142.2 g/mol</v>
      </c>
      <c r="G584" s="5" t="str">
        <f>VLOOKUP(B584,[1]물질정보!B:G,6,0)</f>
        <v>CCCCOC(=O)C(=C)C</v>
      </c>
      <c r="H584" t="s">
        <v>79</v>
      </c>
      <c r="I584" t="s">
        <v>88</v>
      </c>
      <c r="J584" t="s">
        <v>89</v>
      </c>
      <c r="K584" t="s">
        <v>90</v>
      </c>
      <c r="L584" t="s">
        <v>29</v>
      </c>
      <c r="M584" t="s">
        <v>93</v>
      </c>
      <c r="N584" t="s">
        <v>202</v>
      </c>
      <c r="O584" t="s">
        <v>29</v>
      </c>
      <c r="P584" t="s">
        <v>29</v>
      </c>
      <c r="Q584" t="s">
        <v>29</v>
      </c>
      <c r="R584" t="s">
        <v>159</v>
      </c>
      <c r="S584" t="s">
        <v>210</v>
      </c>
      <c r="T584" t="s">
        <v>29</v>
      </c>
      <c r="U584" t="s">
        <v>29</v>
      </c>
      <c r="V584" s="6" t="s">
        <v>160</v>
      </c>
      <c r="W584" t="s">
        <v>93</v>
      </c>
      <c r="X584" t="s">
        <v>29</v>
      </c>
      <c r="Y584" s="6" t="s">
        <v>89</v>
      </c>
    </row>
    <row r="585" spans="2:25" x14ac:dyDescent="0.3">
      <c r="B585" s="5" t="s">
        <v>25</v>
      </c>
      <c r="C585" s="5" t="str">
        <f>VLOOKUP(B585,[1]물질정보!B:C,2,0)</f>
        <v>97-88-1</v>
      </c>
      <c r="D585" t="str">
        <f>VLOOKUP(B585,[1]물질정보!B:D,3,0)</f>
        <v>butyl methacrylate</v>
      </c>
      <c r="E585" t="str">
        <f>VLOOKUP(B585,[1]물질정보!B:E,4,0)</f>
        <v>C8H14O2</v>
      </c>
      <c r="F585" t="str">
        <f>VLOOKUP(B585,[1]물질정보!B:F,5,0)</f>
        <v>142.2 g/mol</v>
      </c>
      <c r="G585" s="5" t="str">
        <f>VLOOKUP(B585,[1]물질정보!B:G,6,0)</f>
        <v>CCCCOC(=O)C(=C)C</v>
      </c>
      <c r="H585" t="s">
        <v>79</v>
      </c>
      <c r="I585" t="s">
        <v>88</v>
      </c>
      <c r="J585" t="s">
        <v>89</v>
      </c>
      <c r="K585" t="s">
        <v>90</v>
      </c>
      <c r="L585" t="s">
        <v>29</v>
      </c>
      <c r="M585" t="s">
        <v>205</v>
      </c>
      <c r="N585" t="s">
        <v>206</v>
      </c>
      <c r="O585" t="s">
        <v>29</v>
      </c>
      <c r="P585" t="s">
        <v>29</v>
      </c>
      <c r="Q585" t="s">
        <v>29</v>
      </c>
      <c r="R585" t="s">
        <v>159</v>
      </c>
      <c r="S585" t="s">
        <v>204</v>
      </c>
      <c r="T585" t="s">
        <v>29</v>
      </c>
      <c r="U585" t="s">
        <v>29</v>
      </c>
      <c r="V585" s="6" t="s">
        <v>160</v>
      </c>
      <c r="W585" t="s">
        <v>205</v>
      </c>
      <c r="X585" t="s">
        <v>29</v>
      </c>
      <c r="Y585" s="6" t="s">
        <v>89</v>
      </c>
    </row>
    <row r="586" spans="2:25" x14ac:dyDescent="0.3">
      <c r="B586" s="5" t="s">
        <v>25</v>
      </c>
      <c r="C586" s="5" t="str">
        <f>VLOOKUP(B586,[1]물질정보!B:C,2,0)</f>
        <v>97-88-1</v>
      </c>
      <c r="D586" t="str">
        <f>VLOOKUP(B586,[1]물질정보!B:D,3,0)</f>
        <v>butyl methacrylate</v>
      </c>
      <c r="E586" t="str">
        <f>VLOOKUP(B586,[1]물질정보!B:E,4,0)</f>
        <v>C8H14O2</v>
      </c>
      <c r="F586" t="str">
        <f>VLOOKUP(B586,[1]물질정보!B:F,5,0)</f>
        <v>142.2 g/mol</v>
      </c>
      <c r="G586" s="5" t="str">
        <f>VLOOKUP(B586,[1]물질정보!B:G,6,0)</f>
        <v>CCCCOC(=O)C(=C)C</v>
      </c>
      <c r="H586" t="s">
        <v>79</v>
      </c>
      <c r="I586" t="s">
        <v>88</v>
      </c>
      <c r="J586" t="s">
        <v>89</v>
      </c>
      <c r="K586" t="s">
        <v>90</v>
      </c>
      <c r="L586" t="s">
        <v>29</v>
      </c>
      <c r="M586" t="s">
        <v>205</v>
      </c>
      <c r="N586" t="s">
        <v>206</v>
      </c>
      <c r="O586" t="s">
        <v>29</v>
      </c>
      <c r="P586" t="s">
        <v>29</v>
      </c>
      <c r="Q586" t="s">
        <v>29</v>
      </c>
      <c r="R586" t="s">
        <v>159</v>
      </c>
      <c r="S586" t="s">
        <v>209</v>
      </c>
      <c r="T586" t="s">
        <v>29</v>
      </c>
      <c r="U586" t="s">
        <v>29</v>
      </c>
      <c r="V586" s="6" t="s">
        <v>160</v>
      </c>
      <c r="W586" t="s">
        <v>205</v>
      </c>
      <c r="X586" t="s">
        <v>29</v>
      </c>
      <c r="Y586" s="6" t="s">
        <v>89</v>
      </c>
    </row>
    <row r="587" spans="2:25" x14ac:dyDescent="0.3">
      <c r="B587" s="5" t="s">
        <v>25</v>
      </c>
      <c r="C587" s="5" t="str">
        <f>VLOOKUP(B587,[1]물질정보!B:C,2,0)</f>
        <v>97-88-1</v>
      </c>
      <c r="D587" t="str">
        <f>VLOOKUP(B587,[1]물질정보!B:D,3,0)</f>
        <v>butyl methacrylate</v>
      </c>
      <c r="E587" t="str">
        <f>VLOOKUP(B587,[1]물질정보!B:E,4,0)</f>
        <v>C8H14O2</v>
      </c>
      <c r="F587" t="str">
        <f>VLOOKUP(B587,[1]물질정보!B:F,5,0)</f>
        <v>142.2 g/mol</v>
      </c>
      <c r="G587" s="5" t="str">
        <f>VLOOKUP(B587,[1]물질정보!B:G,6,0)</f>
        <v>CCCCOC(=O)C(=C)C</v>
      </c>
      <c r="H587" t="s">
        <v>79</v>
      </c>
      <c r="I587" t="s">
        <v>88</v>
      </c>
      <c r="J587" t="s">
        <v>89</v>
      </c>
      <c r="K587" t="s">
        <v>90</v>
      </c>
      <c r="L587" t="s">
        <v>29</v>
      </c>
      <c r="M587" t="s">
        <v>205</v>
      </c>
      <c r="N587" t="s">
        <v>206</v>
      </c>
      <c r="O587" t="s">
        <v>29</v>
      </c>
      <c r="P587" t="s">
        <v>29</v>
      </c>
      <c r="Q587" t="s">
        <v>29</v>
      </c>
      <c r="R587" t="s">
        <v>159</v>
      </c>
      <c r="S587" t="s">
        <v>210</v>
      </c>
      <c r="T587" t="s">
        <v>29</v>
      </c>
      <c r="U587" t="s">
        <v>29</v>
      </c>
      <c r="V587" s="6" t="s">
        <v>160</v>
      </c>
      <c r="W587" t="s">
        <v>205</v>
      </c>
      <c r="X587" t="s">
        <v>29</v>
      </c>
      <c r="Y587" s="6" t="s">
        <v>89</v>
      </c>
    </row>
    <row r="588" spans="2:25" x14ac:dyDescent="0.3">
      <c r="B588" s="5" t="s">
        <v>25</v>
      </c>
      <c r="C588" s="5" t="str">
        <f>VLOOKUP(B588,[1]물질정보!B:C,2,0)</f>
        <v>97-88-1</v>
      </c>
      <c r="D588" t="str">
        <f>VLOOKUP(B588,[1]물질정보!B:D,3,0)</f>
        <v>butyl methacrylate</v>
      </c>
      <c r="E588" t="str">
        <f>VLOOKUP(B588,[1]물질정보!B:E,4,0)</f>
        <v>C8H14O2</v>
      </c>
      <c r="F588" t="str">
        <f>VLOOKUP(B588,[1]물질정보!B:F,5,0)</f>
        <v>142.2 g/mol</v>
      </c>
      <c r="G588" s="5" t="str">
        <f>VLOOKUP(B588,[1]물질정보!B:G,6,0)</f>
        <v>CCCCOC(=O)C(=C)C</v>
      </c>
      <c r="H588" t="s">
        <v>79</v>
      </c>
      <c r="I588" t="s">
        <v>88</v>
      </c>
      <c r="J588" t="s">
        <v>89</v>
      </c>
      <c r="K588" t="s">
        <v>90</v>
      </c>
      <c r="L588" t="s">
        <v>29</v>
      </c>
      <c r="M588" t="s">
        <v>91</v>
      </c>
      <c r="N588" t="s">
        <v>202</v>
      </c>
      <c r="O588" t="s">
        <v>29</v>
      </c>
      <c r="P588" t="s">
        <v>29</v>
      </c>
      <c r="Q588" t="s">
        <v>29</v>
      </c>
      <c r="R588" t="s">
        <v>159</v>
      </c>
      <c r="S588" t="s">
        <v>29</v>
      </c>
      <c r="T588" t="s">
        <v>29</v>
      </c>
      <c r="U588" t="s">
        <v>29</v>
      </c>
      <c r="V588" s="6" t="s">
        <v>162</v>
      </c>
      <c r="W588" t="s">
        <v>93</v>
      </c>
      <c r="X588" t="s">
        <v>29</v>
      </c>
      <c r="Y588" s="6" t="s">
        <v>89</v>
      </c>
    </row>
    <row r="589" spans="2:25" x14ac:dyDescent="0.3">
      <c r="B589" s="5" t="s">
        <v>25</v>
      </c>
      <c r="C589" s="5" t="str">
        <f>VLOOKUP(B589,[1]물질정보!B:C,2,0)</f>
        <v>97-88-1</v>
      </c>
      <c r="D589" t="str">
        <f>VLOOKUP(B589,[1]물질정보!B:D,3,0)</f>
        <v>butyl methacrylate</v>
      </c>
      <c r="E589" t="str">
        <f>VLOOKUP(B589,[1]물질정보!B:E,4,0)</f>
        <v>C8H14O2</v>
      </c>
      <c r="F589" t="str">
        <f>VLOOKUP(B589,[1]물질정보!B:F,5,0)</f>
        <v>142.2 g/mol</v>
      </c>
      <c r="G589" s="5" t="str">
        <f>VLOOKUP(B589,[1]물질정보!B:G,6,0)</f>
        <v>CCCCOC(=O)C(=C)C</v>
      </c>
      <c r="H589" t="s">
        <v>79</v>
      </c>
      <c r="I589" t="s">
        <v>88</v>
      </c>
      <c r="J589" t="s">
        <v>89</v>
      </c>
      <c r="K589" t="s">
        <v>90</v>
      </c>
      <c r="L589" t="s">
        <v>29</v>
      </c>
      <c r="M589" t="s">
        <v>91</v>
      </c>
      <c r="N589" t="s">
        <v>202</v>
      </c>
      <c r="O589" t="s">
        <v>29</v>
      </c>
      <c r="P589" t="s">
        <v>29</v>
      </c>
      <c r="Q589" t="s">
        <v>29</v>
      </c>
      <c r="R589" t="s">
        <v>159</v>
      </c>
      <c r="S589" t="s">
        <v>29</v>
      </c>
      <c r="T589" t="s">
        <v>29</v>
      </c>
      <c r="U589" t="s">
        <v>29</v>
      </c>
      <c r="V589" s="6" t="s">
        <v>163</v>
      </c>
      <c r="W589" t="s">
        <v>93</v>
      </c>
      <c r="X589" t="s">
        <v>29</v>
      </c>
      <c r="Y589" s="6" t="s">
        <v>89</v>
      </c>
    </row>
    <row r="590" spans="2:25" x14ac:dyDescent="0.3">
      <c r="B590" s="5" t="s">
        <v>25</v>
      </c>
      <c r="C590" s="5" t="str">
        <f>VLOOKUP(B590,[1]물질정보!B:C,2,0)</f>
        <v>97-88-1</v>
      </c>
      <c r="D590" t="str">
        <f>VLOOKUP(B590,[1]물질정보!B:D,3,0)</f>
        <v>butyl methacrylate</v>
      </c>
      <c r="E590" t="str">
        <f>VLOOKUP(B590,[1]물질정보!B:E,4,0)</f>
        <v>C8H14O2</v>
      </c>
      <c r="F590" t="str">
        <f>VLOOKUP(B590,[1]물질정보!B:F,5,0)</f>
        <v>142.2 g/mol</v>
      </c>
      <c r="G590" s="5" t="str">
        <f>VLOOKUP(B590,[1]물질정보!B:G,6,0)</f>
        <v>CCCCOC(=O)C(=C)C</v>
      </c>
      <c r="H590" t="s">
        <v>79</v>
      </c>
      <c r="I590" t="s">
        <v>88</v>
      </c>
      <c r="J590" t="s">
        <v>89</v>
      </c>
      <c r="K590" t="s">
        <v>90</v>
      </c>
      <c r="L590" t="s">
        <v>29</v>
      </c>
      <c r="M590" t="s">
        <v>29</v>
      </c>
      <c r="N590" t="s">
        <v>29</v>
      </c>
      <c r="O590" t="s">
        <v>29</v>
      </c>
      <c r="P590" t="s">
        <v>29</v>
      </c>
      <c r="Q590" t="s">
        <v>29</v>
      </c>
      <c r="R590" t="s">
        <v>159</v>
      </c>
      <c r="S590" t="s">
        <v>29</v>
      </c>
      <c r="T590" t="s">
        <v>29</v>
      </c>
      <c r="U590" t="s">
        <v>29</v>
      </c>
      <c r="V590" s="6" t="s">
        <v>168</v>
      </c>
      <c r="W590" t="s">
        <v>29</v>
      </c>
      <c r="X590" t="s">
        <v>29</v>
      </c>
      <c r="Y590" s="6" t="s">
        <v>89</v>
      </c>
    </row>
    <row r="591" spans="2:25" x14ac:dyDescent="0.3">
      <c r="B591" s="5" t="s">
        <v>25</v>
      </c>
      <c r="C591" s="5" t="str">
        <f>VLOOKUP(B591,[1]물질정보!B:C,2,0)</f>
        <v>97-88-1</v>
      </c>
      <c r="D591" t="str">
        <f>VLOOKUP(B591,[1]물질정보!B:D,3,0)</f>
        <v>butyl methacrylate</v>
      </c>
      <c r="E591" t="str">
        <f>VLOOKUP(B591,[1]물질정보!B:E,4,0)</f>
        <v>C8H14O2</v>
      </c>
      <c r="F591" t="str">
        <f>VLOOKUP(B591,[1]물질정보!B:F,5,0)</f>
        <v>142.2 g/mol</v>
      </c>
      <c r="G591" s="5" t="str">
        <f>VLOOKUP(B591,[1]물질정보!B:G,6,0)</f>
        <v>CCCCOC(=O)C(=C)C</v>
      </c>
      <c r="H591" t="s">
        <v>79</v>
      </c>
      <c r="I591" t="s">
        <v>88</v>
      </c>
      <c r="J591" t="s">
        <v>89</v>
      </c>
      <c r="K591" t="s">
        <v>90</v>
      </c>
      <c r="L591" t="s">
        <v>29</v>
      </c>
      <c r="M591" t="s">
        <v>29</v>
      </c>
      <c r="N591" t="s">
        <v>29</v>
      </c>
      <c r="O591" t="s">
        <v>29</v>
      </c>
      <c r="P591" t="s">
        <v>29</v>
      </c>
      <c r="Q591" t="s">
        <v>29</v>
      </c>
      <c r="R591" t="s">
        <v>159</v>
      </c>
      <c r="S591" t="s">
        <v>29</v>
      </c>
      <c r="T591" t="s">
        <v>29</v>
      </c>
      <c r="U591" t="s">
        <v>29</v>
      </c>
      <c r="V591" s="6" t="s">
        <v>169</v>
      </c>
      <c r="W591" t="s">
        <v>29</v>
      </c>
      <c r="X591" t="s">
        <v>29</v>
      </c>
      <c r="Y591" s="6" t="s">
        <v>89</v>
      </c>
    </row>
    <row r="592" spans="2:25" x14ac:dyDescent="0.3">
      <c r="B592" s="5" t="s">
        <v>77</v>
      </c>
      <c r="C592" s="5" t="str">
        <f>VLOOKUP(B592,[1]물질정보!B:C,2,0)</f>
        <v>140-88-5</v>
      </c>
      <c r="D592" t="str">
        <f>VLOOKUP(B592,[1]물질정보!B:D,3,0)</f>
        <v>ethyl acrylate</v>
      </c>
      <c r="E592" t="str">
        <f>VLOOKUP(B592,[1]물질정보!B:E,4,0)</f>
        <v>C5H8O2</v>
      </c>
      <c r="F592" t="str">
        <f>VLOOKUP(B592,[1]물질정보!B:F,5,0)</f>
        <v>100.12 g/mol</v>
      </c>
      <c r="G592" s="5" t="str">
        <f>VLOOKUP(B592,[1]물질정보!B:G,6,0)</f>
        <v>CCOC(=O)C=C</v>
      </c>
      <c r="H592" t="s">
        <v>79</v>
      </c>
      <c r="I592" t="s">
        <v>88</v>
      </c>
      <c r="J592" t="s">
        <v>89</v>
      </c>
      <c r="K592" t="s">
        <v>90</v>
      </c>
      <c r="L592" t="s">
        <v>29</v>
      </c>
      <c r="M592" t="s">
        <v>93</v>
      </c>
      <c r="N592" t="s">
        <v>202</v>
      </c>
      <c r="O592" t="s">
        <v>29</v>
      </c>
      <c r="P592" t="s">
        <v>29</v>
      </c>
      <c r="Q592" t="s">
        <v>29</v>
      </c>
      <c r="R592" t="s">
        <v>159</v>
      </c>
      <c r="S592" t="s">
        <v>29</v>
      </c>
      <c r="T592" t="s">
        <v>29</v>
      </c>
      <c r="U592" t="s">
        <v>29</v>
      </c>
      <c r="V592" s="6" t="s">
        <v>160</v>
      </c>
      <c r="W592" t="s">
        <v>93</v>
      </c>
      <c r="X592" t="s">
        <v>29</v>
      </c>
      <c r="Y592" s="6" t="s">
        <v>89</v>
      </c>
    </row>
    <row r="593" spans="2:25" x14ac:dyDescent="0.3">
      <c r="B593" s="5" t="s">
        <v>77</v>
      </c>
      <c r="C593" s="5" t="str">
        <f>VLOOKUP(B593,[1]물질정보!B:C,2,0)</f>
        <v>140-88-5</v>
      </c>
      <c r="D593" t="str">
        <f>VLOOKUP(B593,[1]물질정보!B:D,3,0)</f>
        <v>ethyl acrylate</v>
      </c>
      <c r="E593" t="str">
        <f>VLOOKUP(B593,[1]물질정보!B:E,4,0)</f>
        <v>C5H8O2</v>
      </c>
      <c r="F593" t="str">
        <f>VLOOKUP(B593,[1]물질정보!B:F,5,0)</f>
        <v>100.12 g/mol</v>
      </c>
      <c r="G593" s="5" t="str">
        <f>VLOOKUP(B593,[1]물질정보!B:G,6,0)</f>
        <v>CCOC(=O)C=C</v>
      </c>
      <c r="H593" t="s">
        <v>79</v>
      </c>
      <c r="I593" t="s">
        <v>88</v>
      </c>
      <c r="J593" t="s">
        <v>89</v>
      </c>
      <c r="K593" t="s">
        <v>99</v>
      </c>
      <c r="L593" t="s">
        <v>29</v>
      </c>
      <c r="M593" t="s">
        <v>93</v>
      </c>
      <c r="N593" t="s">
        <v>211</v>
      </c>
      <c r="O593" t="s">
        <v>29</v>
      </c>
      <c r="P593" t="s">
        <v>29</v>
      </c>
      <c r="Q593" t="s">
        <v>29</v>
      </c>
      <c r="R593" t="s">
        <v>159</v>
      </c>
      <c r="S593" t="s">
        <v>29</v>
      </c>
      <c r="T593" t="s">
        <v>29</v>
      </c>
      <c r="U593" t="s">
        <v>29</v>
      </c>
      <c r="V593" s="6" t="s">
        <v>163</v>
      </c>
      <c r="W593" t="s">
        <v>93</v>
      </c>
      <c r="X593" t="s">
        <v>29</v>
      </c>
      <c r="Y593" s="6" t="s">
        <v>89</v>
      </c>
    </row>
    <row r="594" spans="2:25" x14ac:dyDescent="0.3">
      <c r="B594" s="5" t="s">
        <v>77</v>
      </c>
      <c r="C594" s="5" t="str">
        <f>VLOOKUP(B594,[1]물질정보!B:C,2,0)</f>
        <v>140-88-5</v>
      </c>
      <c r="D594" t="str">
        <f>VLOOKUP(B594,[1]물질정보!B:D,3,0)</f>
        <v>ethyl acrylate</v>
      </c>
      <c r="E594" t="str">
        <f>VLOOKUP(B594,[1]물질정보!B:E,4,0)</f>
        <v>C5H8O2</v>
      </c>
      <c r="F594" t="str">
        <f>VLOOKUP(B594,[1]물질정보!B:F,5,0)</f>
        <v>100.12 g/mol</v>
      </c>
      <c r="G594" s="5" t="str">
        <f>VLOOKUP(B594,[1]물질정보!B:G,6,0)</f>
        <v>CCOC(=O)C=C</v>
      </c>
      <c r="H594" t="s">
        <v>79</v>
      </c>
      <c r="I594" t="s">
        <v>88</v>
      </c>
      <c r="J594" t="s">
        <v>89</v>
      </c>
      <c r="K594" t="s">
        <v>90</v>
      </c>
      <c r="L594" t="s">
        <v>29</v>
      </c>
      <c r="M594" t="s">
        <v>93</v>
      </c>
      <c r="N594" t="s">
        <v>202</v>
      </c>
      <c r="O594" t="s">
        <v>29</v>
      </c>
      <c r="P594" t="s">
        <v>29</v>
      </c>
      <c r="Q594" t="s">
        <v>29</v>
      </c>
      <c r="R594" t="s">
        <v>159</v>
      </c>
      <c r="S594" t="s">
        <v>29</v>
      </c>
      <c r="T594" t="s">
        <v>29</v>
      </c>
      <c r="U594" t="s">
        <v>29</v>
      </c>
      <c r="V594" s="6" t="s">
        <v>163</v>
      </c>
      <c r="W594" t="s">
        <v>93</v>
      </c>
      <c r="X594" t="s">
        <v>29</v>
      </c>
      <c r="Y594" s="6" t="s">
        <v>89</v>
      </c>
    </row>
    <row r="595" spans="2:25" x14ac:dyDescent="0.3">
      <c r="B595" s="5" t="s">
        <v>77</v>
      </c>
      <c r="C595" s="5" t="str">
        <f>VLOOKUP(B595,[1]물질정보!B:C,2,0)</f>
        <v>140-88-5</v>
      </c>
      <c r="D595" t="str">
        <f>VLOOKUP(B595,[1]물질정보!B:D,3,0)</f>
        <v>ethyl acrylate</v>
      </c>
      <c r="E595" t="str">
        <f>VLOOKUP(B595,[1]물질정보!B:E,4,0)</f>
        <v>C5H8O2</v>
      </c>
      <c r="F595" t="str">
        <f>VLOOKUP(B595,[1]물질정보!B:F,5,0)</f>
        <v>100.12 g/mol</v>
      </c>
      <c r="G595" s="5" t="str">
        <f>VLOOKUP(B595,[1]물질정보!B:G,6,0)</f>
        <v>CCOC(=O)C=C</v>
      </c>
      <c r="H595" t="s">
        <v>79</v>
      </c>
      <c r="I595" t="s">
        <v>88</v>
      </c>
      <c r="J595" t="s">
        <v>89</v>
      </c>
      <c r="K595" t="s">
        <v>90</v>
      </c>
      <c r="L595" t="s">
        <v>29</v>
      </c>
      <c r="M595" t="s">
        <v>91</v>
      </c>
      <c r="N595" t="s">
        <v>202</v>
      </c>
      <c r="O595" t="s">
        <v>29</v>
      </c>
      <c r="P595" t="s">
        <v>29</v>
      </c>
      <c r="Q595" t="s">
        <v>29</v>
      </c>
      <c r="R595" t="s">
        <v>159</v>
      </c>
      <c r="S595" t="s">
        <v>29</v>
      </c>
      <c r="T595" t="s">
        <v>29</v>
      </c>
      <c r="U595" t="s">
        <v>29</v>
      </c>
      <c r="V595" s="6" t="s">
        <v>162</v>
      </c>
      <c r="W595" t="s">
        <v>93</v>
      </c>
      <c r="X595" t="s">
        <v>29</v>
      </c>
      <c r="Y595" s="6" t="s">
        <v>89</v>
      </c>
    </row>
    <row r="596" spans="2:25" x14ac:dyDescent="0.3">
      <c r="B596" s="5" t="s">
        <v>77</v>
      </c>
      <c r="C596" s="5" t="str">
        <f>VLOOKUP(B596,[1]물질정보!B:C,2,0)</f>
        <v>140-88-5</v>
      </c>
      <c r="D596" t="str">
        <f>VLOOKUP(B596,[1]물질정보!B:D,3,0)</f>
        <v>ethyl acrylate</v>
      </c>
      <c r="E596" t="str">
        <f>VLOOKUP(B596,[1]물질정보!B:E,4,0)</f>
        <v>C5H8O2</v>
      </c>
      <c r="F596" t="str">
        <f>VLOOKUP(B596,[1]물질정보!B:F,5,0)</f>
        <v>100.12 g/mol</v>
      </c>
      <c r="G596" s="5" t="str">
        <f>VLOOKUP(B596,[1]물질정보!B:G,6,0)</f>
        <v>CCOC(=O)C=C</v>
      </c>
      <c r="H596" t="s">
        <v>79</v>
      </c>
      <c r="I596" t="s">
        <v>88</v>
      </c>
      <c r="J596" t="s">
        <v>89</v>
      </c>
      <c r="K596" t="s">
        <v>90</v>
      </c>
      <c r="L596" t="s">
        <v>29</v>
      </c>
      <c r="M596" t="s">
        <v>29</v>
      </c>
      <c r="N596" t="s">
        <v>29</v>
      </c>
      <c r="O596" t="s">
        <v>29</v>
      </c>
      <c r="P596" t="s">
        <v>29</v>
      </c>
      <c r="Q596" t="s">
        <v>29</v>
      </c>
      <c r="R596" t="s">
        <v>159</v>
      </c>
      <c r="S596" t="s">
        <v>29</v>
      </c>
      <c r="T596" t="s">
        <v>29</v>
      </c>
      <c r="U596" t="s">
        <v>29</v>
      </c>
      <c r="V596" s="6" t="s">
        <v>168</v>
      </c>
      <c r="W596" t="s">
        <v>29</v>
      </c>
      <c r="X596" t="s">
        <v>29</v>
      </c>
      <c r="Y596" s="6" t="s">
        <v>89</v>
      </c>
    </row>
    <row r="597" spans="2:25" x14ac:dyDescent="0.3">
      <c r="B597" s="5" t="s">
        <v>77</v>
      </c>
      <c r="C597" s="5" t="str">
        <f>VLOOKUP(B597,[1]물질정보!B:C,2,0)</f>
        <v>140-88-5</v>
      </c>
      <c r="D597" t="str">
        <f>VLOOKUP(B597,[1]물질정보!B:D,3,0)</f>
        <v>ethyl acrylate</v>
      </c>
      <c r="E597" t="str">
        <f>VLOOKUP(B597,[1]물질정보!B:E,4,0)</f>
        <v>C5H8O2</v>
      </c>
      <c r="F597" t="str">
        <f>VLOOKUP(B597,[1]물질정보!B:F,5,0)</f>
        <v>100.12 g/mol</v>
      </c>
      <c r="G597" s="5" t="str">
        <f>VLOOKUP(B597,[1]물질정보!B:G,6,0)</f>
        <v>CCOC(=O)C=C</v>
      </c>
      <c r="H597" t="s">
        <v>79</v>
      </c>
      <c r="I597" t="s">
        <v>88</v>
      </c>
      <c r="J597" t="s">
        <v>89</v>
      </c>
      <c r="K597" t="s">
        <v>90</v>
      </c>
      <c r="L597" t="s">
        <v>29</v>
      </c>
      <c r="M597" t="s">
        <v>29</v>
      </c>
      <c r="N597" t="s">
        <v>29</v>
      </c>
      <c r="O597" t="s">
        <v>29</v>
      </c>
      <c r="P597" t="s">
        <v>29</v>
      </c>
      <c r="Q597" t="s">
        <v>29</v>
      </c>
      <c r="R597" t="s">
        <v>159</v>
      </c>
      <c r="S597" t="s">
        <v>29</v>
      </c>
      <c r="T597" t="s">
        <v>29</v>
      </c>
      <c r="U597" t="s">
        <v>29</v>
      </c>
      <c r="V597" s="6" t="s">
        <v>169</v>
      </c>
      <c r="W597" t="s">
        <v>29</v>
      </c>
      <c r="X597" t="s">
        <v>29</v>
      </c>
      <c r="Y597" s="6" t="s">
        <v>89</v>
      </c>
    </row>
    <row r="598" spans="2:25" x14ac:dyDescent="0.3">
      <c r="B598" s="5" t="s">
        <v>67</v>
      </c>
      <c r="C598" s="5" t="str">
        <f>VLOOKUP(B598,[1]물질정보!B:C,2,0)</f>
        <v>818-61-1</v>
      </c>
      <c r="D598" t="str">
        <f>VLOOKUP(B598,[1]물질정보!B:D,3,0)</f>
        <v>2-hydroxyethyl acrylate</v>
      </c>
      <c r="E598" t="str">
        <f>VLOOKUP(B598,[1]물질정보!B:E,4,0)</f>
        <v>C5H8O3</v>
      </c>
      <c r="F598" t="str">
        <f>VLOOKUP(B598,[1]물질정보!B:F,5,0)</f>
        <v>116.11 g/mol</v>
      </c>
      <c r="G598" s="5" t="str">
        <f>VLOOKUP(B598,[1]물질정보!B:G,6,0)</f>
        <v>C=CC(=O)OCCO</v>
      </c>
      <c r="H598" t="s">
        <v>79</v>
      </c>
      <c r="I598" t="s">
        <v>88</v>
      </c>
      <c r="J598" t="s">
        <v>89</v>
      </c>
      <c r="K598" t="s">
        <v>90</v>
      </c>
      <c r="L598" t="s">
        <v>29</v>
      </c>
      <c r="M598" t="s">
        <v>93</v>
      </c>
      <c r="N598" t="s">
        <v>202</v>
      </c>
      <c r="O598" t="s">
        <v>29</v>
      </c>
      <c r="P598" t="s">
        <v>29</v>
      </c>
      <c r="Q598" t="s">
        <v>29</v>
      </c>
      <c r="R598" t="s">
        <v>159</v>
      </c>
      <c r="S598" t="s">
        <v>204</v>
      </c>
      <c r="T598" t="s">
        <v>29</v>
      </c>
      <c r="U598" t="s">
        <v>29</v>
      </c>
      <c r="V598" s="6" t="s">
        <v>160</v>
      </c>
      <c r="W598" t="s">
        <v>93</v>
      </c>
      <c r="X598" t="s">
        <v>29</v>
      </c>
      <c r="Y598" s="6" t="s">
        <v>89</v>
      </c>
    </row>
    <row r="599" spans="2:25" x14ac:dyDescent="0.3">
      <c r="B599" s="5" t="s">
        <v>67</v>
      </c>
      <c r="C599" s="5" t="str">
        <f>VLOOKUP(B599,[1]물질정보!B:C,2,0)</f>
        <v>818-61-1</v>
      </c>
      <c r="D599" t="str">
        <f>VLOOKUP(B599,[1]물질정보!B:D,3,0)</f>
        <v>2-hydroxyethyl acrylate</v>
      </c>
      <c r="E599" t="str">
        <f>VLOOKUP(B599,[1]물질정보!B:E,4,0)</f>
        <v>C5H8O3</v>
      </c>
      <c r="F599" t="str">
        <f>VLOOKUP(B599,[1]물질정보!B:F,5,0)</f>
        <v>116.11 g/mol</v>
      </c>
      <c r="G599" s="5" t="str">
        <f>VLOOKUP(B599,[1]물질정보!B:G,6,0)</f>
        <v>C=CC(=O)OCCO</v>
      </c>
      <c r="H599" t="s">
        <v>79</v>
      </c>
      <c r="I599" t="s">
        <v>88</v>
      </c>
      <c r="J599" t="s">
        <v>89</v>
      </c>
      <c r="K599" t="s">
        <v>90</v>
      </c>
      <c r="L599" t="s">
        <v>29</v>
      </c>
      <c r="M599" t="s">
        <v>93</v>
      </c>
      <c r="N599" t="s">
        <v>202</v>
      </c>
      <c r="O599" t="s">
        <v>29</v>
      </c>
      <c r="P599" t="s">
        <v>29</v>
      </c>
      <c r="Q599" t="s">
        <v>29</v>
      </c>
      <c r="R599" t="s">
        <v>159</v>
      </c>
      <c r="S599" t="s">
        <v>212</v>
      </c>
      <c r="T599" t="s">
        <v>29</v>
      </c>
      <c r="U599" t="s">
        <v>29</v>
      </c>
      <c r="V599" s="6" t="s">
        <v>160</v>
      </c>
      <c r="W599" t="s">
        <v>93</v>
      </c>
      <c r="X599" t="s">
        <v>29</v>
      </c>
      <c r="Y599" s="6" t="s">
        <v>89</v>
      </c>
    </row>
    <row r="600" spans="2:25" x14ac:dyDescent="0.3">
      <c r="B600" s="5" t="s">
        <v>67</v>
      </c>
      <c r="C600" s="5" t="str">
        <f>VLOOKUP(B600,[1]물질정보!B:C,2,0)</f>
        <v>818-61-1</v>
      </c>
      <c r="D600" t="str">
        <f>VLOOKUP(B600,[1]물질정보!B:D,3,0)</f>
        <v>2-hydroxyethyl acrylate</v>
      </c>
      <c r="E600" t="str">
        <f>VLOOKUP(B600,[1]물질정보!B:E,4,0)</f>
        <v>C5H8O3</v>
      </c>
      <c r="F600" t="str">
        <f>VLOOKUP(B600,[1]물질정보!B:F,5,0)</f>
        <v>116.11 g/mol</v>
      </c>
      <c r="G600" s="5" t="str">
        <f>VLOOKUP(B600,[1]물질정보!B:G,6,0)</f>
        <v>C=CC(=O)OCCO</v>
      </c>
      <c r="H600" t="s">
        <v>79</v>
      </c>
      <c r="I600" t="s">
        <v>88</v>
      </c>
      <c r="J600" t="s">
        <v>89</v>
      </c>
      <c r="K600" t="s">
        <v>90</v>
      </c>
      <c r="L600" t="s">
        <v>29</v>
      </c>
      <c r="M600" t="s">
        <v>93</v>
      </c>
      <c r="N600" t="s">
        <v>202</v>
      </c>
      <c r="O600" t="s">
        <v>29</v>
      </c>
      <c r="P600" t="s">
        <v>29</v>
      </c>
      <c r="Q600" t="s">
        <v>29</v>
      </c>
      <c r="R600" t="s">
        <v>159</v>
      </c>
      <c r="S600" t="s">
        <v>213</v>
      </c>
      <c r="T600" t="s">
        <v>29</v>
      </c>
      <c r="U600" t="s">
        <v>29</v>
      </c>
      <c r="V600" s="6" t="s">
        <v>160</v>
      </c>
      <c r="W600" t="s">
        <v>93</v>
      </c>
      <c r="X600" t="s">
        <v>29</v>
      </c>
      <c r="Y600" s="6" t="s">
        <v>89</v>
      </c>
    </row>
    <row r="601" spans="2:25" x14ac:dyDescent="0.3">
      <c r="B601" s="5" t="s">
        <v>67</v>
      </c>
      <c r="C601" s="5" t="str">
        <f>VLOOKUP(B601,[1]물질정보!B:C,2,0)</f>
        <v>818-61-1</v>
      </c>
      <c r="D601" t="str">
        <f>VLOOKUP(B601,[1]물질정보!B:D,3,0)</f>
        <v>2-hydroxyethyl acrylate</v>
      </c>
      <c r="E601" t="str">
        <f>VLOOKUP(B601,[1]물질정보!B:E,4,0)</f>
        <v>C5H8O3</v>
      </c>
      <c r="F601" t="str">
        <f>VLOOKUP(B601,[1]물질정보!B:F,5,0)</f>
        <v>116.11 g/mol</v>
      </c>
      <c r="G601" s="5" t="str">
        <f>VLOOKUP(B601,[1]물질정보!B:G,6,0)</f>
        <v>C=CC(=O)OCCO</v>
      </c>
      <c r="H601" t="s">
        <v>79</v>
      </c>
      <c r="I601" t="s">
        <v>88</v>
      </c>
      <c r="J601" t="s">
        <v>89</v>
      </c>
      <c r="K601" t="s">
        <v>90</v>
      </c>
      <c r="L601" t="s">
        <v>29</v>
      </c>
      <c r="M601" t="s">
        <v>205</v>
      </c>
      <c r="N601" t="s">
        <v>206</v>
      </c>
      <c r="O601" t="s">
        <v>29</v>
      </c>
      <c r="P601" t="s">
        <v>29</v>
      </c>
      <c r="Q601" t="s">
        <v>29</v>
      </c>
      <c r="R601" t="s">
        <v>159</v>
      </c>
      <c r="S601" t="s">
        <v>204</v>
      </c>
      <c r="T601" t="s">
        <v>29</v>
      </c>
      <c r="U601" t="s">
        <v>29</v>
      </c>
      <c r="V601" s="6" t="s">
        <v>160</v>
      </c>
      <c r="W601" t="s">
        <v>205</v>
      </c>
      <c r="X601" t="s">
        <v>29</v>
      </c>
      <c r="Y601" s="6" t="s">
        <v>89</v>
      </c>
    </row>
    <row r="602" spans="2:25" x14ac:dyDescent="0.3">
      <c r="B602" s="5" t="s">
        <v>67</v>
      </c>
      <c r="C602" s="5" t="str">
        <f>VLOOKUP(B602,[1]물질정보!B:C,2,0)</f>
        <v>818-61-1</v>
      </c>
      <c r="D602" t="str">
        <f>VLOOKUP(B602,[1]물질정보!B:D,3,0)</f>
        <v>2-hydroxyethyl acrylate</v>
      </c>
      <c r="E602" t="str">
        <f>VLOOKUP(B602,[1]물질정보!B:E,4,0)</f>
        <v>C5H8O3</v>
      </c>
      <c r="F602" t="str">
        <f>VLOOKUP(B602,[1]물질정보!B:F,5,0)</f>
        <v>116.11 g/mol</v>
      </c>
      <c r="G602" s="5" t="str">
        <f>VLOOKUP(B602,[1]물질정보!B:G,6,0)</f>
        <v>C=CC(=O)OCCO</v>
      </c>
      <c r="H602" t="s">
        <v>79</v>
      </c>
      <c r="I602" t="s">
        <v>88</v>
      </c>
      <c r="J602" t="s">
        <v>89</v>
      </c>
      <c r="K602" t="s">
        <v>90</v>
      </c>
      <c r="L602" t="s">
        <v>29</v>
      </c>
      <c r="M602" t="s">
        <v>205</v>
      </c>
      <c r="N602" t="s">
        <v>206</v>
      </c>
      <c r="O602" t="s">
        <v>29</v>
      </c>
      <c r="P602" t="s">
        <v>29</v>
      </c>
      <c r="Q602" t="s">
        <v>29</v>
      </c>
      <c r="R602" t="s">
        <v>159</v>
      </c>
      <c r="S602" t="s">
        <v>212</v>
      </c>
      <c r="T602" t="s">
        <v>29</v>
      </c>
      <c r="U602" t="s">
        <v>29</v>
      </c>
      <c r="V602" s="6" t="s">
        <v>160</v>
      </c>
      <c r="W602" t="s">
        <v>205</v>
      </c>
      <c r="X602" t="s">
        <v>29</v>
      </c>
      <c r="Y602" s="6" t="s">
        <v>89</v>
      </c>
    </row>
    <row r="603" spans="2:25" x14ac:dyDescent="0.3">
      <c r="B603" s="5" t="s">
        <v>67</v>
      </c>
      <c r="C603" s="5" t="str">
        <f>VLOOKUP(B603,[1]물질정보!B:C,2,0)</f>
        <v>818-61-1</v>
      </c>
      <c r="D603" t="str">
        <f>VLOOKUP(B603,[1]물질정보!B:D,3,0)</f>
        <v>2-hydroxyethyl acrylate</v>
      </c>
      <c r="E603" t="str">
        <f>VLOOKUP(B603,[1]물질정보!B:E,4,0)</f>
        <v>C5H8O3</v>
      </c>
      <c r="F603" t="str">
        <f>VLOOKUP(B603,[1]물질정보!B:F,5,0)</f>
        <v>116.11 g/mol</v>
      </c>
      <c r="G603" s="5" t="str">
        <f>VLOOKUP(B603,[1]물질정보!B:G,6,0)</f>
        <v>C=CC(=O)OCCO</v>
      </c>
      <c r="H603" t="s">
        <v>79</v>
      </c>
      <c r="I603" t="s">
        <v>88</v>
      </c>
      <c r="J603" t="s">
        <v>89</v>
      </c>
      <c r="K603" t="s">
        <v>90</v>
      </c>
      <c r="L603" t="s">
        <v>29</v>
      </c>
      <c r="M603" t="s">
        <v>205</v>
      </c>
      <c r="N603" t="s">
        <v>206</v>
      </c>
      <c r="O603" t="s">
        <v>29</v>
      </c>
      <c r="P603" t="s">
        <v>29</v>
      </c>
      <c r="Q603" t="s">
        <v>29</v>
      </c>
      <c r="R603" t="s">
        <v>159</v>
      </c>
      <c r="S603" t="s">
        <v>213</v>
      </c>
      <c r="T603" t="s">
        <v>29</v>
      </c>
      <c r="U603" t="s">
        <v>29</v>
      </c>
      <c r="V603" s="6" t="s">
        <v>160</v>
      </c>
      <c r="W603" t="s">
        <v>205</v>
      </c>
      <c r="X603" t="s">
        <v>29</v>
      </c>
      <c r="Y603" s="6" t="s">
        <v>89</v>
      </c>
    </row>
    <row r="604" spans="2:25" x14ac:dyDescent="0.3">
      <c r="B604" s="5" t="s">
        <v>67</v>
      </c>
      <c r="C604" s="5" t="str">
        <f>VLOOKUP(B604,[1]물질정보!B:C,2,0)</f>
        <v>818-61-1</v>
      </c>
      <c r="D604" t="str">
        <f>VLOOKUP(B604,[1]물질정보!B:D,3,0)</f>
        <v>2-hydroxyethyl acrylate</v>
      </c>
      <c r="E604" t="str">
        <f>VLOOKUP(B604,[1]물질정보!B:E,4,0)</f>
        <v>C5H8O3</v>
      </c>
      <c r="F604" t="str">
        <f>VLOOKUP(B604,[1]물질정보!B:F,5,0)</f>
        <v>116.11 g/mol</v>
      </c>
      <c r="G604" s="5" t="str">
        <f>VLOOKUP(B604,[1]물질정보!B:G,6,0)</f>
        <v>C=CC(=O)OCCO</v>
      </c>
      <c r="H604" t="s">
        <v>79</v>
      </c>
      <c r="I604" t="s">
        <v>88</v>
      </c>
      <c r="J604" t="s">
        <v>89</v>
      </c>
      <c r="K604" t="s">
        <v>90</v>
      </c>
      <c r="L604" t="s">
        <v>29</v>
      </c>
      <c r="M604" t="s">
        <v>93</v>
      </c>
      <c r="N604" t="s">
        <v>202</v>
      </c>
      <c r="O604" t="s">
        <v>29</v>
      </c>
      <c r="P604" t="s">
        <v>29</v>
      </c>
      <c r="Q604" t="s">
        <v>29</v>
      </c>
      <c r="R604" t="s">
        <v>159</v>
      </c>
      <c r="S604" t="s">
        <v>204</v>
      </c>
      <c r="T604" t="s">
        <v>29</v>
      </c>
      <c r="U604" t="s">
        <v>29</v>
      </c>
      <c r="V604" s="6" t="s">
        <v>163</v>
      </c>
      <c r="W604" t="s">
        <v>93</v>
      </c>
      <c r="X604" t="s">
        <v>29</v>
      </c>
      <c r="Y604" s="6" t="s">
        <v>89</v>
      </c>
    </row>
    <row r="605" spans="2:25" x14ac:dyDescent="0.3">
      <c r="B605" s="5" t="s">
        <v>67</v>
      </c>
      <c r="C605" s="5" t="str">
        <f>VLOOKUP(B605,[1]물질정보!B:C,2,0)</f>
        <v>818-61-1</v>
      </c>
      <c r="D605" t="str">
        <f>VLOOKUP(B605,[1]물질정보!B:D,3,0)</f>
        <v>2-hydroxyethyl acrylate</v>
      </c>
      <c r="E605" t="str">
        <f>VLOOKUP(B605,[1]물질정보!B:E,4,0)</f>
        <v>C5H8O3</v>
      </c>
      <c r="F605" t="str">
        <f>VLOOKUP(B605,[1]물질정보!B:F,5,0)</f>
        <v>116.11 g/mol</v>
      </c>
      <c r="G605" s="5" t="str">
        <f>VLOOKUP(B605,[1]물질정보!B:G,6,0)</f>
        <v>C=CC(=O)OCCO</v>
      </c>
      <c r="H605" t="s">
        <v>79</v>
      </c>
      <c r="I605" t="s">
        <v>88</v>
      </c>
      <c r="J605" t="s">
        <v>89</v>
      </c>
      <c r="K605" t="s">
        <v>99</v>
      </c>
      <c r="L605" t="s">
        <v>29</v>
      </c>
      <c r="M605" t="s">
        <v>205</v>
      </c>
      <c r="N605" t="s">
        <v>206</v>
      </c>
      <c r="O605" t="s">
        <v>29</v>
      </c>
      <c r="P605" t="s">
        <v>29</v>
      </c>
      <c r="Q605" t="s">
        <v>29</v>
      </c>
      <c r="R605" t="s">
        <v>159</v>
      </c>
      <c r="S605" t="s">
        <v>204</v>
      </c>
      <c r="T605" t="s">
        <v>29</v>
      </c>
      <c r="U605" t="s">
        <v>29</v>
      </c>
      <c r="V605" s="6" t="s">
        <v>163</v>
      </c>
      <c r="W605" t="s">
        <v>205</v>
      </c>
      <c r="X605" t="s">
        <v>29</v>
      </c>
      <c r="Y605" s="6" t="s">
        <v>89</v>
      </c>
    </row>
    <row r="606" spans="2:25" x14ac:dyDescent="0.3">
      <c r="B606" s="5" t="s">
        <v>67</v>
      </c>
      <c r="C606" s="5" t="str">
        <f>VLOOKUP(B606,[1]물질정보!B:C,2,0)</f>
        <v>818-61-1</v>
      </c>
      <c r="D606" t="str">
        <f>VLOOKUP(B606,[1]물질정보!B:D,3,0)</f>
        <v>2-hydroxyethyl acrylate</v>
      </c>
      <c r="E606" t="str">
        <f>VLOOKUP(B606,[1]물질정보!B:E,4,0)</f>
        <v>C5H8O3</v>
      </c>
      <c r="F606" t="str">
        <f>VLOOKUP(B606,[1]물질정보!B:F,5,0)</f>
        <v>116.11 g/mol</v>
      </c>
      <c r="G606" s="5" t="str">
        <f>VLOOKUP(B606,[1]물질정보!B:G,6,0)</f>
        <v>C=CC(=O)OCCO</v>
      </c>
      <c r="H606" t="s">
        <v>79</v>
      </c>
      <c r="I606" t="s">
        <v>88</v>
      </c>
      <c r="J606" t="s">
        <v>89</v>
      </c>
      <c r="K606" t="s">
        <v>90</v>
      </c>
      <c r="L606" t="s">
        <v>29</v>
      </c>
      <c r="M606" t="s">
        <v>91</v>
      </c>
      <c r="N606" t="s">
        <v>202</v>
      </c>
      <c r="O606" t="s">
        <v>29</v>
      </c>
      <c r="P606" t="s">
        <v>29</v>
      </c>
      <c r="Q606" t="s">
        <v>29</v>
      </c>
      <c r="R606" t="s">
        <v>159</v>
      </c>
      <c r="S606" t="s">
        <v>29</v>
      </c>
      <c r="T606" t="s">
        <v>29</v>
      </c>
      <c r="U606" t="s">
        <v>29</v>
      </c>
      <c r="V606" s="6" t="s">
        <v>162</v>
      </c>
      <c r="W606" t="s">
        <v>93</v>
      </c>
      <c r="X606" t="s">
        <v>29</v>
      </c>
      <c r="Y606" s="6" t="s">
        <v>89</v>
      </c>
    </row>
    <row r="607" spans="2:25" x14ac:dyDescent="0.3">
      <c r="B607" s="5" t="s">
        <v>67</v>
      </c>
      <c r="C607" s="5" t="str">
        <f>VLOOKUP(B607,[1]물질정보!B:C,2,0)</f>
        <v>818-61-1</v>
      </c>
      <c r="D607" t="str">
        <f>VLOOKUP(B607,[1]물질정보!B:D,3,0)</f>
        <v>2-hydroxyethyl acrylate</v>
      </c>
      <c r="E607" t="str">
        <f>VLOOKUP(B607,[1]물질정보!B:E,4,0)</f>
        <v>C5H8O3</v>
      </c>
      <c r="F607" t="str">
        <f>VLOOKUP(B607,[1]물질정보!B:F,5,0)</f>
        <v>116.11 g/mol</v>
      </c>
      <c r="G607" s="5" t="str">
        <f>VLOOKUP(B607,[1]물질정보!B:G,6,0)</f>
        <v>C=CC(=O)OCCO</v>
      </c>
      <c r="H607" t="s">
        <v>79</v>
      </c>
      <c r="I607" t="s">
        <v>88</v>
      </c>
      <c r="J607" t="s">
        <v>89</v>
      </c>
      <c r="K607" t="s">
        <v>99</v>
      </c>
      <c r="L607" t="s">
        <v>29</v>
      </c>
      <c r="M607" t="s">
        <v>29</v>
      </c>
      <c r="N607" t="s">
        <v>29</v>
      </c>
      <c r="O607" t="s">
        <v>29</v>
      </c>
      <c r="P607" t="s">
        <v>29</v>
      </c>
      <c r="Q607" t="s">
        <v>29</v>
      </c>
      <c r="R607" t="s">
        <v>159</v>
      </c>
      <c r="S607" t="s">
        <v>29</v>
      </c>
      <c r="T607" t="s">
        <v>29</v>
      </c>
      <c r="U607" t="s">
        <v>29</v>
      </c>
      <c r="V607" s="6" t="s">
        <v>168</v>
      </c>
      <c r="W607" t="s">
        <v>29</v>
      </c>
      <c r="X607" t="s">
        <v>29</v>
      </c>
      <c r="Y607" s="6" t="s">
        <v>89</v>
      </c>
    </row>
    <row r="608" spans="2:25" x14ac:dyDescent="0.3">
      <c r="B608" s="5" t="s">
        <v>67</v>
      </c>
      <c r="C608" s="5" t="str">
        <f>VLOOKUP(B608,[1]물질정보!B:C,2,0)</f>
        <v>818-61-1</v>
      </c>
      <c r="D608" t="str">
        <f>VLOOKUP(B608,[1]물질정보!B:D,3,0)</f>
        <v>2-hydroxyethyl acrylate</v>
      </c>
      <c r="E608" t="str">
        <f>VLOOKUP(B608,[1]물질정보!B:E,4,0)</f>
        <v>C5H8O3</v>
      </c>
      <c r="F608" t="str">
        <f>VLOOKUP(B608,[1]물질정보!B:F,5,0)</f>
        <v>116.11 g/mol</v>
      </c>
      <c r="G608" s="5" t="str">
        <f>VLOOKUP(B608,[1]물질정보!B:G,6,0)</f>
        <v>C=CC(=O)OCCO</v>
      </c>
      <c r="H608" t="s">
        <v>79</v>
      </c>
      <c r="I608" t="s">
        <v>88</v>
      </c>
      <c r="J608" t="s">
        <v>89</v>
      </c>
      <c r="K608" t="s">
        <v>99</v>
      </c>
      <c r="L608" t="s">
        <v>29</v>
      </c>
      <c r="M608" t="s">
        <v>29</v>
      </c>
      <c r="N608" t="s">
        <v>29</v>
      </c>
      <c r="O608" t="s">
        <v>29</v>
      </c>
      <c r="P608" t="s">
        <v>29</v>
      </c>
      <c r="Q608" t="s">
        <v>29</v>
      </c>
      <c r="R608" t="s">
        <v>159</v>
      </c>
      <c r="S608" t="s">
        <v>29</v>
      </c>
      <c r="T608" t="s">
        <v>29</v>
      </c>
      <c r="U608" t="s">
        <v>29</v>
      </c>
      <c r="V608" s="6" t="s">
        <v>169</v>
      </c>
      <c r="W608" t="s">
        <v>29</v>
      </c>
      <c r="X608" t="s">
        <v>29</v>
      </c>
      <c r="Y608" s="6" t="s">
        <v>89</v>
      </c>
    </row>
    <row r="609" spans="2:25" x14ac:dyDescent="0.3">
      <c r="B609" s="5" t="s">
        <v>67</v>
      </c>
      <c r="C609" s="5" t="str">
        <f>VLOOKUP(B609,[1]물질정보!B:C,2,0)</f>
        <v>818-61-1</v>
      </c>
      <c r="D609" t="str">
        <f>VLOOKUP(B609,[1]물질정보!B:D,3,0)</f>
        <v>2-hydroxyethyl acrylate</v>
      </c>
      <c r="E609" t="str">
        <f>VLOOKUP(B609,[1]물질정보!B:E,4,0)</f>
        <v>C5H8O3</v>
      </c>
      <c r="F609" t="str">
        <f>VLOOKUP(B609,[1]물질정보!B:F,5,0)</f>
        <v>116.11 g/mol</v>
      </c>
      <c r="G609" s="5" t="str">
        <f>VLOOKUP(B609,[1]물질정보!B:G,6,0)</f>
        <v>C=CC(=O)OCCO</v>
      </c>
      <c r="H609" t="s">
        <v>79</v>
      </c>
      <c r="I609" t="s">
        <v>88</v>
      </c>
      <c r="J609" t="s">
        <v>89</v>
      </c>
      <c r="K609" t="s">
        <v>90</v>
      </c>
      <c r="L609" t="s">
        <v>29</v>
      </c>
      <c r="M609" t="s">
        <v>207</v>
      </c>
      <c r="N609" t="s">
        <v>214</v>
      </c>
      <c r="O609" t="s">
        <v>29</v>
      </c>
      <c r="P609" t="s">
        <v>29</v>
      </c>
      <c r="Q609" t="s">
        <v>29</v>
      </c>
      <c r="R609" t="s">
        <v>159</v>
      </c>
      <c r="S609" t="s">
        <v>29</v>
      </c>
      <c r="T609" t="s">
        <v>29</v>
      </c>
      <c r="U609" t="s">
        <v>29</v>
      </c>
      <c r="V609" s="6" t="s">
        <v>163</v>
      </c>
      <c r="W609" t="s">
        <v>93</v>
      </c>
      <c r="X609" t="s">
        <v>29</v>
      </c>
      <c r="Y609" s="6" t="s">
        <v>89</v>
      </c>
    </row>
    <row r="610" spans="2:25" x14ac:dyDescent="0.3">
      <c r="B610" s="5" t="s">
        <v>65</v>
      </c>
      <c r="C610" s="5" t="str">
        <f>VLOOKUP(B610,[1]물질정보!B:C,2,0)</f>
        <v>141-32-2</v>
      </c>
      <c r="D610" t="str">
        <f>VLOOKUP(B610,[1]물질정보!B:D,3,0)</f>
        <v>butyl acrylate</v>
      </c>
      <c r="E610" t="str">
        <f>VLOOKUP(B610,[1]물질정보!B:E,4,0)</f>
        <v>C7H12O2</v>
      </c>
      <c r="F610" t="str">
        <f>VLOOKUP(B610,[1]물질정보!B:F,5,0)</f>
        <v>128.169 g/mol</v>
      </c>
      <c r="G610" s="5" t="str">
        <f>VLOOKUP(B610,[1]물질정보!B:G,6,0)</f>
        <v>CCCCOC(=O)C=C</v>
      </c>
      <c r="H610" t="s">
        <v>79</v>
      </c>
      <c r="I610" t="s">
        <v>88</v>
      </c>
      <c r="J610" t="s">
        <v>89</v>
      </c>
      <c r="K610" t="s">
        <v>90</v>
      </c>
      <c r="L610" t="s">
        <v>29</v>
      </c>
      <c r="M610" t="s">
        <v>29</v>
      </c>
      <c r="N610" t="s">
        <v>29</v>
      </c>
      <c r="O610" t="s">
        <v>29</v>
      </c>
      <c r="P610" t="s">
        <v>29</v>
      </c>
      <c r="Q610" t="s">
        <v>29</v>
      </c>
      <c r="R610" t="s">
        <v>159</v>
      </c>
      <c r="S610" t="s">
        <v>29</v>
      </c>
      <c r="T610" t="s">
        <v>29</v>
      </c>
      <c r="U610" t="s">
        <v>29</v>
      </c>
      <c r="V610" s="6" t="s">
        <v>168</v>
      </c>
      <c r="W610" t="s">
        <v>29</v>
      </c>
      <c r="X610" t="s">
        <v>29</v>
      </c>
      <c r="Y610" s="6" t="s">
        <v>89</v>
      </c>
    </row>
    <row r="611" spans="2:25" x14ac:dyDescent="0.3">
      <c r="B611" s="5" t="s">
        <v>65</v>
      </c>
      <c r="C611" s="5" t="str">
        <f>VLOOKUP(B611,[1]물질정보!B:C,2,0)</f>
        <v>141-32-2</v>
      </c>
      <c r="D611" t="str">
        <f>VLOOKUP(B611,[1]물질정보!B:D,3,0)</f>
        <v>butyl acrylate</v>
      </c>
      <c r="E611" t="str">
        <f>VLOOKUP(B611,[1]물질정보!B:E,4,0)</f>
        <v>C7H12O2</v>
      </c>
      <c r="F611" t="str">
        <f>VLOOKUP(B611,[1]물질정보!B:F,5,0)</f>
        <v>128.169 g/mol</v>
      </c>
      <c r="G611" s="5" t="str">
        <f>VLOOKUP(B611,[1]물질정보!B:G,6,0)</f>
        <v>CCCCOC(=O)C=C</v>
      </c>
      <c r="H611" t="s">
        <v>79</v>
      </c>
      <c r="I611" t="s">
        <v>88</v>
      </c>
      <c r="J611" t="s">
        <v>89</v>
      </c>
      <c r="K611" t="s">
        <v>90</v>
      </c>
      <c r="L611" t="s">
        <v>29</v>
      </c>
      <c r="M611" t="s">
        <v>29</v>
      </c>
      <c r="N611" t="s">
        <v>29</v>
      </c>
      <c r="O611" t="s">
        <v>29</v>
      </c>
      <c r="P611" t="s">
        <v>29</v>
      </c>
      <c r="Q611" t="s">
        <v>29</v>
      </c>
      <c r="R611" t="s">
        <v>159</v>
      </c>
      <c r="S611" t="s">
        <v>29</v>
      </c>
      <c r="T611" t="s">
        <v>29</v>
      </c>
      <c r="U611" t="s">
        <v>29</v>
      </c>
      <c r="V611" s="6" t="s">
        <v>169</v>
      </c>
      <c r="W611" t="s">
        <v>29</v>
      </c>
      <c r="X611" t="s">
        <v>29</v>
      </c>
      <c r="Y611" s="6" t="s">
        <v>89</v>
      </c>
    </row>
    <row r="612" spans="2:25" x14ac:dyDescent="0.3">
      <c r="B612" s="5" t="s">
        <v>64</v>
      </c>
      <c r="C612" s="5" t="str">
        <f>VLOOKUP(B612,[1]물질정보!B:C,2,0)</f>
        <v>2478-10-6</v>
      </c>
      <c r="D612" t="str">
        <f>VLOOKUP(B612,[1]물질정보!B:D,3,0)</f>
        <v>4-hydroxybutyl acrylate</v>
      </c>
      <c r="E612" t="str">
        <f>VLOOKUP(B612,[1]물질정보!B:E,4,0)</f>
        <v>C7H12O3</v>
      </c>
      <c r="F612" t="str">
        <f>VLOOKUP(B612,[1]물질정보!B:F,5,0)</f>
        <v>144.17 g/mol</v>
      </c>
      <c r="G612" s="5" t="str">
        <f>VLOOKUP(B612,[1]물질정보!B:G,6,0)</f>
        <v>C=CC(=O)OCCCCO</v>
      </c>
      <c r="H612" t="s">
        <v>79</v>
      </c>
      <c r="I612" t="s">
        <v>88</v>
      </c>
      <c r="J612" t="s">
        <v>89</v>
      </c>
      <c r="K612" t="s">
        <v>90</v>
      </c>
      <c r="L612" t="s">
        <v>29</v>
      </c>
      <c r="M612" t="s">
        <v>91</v>
      </c>
      <c r="N612" t="s">
        <v>202</v>
      </c>
      <c r="O612" t="s">
        <v>29</v>
      </c>
      <c r="P612" t="s">
        <v>29</v>
      </c>
      <c r="Q612" t="s">
        <v>29</v>
      </c>
      <c r="R612" t="s">
        <v>159</v>
      </c>
      <c r="S612" t="s">
        <v>29</v>
      </c>
      <c r="T612" t="s">
        <v>29</v>
      </c>
      <c r="U612" t="s">
        <v>29</v>
      </c>
      <c r="V612" s="6" t="s">
        <v>162</v>
      </c>
      <c r="W612" t="s">
        <v>93</v>
      </c>
      <c r="X612" t="s">
        <v>29</v>
      </c>
      <c r="Y612" s="6" t="s">
        <v>89</v>
      </c>
    </row>
    <row r="613" spans="2:25" x14ac:dyDescent="0.3">
      <c r="B613" s="5" t="s">
        <v>64</v>
      </c>
      <c r="C613" s="5" t="str">
        <f>VLOOKUP(B613,[1]물질정보!B:C,2,0)</f>
        <v>2478-10-6</v>
      </c>
      <c r="D613" t="str">
        <f>VLOOKUP(B613,[1]물질정보!B:D,3,0)</f>
        <v>4-hydroxybutyl acrylate</v>
      </c>
      <c r="E613" t="str">
        <f>VLOOKUP(B613,[1]물질정보!B:E,4,0)</f>
        <v>C7H12O3</v>
      </c>
      <c r="F613" t="str">
        <f>VLOOKUP(B613,[1]물질정보!B:F,5,0)</f>
        <v>144.17 g/mol</v>
      </c>
      <c r="G613" s="5" t="str">
        <f>VLOOKUP(B613,[1]물질정보!B:G,6,0)</f>
        <v>C=CC(=O)OCCCCO</v>
      </c>
      <c r="H613" t="s">
        <v>79</v>
      </c>
      <c r="I613" t="s">
        <v>88</v>
      </c>
      <c r="J613" t="s">
        <v>89</v>
      </c>
      <c r="K613" t="s">
        <v>90</v>
      </c>
      <c r="L613" t="s">
        <v>29</v>
      </c>
      <c r="M613" t="s">
        <v>215</v>
      </c>
      <c r="N613" t="s">
        <v>216</v>
      </c>
      <c r="O613" t="s">
        <v>29</v>
      </c>
      <c r="P613" t="s">
        <v>29</v>
      </c>
      <c r="Q613" t="s">
        <v>29</v>
      </c>
      <c r="R613" t="s">
        <v>159</v>
      </c>
      <c r="S613" t="s">
        <v>204</v>
      </c>
      <c r="T613" t="s">
        <v>29</v>
      </c>
      <c r="U613" t="s">
        <v>29</v>
      </c>
      <c r="V613" s="6" t="s">
        <v>160</v>
      </c>
      <c r="W613" t="s">
        <v>93</v>
      </c>
      <c r="X613" t="s">
        <v>29</v>
      </c>
      <c r="Y613" s="6" t="s">
        <v>89</v>
      </c>
    </row>
    <row r="614" spans="2:25" x14ac:dyDescent="0.3">
      <c r="B614" s="5" t="s">
        <v>59</v>
      </c>
      <c r="C614" s="5" t="str">
        <f>VLOOKUP(B614,[1]물질정보!B:C,2,0)</f>
        <v>2499-95-8</v>
      </c>
      <c r="D614" t="str">
        <f>VLOOKUP(B614,[1]물질정보!B:D,3,0)</f>
        <v>hexyl acrylate</v>
      </c>
      <c r="E614" t="str">
        <f>VLOOKUP(B614,[1]물질정보!B:E,4,0)</f>
        <v>C9H16O2</v>
      </c>
      <c r="F614" t="str">
        <f>VLOOKUP(B614,[1]물질정보!B:F,5,0)</f>
        <v>156.22 g/mol</v>
      </c>
      <c r="G614" s="5" t="str">
        <f>VLOOKUP(B614,[1]물질정보!B:G,6,0)</f>
        <v>CCCCCCOC(=O)C=C</v>
      </c>
      <c r="H614" t="s">
        <v>79</v>
      </c>
      <c r="I614" t="s">
        <v>88</v>
      </c>
      <c r="J614" t="s">
        <v>89</v>
      </c>
      <c r="K614" t="s">
        <v>90</v>
      </c>
      <c r="L614" t="s">
        <v>29</v>
      </c>
      <c r="M614" t="s">
        <v>93</v>
      </c>
      <c r="N614" t="s">
        <v>217</v>
      </c>
      <c r="O614" t="s">
        <v>29</v>
      </c>
      <c r="P614" t="s">
        <v>29</v>
      </c>
      <c r="Q614" t="s">
        <v>29</v>
      </c>
      <c r="R614" t="s">
        <v>159</v>
      </c>
      <c r="S614" t="s">
        <v>204</v>
      </c>
      <c r="T614" t="s">
        <v>29</v>
      </c>
      <c r="U614" t="s">
        <v>29</v>
      </c>
      <c r="V614" s="6" t="s">
        <v>160</v>
      </c>
      <c r="W614" t="s">
        <v>93</v>
      </c>
      <c r="X614" t="s">
        <v>29</v>
      </c>
      <c r="Y614" s="6" t="s">
        <v>89</v>
      </c>
    </row>
    <row r="615" spans="2:25" x14ac:dyDescent="0.3">
      <c r="B615" s="5" t="s">
        <v>125</v>
      </c>
      <c r="C615" s="5" t="str">
        <f>VLOOKUP(B615,[1]물질정보!B:C,2,0)</f>
        <v>-</v>
      </c>
      <c r="D615" t="str">
        <f>VLOOKUP(B615,[1]물질정보!B:D,3,0)</f>
        <v xml:space="preserve">9-(9H-Carbazol-9-yl)-7H-benzo[c]carbazole </v>
      </c>
      <c r="E615" t="str">
        <f>VLOOKUP(B615,[1]물질정보!B:E,4,0)</f>
        <v>C28H18N2</v>
      </c>
      <c r="F615" t="str">
        <f>VLOOKUP(B615,[1]물질정보!B:F,5,0)</f>
        <v>382.5 g/mol</v>
      </c>
      <c r="G615" s="5" t="str">
        <f>VLOOKUP(B615,[1]물질정보!B:G,6,0)</f>
        <v>C1=CC=C2C(=C1)C=CC3=C2C4=C(N3)C=C(C=C4)N5C6=CC=CC=C6C7=CC=CC=C75</v>
      </c>
      <c r="H615" t="s">
        <v>79</v>
      </c>
      <c r="I615" t="s">
        <v>88</v>
      </c>
      <c r="J615" t="s">
        <v>89</v>
      </c>
      <c r="K615" t="s">
        <v>90</v>
      </c>
      <c r="L615" t="s">
        <v>29</v>
      </c>
      <c r="M615" t="s">
        <v>29</v>
      </c>
      <c r="N615" t="s">
        <v>29</v>
      </c>
      <c r="O615" t="s">
        <v>29</v>
      </c>
      <c r="P615" t="s">
        <v>29</v>
      </c>
      <c r="Q615" t="s">
        <v>29</v>
      </c>
      <c r="R615" t="s">
        <v>159</v>
      </c>
      <c r="S615" t="s">
        <v>29</v>
      </c>
      <c r="T615" t="s">
        <v>29</v>
      </c>
      <c r="U615" t="s">
        <v>29</v>
      </c>
      <c r="V615" s="6" t="s">
        <v>168</v>
      </c>
      <c r="W615" t="s">
        <v>29</v>
      </c>
      <c r="X615" t="s">
        <v>29</v>
      </c>
      <c r="Y615" s="6" t="s">
        <v>89</v>
      </c>
    </row>
    <row r="616" spans="2:25" x14ac:dyDescent="0.3">
      <c r="B616" s="5" t="s">
        <v>71</v>
      </c>
      <c r="C616" s="5" t="str">
        <f>VLOOKUP(B616,[1]물질정보!B:C,2,0)</f>
        <v>97-63-2</v>
      </c>
      <c r="D616" t="str">
        <f>VLOOKUP(B616,[1]물질정보!B:D,3,0)</f>
        <v>ethyl methacrylate</v>
      </c>
      <c r="E616" t="str">
        <f>VLOOKUP(B616,[1]물질정보!B:E,4,0)</f>
        <v>C6H10O2</v>
      </c>
      <c r="F616" t="str">
        <f>VLOOKUP(B616,[1]물질정보!B:F,5,0)</f>
        <v>114.14 g/mol</v>
      </c>
      <c r="G616" s="5" t="str">
        <f>VLOOKUP(B616,[1]물질정보!B:G,6,0)</f>
        <v>CCOC(=O)C(=C)C</v>
      </c>
      <c r="H616" t="s">
        <v>79</v>
      </c>
      <c r="I616" t="s">
        <v>97</v>
      </c>
      <c r="J616" t="s">
        <v>98</v>
      </c>
      <c r="K616" t="s">
        <v>90</v>
      </c>
      <c r="L616" t="s">
        <v>29</v>
      </c>
      <c r="M616" t="s">
        <v>218</v>
      </c>
      <c r="N616" t="s">
        <v>29</v>
      </c>
      <c r="O616" t="s">
        <v>29</v>
      </c>
      <c r="P616" t="s">
        <v>29</v>
      </c>
      <c r="Q616" t="s">
        <v>29</v>
      </c>
      <c r="R616" t="s">
        <v>159</v>
      </c>
      <c r="S616" t="s">
        <v>219</v>
      </c>
      <c r="T616" t="s">
        <v>29</v>
      </c>
      <c r="U616" t="s">
        <v>29</v>
      </c>
      <c r="V616" s="6" t="s">
        <v>160</v>
      </c>
      <c r="W616" t="s">
        <v>218</v>
      </c>
      <c r="X616" t="s">
        <v>29</v>
      </c>
      <c r="Y616" s="6" t="s">
        <v>98</v>
      </c>
    </row>
    <row r="617" spans="2:25" x14ac:dyDescent="0.3">
      <c r="B617" s="5" t="s">
        <v>71</v>
      </c>
      <c r="C617" s="5" t="str">
        <f>VLOOKUP(B617,[1]물질정보!B:C,2,0)</f>
        <v>97-63-2</v>
      </c>
      <c r="D617" t="str">
        <f>VLOOKUP(B617,[1]물질정보!B:D,3,0)</f>
        <v>ethyl methacrylate</v>
      </c>
      <c r="E617" t="str">
        <f>VLOOKUP(B617,[1]물질정보!B:E,4,0)</f>
        <v>C6H10O2</v>
      </c>
      <c r="F617" t="str">
        <f>VLOOKUP(B617,[1]물질정보!B:F,5,0)</f>
        <v>114.14 g/mol</v>
      </c>
      <c r="G617" s="5" t="str">
        <f>VLOOKUP(B617,[1]물질정보!B:G,6,0)</f>
        <v>CCOC(=O)C(=C)C</v>
      </c>
      <c r="H617" t="s">
        <v>79</v>
      </c>
      <c r="I617" t="s">
        <v>97</v>
      </c>
      <c r="J617" t="s">
        <v>98</v>
      </c>
      <c r="K617" t="s">
        <v>90</v>
      </c>
      <c r="L617" t="s">
        <v>29</v>
      </c>
      <c r="M617" t="s">
        <v>100</v>
      </c>
      <c r="N617" t="s">
        <v>220</v>
      </c>
      <c r="O617" t="s">
        <v>29</v>
      </c>
      <c r="P617" t="s">
        <v>29</v>
      </c>
      <c r="Q617" t="s">
        <v>29</v>
      </c>
      <c r="R617" t="s">
        <v>159</v>
      </c>
      <c r="S617" t="s">
        <v>29</v>
      </c>
      <c r="T617" t="s">
        <v>29</v>
      </c>
      <c r="U617" t="s">
        <v>29</v>
      </c>
      <c r="V617" s="6" t="s">
        <v>162</v>
      </c>
      <c r="W617" t="s">
        <v>106</v>
      </c>
      <c r="X617" t="s">
        <v>29</v>
      </c>
      <c r="Y617" s="6" t="s">
        <v>98</v>
      </c>
    </row>
    <row r="618" spans="2:25" x14ac:dyDescent="0.3">
      <c r="B618" s="5" t="s">
        <v>71</v>
      </c>
      <c r="C618" s="5" t="str">
        <f>VLOOKUP(B618,[1]물질정보!B:C,2,0)</f>
        <v>97-63-2</v>
      </c>
      <c r="D618" t="str">
        <f>VLOOKUP(B618,[1]물질정보!B:D,3,0)</f>
        <v>ethyl methacrylate</v>
      </c>
      <c r="E618" t="str">
        <f>VLOOKUP(B618,[1]물질정보!B:E,4,0)</f>
        <v>C6H10O2</v>
      </c>
      <c r="F618" t="str">
        <f>VLOOKUP(B618,[1]물질정보!B:F,5,0)</f>
        <v>114.14 g/mol</v>
      </c>
      <c r="G618" s="5" t="str">
        <f>VLOOKUP(B618,[1]물질정보!B:G,6,0)</f>
        <v>CCOC(=O)C(=C)C</v>
      </c>
      <c r="H618" t="s">
        <v>79</v>
      </c>
      <c r="I618" t="s">
        <v>97</v>
      </c>
      <c r="J618" t="s">
        <v>98</v>
      </c>
      <c r="K618" t="s">
        <v>90</v>
      </c>
      <c r="L618" t="s">
        <v>29</v>
      </c>
      <c r="M618" t="s">
        <v>221</v>
      </c>
      <c r="N618" t="s">
        <v>222</v>
      </c>
      <c r="O618" t="s">
        <v>29</v>
      </c>
      <c r="P618" t="s">
        <v>29</v>
      </c>
      <c r="Q618" t="s">
        <v>29</v>
      </c>
      <c r="R618" t="s">
        <v>159</v>
      </c>
      <c r="S618" t="s">
        <v>29</v>
      </c>
      <c r="T618" t="s">
        <v>29</v>
      </c>
      <c r="U618" t="s">
        <v>29</v>
      </c>
      <c r="V618" s="6" t="s">
        <v>163</v>
      </c>
      <c r="W618" t="s">
        <v>106</v>
      </c>
      <c r="X618" t="s">
        <v>29</v>
      </c>
      <c r="Y618" s="6" t="s">
        <v>98</v>
      </c>
    </row>
    <row r="619" spans="2:25" x14ac:dyDescent="0.3">
      <c r="B619" s="5" t="s">
        <v>71</v>
      </c>
      <c r="C619" s="5" t="str">
        <f>VLOOKUP(B619,[1]물질정보!B:C,2,0)</f>
        <v>97-63-2</v>
      </c>
      <c r="D619" t="str">
        <f>VLOOKUP(B619,[1]물질정보!B:D,3,0)</f>
        <v>ethyl methacrylate</v>
      </c>
      <c r="E619" t="str">
        <f>VLOOKUP(B619,[1]물질정보!B:E,4,0)</f>
        <v>C6H10O2</v>
      </c>
      <c r="F619" t="str">
        <f>VLOOKUP(B619,[1]물질정보!B:F,5,0)</f>
        <v>114.14 g/mol</v>
      </c>
      <c r="G619" s="5" t="str">
        <f>VLOOKUP(B619,[1]물질정보!B:G,6,0)</f>
        <v>CCOC(=O)C(=C)C</v>
      </c>
      <c r="H619" t="s">
        <v>79</v>
      </c>
      <c r="I619" t="s">
        <v>97</v>
      </c>
      <c r="J619" t="s">
        <v>98</v>
      </c>
      <c r="K619" t="s">
        <v>99</v>
      </c>
      <c r="L619" t="s">
        <v>29</v>
      </c>
      <c r="M619" t="s">
        <v>221</v>
      </c>
      <c r="N619" t="s">
        <v>222</v>
      </c>
      <c r="O619" t="s">
        <v>29</v>
      </c>
      <c r="P619" t="s">
        <v>29</v>
      </c>
      <c r="Q619" t="s">
        <v>29</v>
      </c>
      <c r="R619" t="s">
        <v>159</v>
      </c>
      <c r="S619" t="s">
        <v>29</v>
      </c>
      <c r="T619" t="s">
        <v>29</v>
      </c>
      <c r="U619" t="s">
        <v>29</v>
      </c>
      <c r="V619" s="6" t="s">
        <v>163</v>
      </c>
      <c r="W619" t="s">
        <v>106</v>
      </c>
      <c r="X619" t="s">
        <v>29</v>
      </c>
      <c r="Y619" s="6" t="s">
        <v>98</v>
      </c>
    </row>
    <row r="620" spans="2:25" x14ac:dyDescent="0.3">
      <c r="B620" s="5" t="s">
        <v>25</v>
      </c>
      <c r="C620" s="5" t="str">
        <f>VLOOKUP(B620,[1]물질정보!B:C,2,0)</f>
        <v>97-88-1</v>
      </c>
      <c r="D620" t="str">
        <f>VLOOKUP(B620,[1]물질정보!B:D,3,0)</f>
        <v>butyl methacrylate</v>
      </c>
      <c r="E620" t="str">
        <f>VLOOKUP(B620,[1]물질정보!B:E,4,0)</f>
        <v>C8H14O2</v>
      </c>
      <c r="F620" t="str">
        <f>VLOOKUP(B620,[1]물질정보!B:F,5,0)</f>
        <v>142.2 g/mol</v>
      </c>
      <c r="G620" s="5" t="str">
        <f>VLOOKUP(B620,[1]물질정보!B:G,6,0)</f>
        <v>CCCCOC(=O)C(=C)C</v>
      </c>
      <c r="H620" t="s">
        <v>79</v>
      </c>
      <c r="I620" t="s">
        <v>97</v>
      </c>
      <c r="J620" t="s">
        <v>98</v>
      </c>
      <c r="K620" t="s">
        <v>90</v>
      </c>
      <c r="L620" t="s">
        <v>29</v>
      </c>
      <c r="M620" t="s">
        <v>221</v>
      </c>
      <c r="N620" t="s">
        <v>223</v>
      </c>
      <c r="O620" t="s">
        <v>29</v>
      </c>
      <c r="P620" t="s">
        <v>29</v>
      </c>
      <c r="Q620" t="s">
        <v>29</v>
      </c>
      <c r="R620" t="s">
        <v>159</v>
      </c>
      <c r="S620" t="s">
        <v>697</v>
      </c>
      <c r="T620" t="s">
        <v>29</v>
      </c>
      <c r="U620" t="s">
        <v>29</v>
      </c>
      <c r="V620" s="6" t="s">
        <v>160</v>
      </c>
      <c r="W620" t="s">
        <v>101</v>
      </c>
      <c r="X620" t="s">
        <v>29</v>
      </c>
      <c r="Y620" s="6" t="s">
        <v>98</v>
      </c>
    </row>
    <row r="621" spans="2:25" x14ac:dyDescent="0.3">
      <c r="B621" s="5" t="s">
        <v>25</v>
      </c>
      <c r="C621" s="5" t="str">
        <f>VLOOKUP(B621,[1]물질정보!B:C,2,0)</f>
        <v>97-88-1</v>
      </c>
      <c r="D621" t="str">
        <f>VLOOKUP(B621,[1]물질정보!B:D,3,0)</f>
        <v>butyl methacrylate</v>
      </c>
      <c r="E621" t="str">
        <f>VLOOKUP(B621,[1]물질정보!B:E,4,0)</f>
        <v>C8H14O2</v>
      </c>
      <c r="F621" t="str">
        <f>VLOOKUP(B621,[1]물질정보!B:F,5,0)</f>
        <v>142.2 g/mol</v>
      </c>
      <c r="G621" s="5" t="str">
        <f>VLOOKUP(B621,[1]물질정보!B:G,6,0)</f>
        <v>CCCCOC(=O)C(=C)C</v>
      </c>
      <c r="H621" t="s">
        <v>79</v>
      </c>
      <c r="I621" t="s">
        <v>97</v>
      </c>
      <c r="J621" t="s">
        <v>98</v>
      </c>
      <c r="K621" t="s">
        <v>90</v>
      </c>
      <c r="L621" t="s">
        <v>29</v>
      </c>
      <c r="M621" t="s">
        <v>221</v>
      </c>
      <c r="N621" t="s">
        <v>223</v>
      </c>
      <c r="O621" t="s">
        <v>29</v>
      </c>
      <c r="P621" t="s">
        <v>29</v>
      </c>
      <c r="Q621" t="s">
        <v>29</v>
      </c>
      <c r="R621" t="s">
        <v>159</v>
      </c>
      <c r="S621" t="s">
        <v>210</v>
      </c>
      <c r="T621" t="s">
        <v>29</v>
      </c>
      <c r="U621" t="s">
        <v>29</v>
      </c>
      <c r="V621" s="6" t="s">
        <v>160</v>
      </c>
      <c r="W621" t="s">
        <v>101</v>
      </c>
      <c r="X621" t="s">
        <v>29</v>
      </c>
      <c r="Y621" s="6" t="s">
        <v>98</v>
      </c>
    </row>
    <row r="622" spans="2:25" x14ac:dyDescent="0.3">
      <c r="B622" s="5" t="s">
        <v>25</v>
      </c>
      <c r="C622" s="5" t="str">
        <f>VLOOKUP(B622,[1]물질정보!B:C,2,0)</f>
        <v>97-88-1</v>
      </c>
      <c r="D622" t="str">
        <f>VLOOKUP(B622,[1]물질정보!B:D,3,0)</f>
        <v>butyl methacrylate</v>
      </c>
      <c r="E622" t="str">
        <f>VLOOKUP(B622,[1]물질정보!B:E,4,0)</f>
        <v>C8H14O2</v>
      </c>
      <c r="F622" t="str">
        <f>VLOOKUP(B622,[1]물질정보!B:F,5,0)</f>
        <v>142.2 g/mol</v>
      </c>
      <c r="G622" s="5" t="str">
        <f>VLOOKUP(B622,[1]물질정보!B:G,6,0)</f>
        <v>CCCCOC(=O)C(=C)C</v>
      </c>
      <c r="H622" t="s">
        <v>79</v>
      </c>
      <c r="I622" t="s">
        <v>97</v>
      </c>
      <c r="J622" t="s">
        <v>98</v>
      </c>
      <c r="K622" t="s">
        <v>90</v>
      </c>
      <c r="L622" t="s">
        <v>29</v>
      </c>
      <c r="M622" t="s">
        <v>100</v>
      </c>
      <c r="N622" t="s">
        <v>225</v>
      </c>
      <c r="O622" t="s">
        <v>29</v>
      </c>
      <c r="P622" t="s">
        <v>29</v>
      </c>
      <c r="Q622" t="s">
        <v>29</v>
      </c>
      <c r="R622" t="s">
        <v>159</v>
      </c>
      <c r="S622" t="s">
        <v>29</v>
      </c>
      <c r="T622" t="s">
        <v>29</v>
      </c>
      <c r="U622" t="s">
        <v>29</v>
      </c>
      <c r="V622" s="6" t="s">
        <v>162</v>
      </c>
      <c r="W622" t="s">
        <v>106</v>
      </c>
      <c r="X622" t="s">
        <v>29</v>
      </c>
      <c r="Y622" s="6" t="s">
        <v>98</v>
      </c>
    </row>
    <row r="623" spans="2:25" x14ac:dyDescent="0.3">
      <c r="B623" s="5" t="s">
        <v>25</v>
      </c>
      <c r="C623" s="5" t="str">
        <f>VLOOKUP(B623,[1]물질정보!B:C,2,0)</f>
        <v>97-88-1</v>
      </c>
      <c r="D623" t="str">
        <f>VLOOKUP(B623,[1]물질정보!B:D,3,0)</f>
        <v>butyl methacrylate</v>
      </c>
      <c r="E623" t="str">
        <f>VLOOKUP(B623,[1]물질정보!B:E,4,0)</f>
        <v>C8H14O2</v>
      </c>
      <c r="F623" t="str">
        <f>VLOOKUP(B623,[1]물질정보!B:F,5,0)</f>
        <v>142.2 g/mol</v>
      </c>
      <c r="G623" s="5" t="str">
        <f>VLOOKUP(B623,[1]물질정보!B:G,6,0)</f>
        <v>CCCCOC(=O)C(=C)C</v>
      </c>
      <c r="H623" t="s">
        <v>79</v>
      </c>
      <c r="I623" t="s">
        <v>97</v>
      </c>
      <c r="J623" t="s">
        <v>98</v>
      </c>
      <c r="K623" t="s">
        <v>90</v>
      </c>
      <c r="L623" t="s">
        <v>29</v>
      </c>
      <c r="M623" t="s">
        <v>29</v>
      </c>
      <c r="N623" t="s">
        <v>29</v>
      </c>
      <c r="O623" t="s">
        <v>29</v>
      </c>
      <c r="P623" t="s">
        <v>29</v>
      </c>
      <c r="Q623" t="s">
        <v>29</v>
      </c>
      <c r="R623" t="s">
        <v>159</v>
      </c>
      <c r="S623" t="s">
        <v>29</v>
      </c>
      <c r="T623" t="s">
        <v>29</v>
      </c>
      <c r="U623" t="s">
        <v>29</v>
      </c>
      <c r="V623" s="6" t="s">
        <v>168</v>
      </c>
      <c r="W623" t="s">
        <v>29</v>
      </c>
      <c r="X623" t="s">
        <v>29</v>
      </c>
      <c r="Y623" s="6" t="s">
        <v>98</v>
      </c>
    </row>
    <row r="624" spans="2:25" x14ac:dyDescent="0.3">
      <c r="B624" s="5" t="s">
        <v>25</v>
      </c>
      <c r="C624" s="5" t="str">
        <f>VLOOKUP(B624,[1]물질정보!B:C,2,0)</f>
        <v>97-88-1</v>
      </c>
      <c r="D624" t="str">
        <f>VLOOKUP(B624,[1]물질정보!B:D,3,0)</f>
        <v>butyl methacrylate</v>
      </c>
      <c r="E624" t="str">
        <f>VLOOKUP(B624,[1]물질정보!B:E,4,0)</f>
        <v>C8H14O2</v>
      </c>
      <c r="F624" t="str">
        <f>VLOOKUP(B624,[1]물질정보!B:F,5,0)</f>
        <v>142.2 g/mol</v>
      </c>
      <c r="G624" s="5" t="str">
        <f>VLOOKUP(B624,[1]물질정보!B:G,6,0)</f>
        <v>CCCCOC(=O)C(=C)C</v>
      </c>
      <c r="H624" t="s">
        <v>79</v>
      </c>
      <c r="I624" t="s">
        <v>97</v>
      </c>
      <c r="J624" t="s">
        <v>98</v>
      </c>
      <c r="K624" t="s">
        <v>90</v>
      </c>
      <c r="L624" t="s">
        <v>29</v>
      </c>
      <c r="M624" t="s">
        <v>29</v>
      </c>
      <c r="N624" t="s">
        <v>29</v>
      </c>
      <c r="O624" t="s">
        <v>29</v>
      </c>
      <c r="P624" t="s">
        <v>29</v>
      </c>
      <c r="Q624" t="s">
        <v>29</v>
      </c>
      <c r="R624" t="s">
        <v>159</v>
      </c>
      <c r="S624" t="s">
        <v>29</v>
      </c>
      <c r="T624" t="s">
        <v>29</v>
      </c>
      <c r="U624" t="s">
        <v>29</v>
      </c>
      <c r="V624" s="6" t="s">
        <v>169</v>
      </c>
      <c r="W624" t="s">
        <v>29</v>
      </c>
      <c r="X624" t="s">
        <v>29</v>
      </c>
      <c r="Y624" s="6" t="s">
        <v>98</v>
      </c>
    </row>
    <row r="625" spans="2:25" x14ac:dyDescent="0.3">
      <c r="B625" s="5" t="s">
        <v>77</v>
      </c>
      <c r="C625" s="5" t="str">
        <f>VLOOKUP(B625,[1]물질정보!B:C,2,0)</f>
        <v>140-88-5</v>
      </c>
      <c r="D625" t="str">
        <f>VLOOKUP(B625,[1]물질정보!B:D,3,0)</f>
        <v>ethyl acrylate</v>
      </c>
      <c r="E625" t="str">
        <f>VLOOKUP(B625,[1]물질정보!B:E,4,0)</f>
        <v>C5H8O2</v>
      </c>
      <c r="F625" t="str">
        <f>VLOOKUP(B625,[1]물질정보!B:F,5,0)</f>
        <v>100.12 g/mol</v>
      </c>
      <c r="G625" s="5" t="str">
        <f>VLOOKUP(B625,[1]물질정보!B:G,6,0)</f>
        <v>CCOC(=O)C=C</v>
      </c>
      <c r="H625" t="s">
        <v>79</v>
      </c>
      <c r="I625" t="s">
        <v>97</v>
      </c>
      <c r="J625" t="s">
        <v>98</v>
      </c>
      <c r="K625" t="s">
        <v>99</v>
      </c>
      <c r="L625" t="s">
        <v>29</v>
      </c>
      <c r="M625" t="s">
        <v>221</v>
      </c>
      <c r="N625" t="s">
        <v>226</v>
      </c>
      <c r="O625" t="s">
        <v>29</v>
      </c>
      <c r="P625" t="s">
        <v>29</v>
      </c>
      <c r="Q625" t="s">
        <v>29</v>
      </c>
      <c r="R625" t="s">
        <v>159</v>
      </c>
      <c r="S625" t="s">
        <v>29</v>
      </c>
      <c r="T625" t="s">
        <v>29</v>
      </c>
      <c r="U625" t="s">
        <v>29</v>
      </c>
      <c r="V625" s="6" t="s">
        <v>163</v>
      </c>
      <c r="W625" t="s">
        <v>101</v>
      </c>
      <c r="X625" t="s">
        <v>29</v>
      </c>
      <c r="Y625" s="6" t="s">
        <v>98</v>
      </c>
    </row>
    <row r="626" spans="2:25" x14ac:dyDescent="0.3">
      <c r="B626" s="5" t="s">
        <v>77</v>
      </c>
      <c r="C626" s="5" t="str">
        <f>VLOOKUP(B626,[1]물질정보!B:C,2,0)</f>
        <v>140-88-5</v>
      </c>
      <c r="D626" t="str">
        <f>VLOOKUP(B626,[1]물질정보!B:D,3,0)</f>
        <v>ethyl acrylate</v>
      </c>
      <c r="E626" t="str">
        <f>VLOOKUP(B626,[1]물질정보!B:E,4,0)</f>
        <v>C5H8O2</v>
      </c>
      <c r="F626" t="str">
        <f>VLOOKUP(B626,[1]물질정보!B:F,5,0)</f>
        <v>100.12 g/mol</v>
      </c>
      <c r="G626" s="5" t="str">
        <f>VLOOKUP(B626,[1]물질정보!B:G,6,0)</f>
        <v>CCOC(=O)C=C</v>
      </c>
      <c r="H626" t="s">
        <v>79</v>
      </c>
      <c r="I626" t="s">
        <v>97</v>
      </c>
      <c r="J626" t="s">
        <v>98</v>
      </c>
      <c r="K626" t="s">
        <v>99</v>
      </c>
      <c r="L626" t="s">
        <v>29</v>
      </c>
      <c r="M626" t="s">
        <v>227</v>
      </c>
      <c r="N626" t="s">
        <v>228</v>
      </c>
      <c r="O626" t="s">
        <v>29</v>
      </c>
      <c r="P626" t="s">
        <v>29</v>
      </c>
      <c r="Q626" t="s">
        <v>29</v>
      </c>
      <c r="R626" t="s">
        <v>159</v>
      </c>
      <c r="S626" t="s">
        <v>29</v>
      </c>
      <c r="T626" t="s">
        <v>29</v>
      </c>
      <c r="U626" t="s">
        <v>29</v>
      </c>
      <c r="V626" s="6" t="s">
        <v>162</v>
      </c>
      <c r="W626" t="s">
        <v>112</v>
      </c>
      <c r="X626" t="s">
        <v>29</v>
      </c>
      <c r="Y626" s="6" t="s">
        <v>98</v>
      </c>
    </row>
    <row r="627" spans="2:25" x14ac:dyDescent="0.3">
      <c r="B627" s="5" t="s">
        <v>77</v>
      </c>
      <c r="C627" s="5" t="str">
        <f>VLOOKUP(B627,[1]물질정보!B:C,2,0)</f>
        <v>140-88-5</v>
      </c>
      <c r="D627" t="str">
        <f>VLOOKUP(B627,[1]물질정보!B:D,3,0)</f>
        <v>ethyl acrylate</v>
      </c>
      <c r="E627" t="str">
        <f>VLOOKUP(B627,[1]물질정보!B:E,4,0)</f>
        <v>C5H8O2</v>
      </c>
      <c r="F627" t="str">
        <f>VLOOKUP(B627,[1]물질정보!B:F,5,0)</f>
        <v>100.12 g/mol</v>
      </c>
      <c r="G627" s="5" t="str">
        <f>VLOOKUP(B627,[1]물질정보!B:G,6,0)</f>
        <v>CCOC(=O)C=C</v>
      </c>
      <c r="H627" t="s">
        <v>79</v>
      </c>
      <c r="I627" t="s">
        <v>97</v>
      </c>
      <c r="J627" t="s">
        <v>98</v>
      </c>
      <c r="K627" t="s">
        <v>90</v>
      </c>
      <c r="L627" t="s">
        <v>29</v>
      </c>
      <c r="M627" t="s">
        <v>229</v>
      </c>
      <c r="N627" t="s">
        <v>230</v>
      </c>
      <c r="O627" t="s">
        <v>29</v>
      </c>
      <c r="P627" t="s">
        <v>29</v>
      </c>
      <c r="Q627" t="s">
        <v>29</v>
      </c>
      <c r="R627" t="s">
        <v>159</v>
      </c>
      <c r="S627" t="s">
        <v>29</v>
      </c>
      <c r="T627" t="s">
        <v>29</v>
      </c>
      <c r="U627" t="s">
        <v>29</v>
      </c>
      <c r="V627" s="6" t="s">
        <v>168</v>
      </c>
      <c r="W627" t="s">
        <v>112</v>
      </c>
      <c r="X627" t="s">
        <v>29</v>
      </c>
      <c r="Y627" s="6" t="s">
        <v>98</v>
      </c>
    </row>
    <row r="628" spans="2:25" x14ac:dyDescent="0.3">
      <c r="B628" s="5" t="s">
        <v>77</v>
      </c>
      <c r="C628" s="5" t="str">
        <f>VLOOKUP(B628,[1]물질정보!B:C,2,0)</f>
        <v>140-88-5</v>
      </c>
      <c r="D628" t="str">
        <f>VLOOKUP(B628,[1]물질정보!B:D,3,0)</f>
        <v>ethyl acrylate</v>
      </c>
      <c r="E628" t="str">
        <f>VLOOKUP(B628,[1]물질정보!B:E,4,0)</f>
        <v>C5H8O2</v>
      </c>
      <c r="F628" t="str">
        <f>VLOOKUP(B628,[1]물질정보!B:F,5,0)</f>
        <v>100.12 g/mol</v>
      </c>
      <c r="G628" s="5" t="str">
        <f>VLOOKUP(B628,[1]물질정보!B:G,6,0)</f>
        <v>CCOC(=O)C=C</v>
      </c>
      <c r="H628" t="s">
        <v>79</v>
      </c>
      <c r="I628" t="s">
        <v>97</v>
      </c>
      <c r="J628" t="s">
        <v>98</v>
      </c>
      <c r="K628" t="s">
        <v>90</v>
      </c>
      <c r="L628" t="s">
        <v>29</v>
      </c>
      <c r="M628" t="s">
        <v>29</v>
      </c>
      <c r="N628" t="s">
        <v>29</v>
      </c>
      <c r="O628" t="s">
        <v>29</v>
      </c>
      <c r="P628" t="s">
        <v>29</v>
      </c>
      <c r="Q628" t="s">
        <v>29</v>
      </c>
      <c r="R628" t="s">
        <v>159</v>
      </c>
      <c r="S628" t="s">
        <v>29</v>
      </c>
      <c r="T628" t="s">
        <v>29</v>
      </c>
      <c r="U628" t="s">
        <v>29</v>
      </c>
      <c r="V628" s="6" t="s">
        <v>169</v>
      </c>
      <c r="W628" t="s">
        <v>29</v>
      </c>
      <c r="X628" t="s">
        <v>29</v>
      </c>
      <c r="Y628" s="6" t="s">
        <v>98</v>
      </c>
    </row>
    <row r="629" spans="2:25" x14ac:dyDescent="0.3">
      <c r="B629" s="5" t="s">
        <v>67</v>
      </c>
      <c r="C629" s="5" t="str">
        <f>VLOOKUP(B629,[1]물질정보!B:C,2,0)</f>
        <v>818-61-1</v>
      </c>
      <c r="D629" t="str">
        <f>VLOOKUP(B629,[1]물질정보!B:D,3,0)</f>
        <v>2-hydroxyethyl acrylate</v>
      </c>
      <c r="E629" t="str">
        <f>VLOOKUP(B629,[1]물질정보!B:E,4,0)</f>
        <v>C5H8O3</v>
      </c>
      <c r="F629" t="str">
        <f>VLOOKUP(B629,[1]물질정보!B:F,5,0)</f>
        <v>116.11 g/mol</v>
      </c>
      <c r="G629" s="5" t="str">
        <f>VLOOKUP(B629,[1]물질정보!B:G,6,0)</f>
        <v>C=CC(=O)OCCO</v>
      </c>
      <c r="H629" t="s">
        <v>79</v>
      </c>
      <c r="I629" t="s">
        <v>97</v>
      </c>
      <c r="J629" t="s">
        <v>98</v>
      </c>
      <c r="K629" t="s">
        <v>99</v>
      </c>
      <c r="L629" t="s">
        <v>29</v>
      </c>
      <c r="M629" t="s">
        <v>229</v>
      </c>
      <c r="N629" t="s">
        <v>231</v>
      </c>
      <c r="O629" t="s">
        <v>29</v>
      </c>
      <c r="P629" t="s">
        <v>29</v>
      </c>
      <c r="Q629" t="s">
        <v>29</v>
      </c>
      <c r="R629" t="s">
        <v>159</v>
      </c>
      <c r="S629" t="s">
        <v>224</v>
      </c>
      <c r="T629" t="s">
        <v>29</v>
      </c>
      <c r="U629" t="s">
        <v>29</v>
      </c>
      <c r="V629" s="6" t="s">
        <v>160</v>
      </c>
      <c r="W629" t="s">
        <v>112</v>
      </c>
      <c r="X629" t="s">
        <v>29</v>
      </c>
      <c r="Y629" s="6" t="s">
        <v>98</v>
      </c>
    </row>
    <row r="630" spans="2:25" x14ac:dyDescent="0.3">
      <c r="B630" s="5" t="s">
        <v>67</v>
      </c>
      <c r="C630" s="5" t="str">
        <f>VLOOKUP(B630,[1]물질정보!B:C,2,0)</f>
        <v>818-61-1</v>
      </c>
      <c r="D630" t="str">
        <f>VLOOKUP(B630,[1]물질정보!B:D,3,0)</f>
        <v>2-hydroxyethyl acrylate</v>
      </c>
      <c r="E630" t="str">
        <f>VLOOKUP(B630,[1]물질정보!B:E,4,0)</f>
        <v>C5H8O3</v>
      </c>
      <c r="F630" t="str">
        <f>VLOOKUP(B630,[1]물질정보!B:F,5,0)</f>
        <v>116.11 g/mol</v>
      </c>
      <c r="G630" s="5" t="str">
        <f>VLOOKUP(B630,[1]물질정보!B:G,6,0)</f>
        <v>C=CC(=O)OCCO</v>
      </c>
      <c r="H630" t="s">
        <v>79</v>
      </c>
      <c r="I630" t="s">
        <v>97</v>
      </c>
      <c r="J630" t="s">
        <v>98</v>
      </c>
      <c r="K630" t="s">
        <v>90</v>
      </c>
      <c r="L630" t="s">
        <v>29</v>
      </c>
      <c r="M630" t="s">
        <v>221</v>
      </c>
      <c r="N630" t="s">
        <v>232</v>
      </c>
      <c r="O630" t="s">
        <v>29</v>
      </c>
      <c r="P630" t="s">
        <v>29</v>
      </c>
      <c r="Q630" t="s">
        <v>29</v>
      </c>
      <c r="R630" t="s">
        <v>159</v>
      </c>
      <c r="S630" t="s">
        <v>224</v>
      </c>
      <c r="T630" t="s">
        <v>29</v>
      </c>
      <c r="U630" t="s">
        <v>29</v>
      </c>
      <c r="V630" s="6" t="s">
        <v>160</v>
      </c>
      <c r="W630" t="s">
        <v>106</v>
      </c>
      <c r="X630" t="s">
        <v>29</v>
      </c>
      <c r="Y630" s="6" t="s">
        <v>98</v>
      </c>
    </row>
    <row r="631" spans="2:25" x14ac:dyDescent="0.3">
      <c r="B631" s="5" t="s">
        <v>67</v>
      </c>
      <c r="C631" s="5" t="str">
        <f>VLOOKUP(B631,[1]물질정보!B:C,2,0)</f>
        <v>818-61-1</v>
      </c>
      <c r="D631" t="str">
        <f>VLOOKUP(B631,[1]물질정보!B:D,3,0)</f>
        <v>2-hydroxyethyl acrylate</v>
      </c>
      <c r="E631" t="str">
        <f>VLOOKUP(B631,[1]물질정보!B:E,4,0)</f>
        <v>C5H8O3</v>
      </c>
      <c r="F631" t="str">
        <f>VLOOKUP(B631,[1]물질정보!B:F,5,0)</f>
        <v>116.11 g/mol</v>
      </c>
      <c r="G631" s="5" t="str">
        <f>VLOOKUP(B631,[1]물질정보!B:G,6,0)</f>
        <v>C=CC(=O)OCCO</v>
      </c>
      <c r="H631" t="s">
        <v>79</v>
      </c>
      <c r="I631" t="s">
        <v>97</v>
      </c>
      <c r="J631" t="s">
        <v>98</v>
      </c>
      <c r="K631" t="s">
        <v>90</v>
      </c>
      <c r="L631" t="s">
        <v>29</v>
      </c>
      <c r="M631" t="s">
        <v>83</v>
      </c>
      <c r="N631" t="s">
        <v>233</v>
      </c>
      <c r="O631" t="s">
        <v>29</v>
      </c>
      <c r="P631" t="s">
        <v>29</v>
      </c>
      <c r="Q631" t="s">
        <v>29</v>
      </c>
      <c r="R631" t="s">
        <v>159</v>
      </c>
      <c r="S631" t="s">
        <v>29</v>
      </c>
      <c r="T631" t="s">
        <v>29</v>
      </c>
      <c r="U631" t="s">
        <v>29</v>
      </c>
      <c r="V631" s="6" t="s">
        <v>163</v>
      </c>
      <c r="W631" t="s">
        <v>112</v>
      </c>
      <c r="X631" t="s">
        <v>29</v>
      </c>
      <c r="Y631" s="6" t="s">
        <v>98</v>
      </c>
    </row>
    <row r="632" spans="2:25" x14ac:dyDescent="0.3">
      <c r="B632" s="5" t="s">
        <v>67</v>
      </c>
      <c r="C632" s="5" t="str">
        <f>VLOOKUP(B632,[1]물질정보!B:C,2,0)</f>
        <v>818-61-1</v>
      </c>
      <c r="D632" t="str">
        <f>VLOOKUP(B632,[1]물질정보!B:D,3,0)</f>
        <v>2-hydroxyethyl acrylate</v>
      </c>
      <c r="E632" t="str">
        <f>VLOOKUP(B632,[1]물질정보!B:E,4,0)</f>
        <v>C5H8O3</v>
      </c>
      <c r="F632" t="str">
        <f>VLOOKUP(B632,[1]물질정보!B:F,5,0)</f>
        <v>116.11 g/mol</v>
      </c>
      <c r="G632" s="5" t="str">
        <f>VLOOKUP(B632,[1]물질정보!B:G,6,0)</f>
        <v>C=CC(=O)OCCO</v>
      </c>
      <c r="H632" t="s">
        <v>79</v>
      </c>
      <c r="I632" t="s">
        <v>97</v>
      </c>
      <c r="J632" t="s">
        <v>98</v>
      </c>
      <c r="K632" t="s">
        <v>99</v>
      </c>
      <c r="L632" t="s">
        <v>29</v>
      </c>
      <c r="M632" t="s">
        <v>83</v>
      </c>
      <c r="N632" t="s">
        <v>233</v>
      </c>
      <c r="O632" t="s">
        <v>29</v>
      </c>
      <c r="P632" t="s">
        <v>29</v>
      </c>
      <c r="Q632" t="s">
        <v>29</v>
      </c>
      <c r="R632" t="s">
        <v>159</v>
      </c>
      <c r="S632" t="s">
        <v>29</v>
      </c>
      <c r="T632" t="s">
        <v>29</v>
      </c>
      <c r="U632" t="s">
        <v>29</v>
      </c>
      <c r="V632" s="6" t="s">
        <v>162</v>
      </c>
      <c r="W632" t="s">
        <v>112</v>
      </c>
      <c r="X632" t="s">
        <v>29</v>
      </c>
      <c r="Y632" s="6" t="s">
        <v>98</v>
      </c>
    </row>
    <row r="633" spans="2:25" x14ac:dyDescent="0.3">
      <c r="B633" s="5" t="s">
        <v>67</v>
      </c>
      <c r="C633" s="5" t="str">
        <f>VLOOKUP(B633,[1]물질정보!B:C,2,0)</f>
        <v>818-61-1</v>
      </c>
      <c r="D633" t="str">
        <f>VLOOKUP(B633,[1]물질정보!B:D,3,0)</f>
        <v>2-hydroxyethyl acrylate</v>
      </c>
      <c r="E633" t="str">
        <f>VLOOKUP(B633,[1]물질정보!B:E,4,0)</f>
        <v>C5H8O3</v>
      </c>
      <c r="F633" t="str">
        <f>VLOOKUP(B633,[1]물질정보!B:F,5,0)</f>
        <v>116.11 g/mol</v>
      </c>
      <c r="G633" s="5" t="str">
        <f>VLOOKUP(B633,[1]물질정보!B:G,6,0)</f>
        <v>C=CC(=O)OCCO</v>
      </c>
      <c r="H633" t="s">
        <v>79</v>
      </c>
      <c r="I633" t="s">
        <v>97</v>
      </c>
      <c r="J633" t="s">
        <v>98</v>
      </c>
      <c r="K633" t="s">
        <v>99</v>
      </c>
      <c r="L633" t="s">
        <v>29</v>
      </c>
      <c r="M633" t="s">
        <v>29</v>
      </c>
      <c r="N633" t="s">
        <v>29</v>
      </c>
      <c r="O633" t="s">
        <v>29</v>
      </c>
      <c r="P633" t="s">
        <v>29</v>
      </c>
      <c r="Q633" t="s">
        <v>29</v>
      </c>
      <c r="R633" t="s">
        <v>159</v>
      </c>
      <c r="S633" t="s">
        <v>29</v>
      </c>
      <c r="T633" t="s">
        <v>29</v>
      </c>
      <c r="U633" t="s">
        <v>29</v>
      </c>
      <c r="V633" s="6" t="s">
        <v>168</v>
      </c>
      <c r="W633" t="s">
        <v>29</v>
      </c>
      <c r="X633" t="s">
        <v>29</v>
      </c>
      <c r="Y633" s="6" t="s">
        <v>98</v>
      </c>
    </row>
    <row r="634" spans="2:25" x14ac:dyDescent="0.3">
      <c r="B634" s="5" t="s">
        <v>67</v>
      </c>
      <c r="C634" s="5" t="str">
        <f>VLOOKUP(B634,[1]물질정보!B:C,2,0)</f>
        <v>818-61-1</v>
      </c>
      <c r="D634" t="str">
        <f>VLOOKUP(B634,[1]물질정보!B:D,3,0)</f>
        <v>2-hydroxyethyl acrylate</v>
      </c>
      <c r="E634" t="str">
        <f>VLOOKUP(B634,[1]물질정보!B:E,4,0)</f>
        <v>C5H8O3</v>
      </c>
      <c r="F634" t="str">
        <f>VLOOKUP(B634,[1]물질정보!B:F,5,0)</f>
        <v>116.11 g/mol</v>
      </c>
      <c r="G634" s="5" t="str">
        <f>VLOOKUP(B634,[1]물질정보!B:G,6,0)</f>
        <v>C=CC(=O)OCCO</v>
      </c>
      <c r="H634" t="s">
        <v>79</v>
      </c>
      <c r="I634" t="s">
        <v>97</v>
      </c>
      <c r="J634" t="s">
        <v>98</v>
      </c>
      <c r="K634" t="s">
        <v>99</v>
      </c>
      <c r="L634" t="s">
        <v>29</v>
      </c>
      <c r="M634" t="s">
        <v>29</v>
      </c>
      <c r="N634" t="s">
        <v>29</v>
      </c>
      <c r="O634" t="s">
        <v>29</v>
      </c>
      <c r="P634" t="s">
        <v>29</v>
      </c>
      <c r="Q634" t="s">
        <v>29</v>
      </c>
      <c r="R634" t="s">
        <v>159</v>
      </c>
      <c r="S634" t="s">
        <v>29</v>
      </c>
      <c r="T634" t="s">
        <v>29</v>
      </c>
      <c r="U634" t="s">
        <v>29</v>
      </c>
      <c r="V634" s="6" t="s">
        <v>169</v>
      </c>
      <c r="W634" t="s">
        <v>29</v>
      </c>
      <c r="X634" t="s">
        <v>29</v>
      </c>
      <c r="Y634" s="6" t="s">
        <v>98</v>
      </c>
    </row>
    <row r="635" spans="2:25" x14ac:dyDescent="0.3">
      <c r="B635" s="5" t="s">
        <v>65</v>
      </c>
      <c r="C635" s="5" t="str">
        <f>VLOOKUP(B635,[1]물질정보!B:C,2,0)</f>
        <v>141-32-2</v>
      </c>
      <c r="D635" t="str">
        <f>VLOOKUP(B635,[1]물질정보!B:D,3,0)</f>
        <v>butyl acrylate</v>
      </c>
      <c r="E635" t="str">
        <f>VLOOKUP(B635,[1]물질정보!B:E,4,0)</f>
        <v>C7H12O2</v>
      </c>
      <c r="F635" t="str">
        <f>VLOOKUP(B635,[1]물질정보!B:F,5,0)</f>
        <v>128.169 g/mol</v>
      </c>
      <c r="G635" s="5" t="str">
        <f>VLOOKUP(B635,[1]물질정보!B:G,6,0)</f>
        <v>CCCCOC(=O)C=C</v>
      </c>
      <c r="H635" t="s">
        <v>79</v>
      </c>
      <c r="I635" t="s">
        <v>97</v>
      </c>
      <c r="J635" t="s">
        <v>98</v>
      </c>
      <c r="K635" t="s">
        <v>90</v>
      </c>
      <c r="L635" t="s">
        <v>29</v>
      </c>
      <c r="M635" t="s">
        <v>221</v>
      </c>
      <c r="N635" t="s">
        <v>222</v>
      </c>
      <c r="O635" t="s">
        <v>29</v>
      </c>
      <c r="P635" t="s">
        <v>29</v>
      </c>
      <c r="Q635" t="s">
        <v>29</v>
      </c>
      <c r="R635" t="s">
        <v>159</v>
      </c>
      <c r="S635" t="s">
        <v>29</v>
      </c>
      <c r="T635" t="s">
        <v>29</v>
      </c>
      <c r="U635" t="s">
        <v>29</v>
      </c>
      <c r="V635" s="6" t="s">
        <v>163</v>
      </c>
      <c r="W635" t="s">
        <v>106</v>
      </c>
      <c r="X635" t="s">
        <v>29</v>
      </c>
      <c r="Y635" s="6" t="s">
        <v>98</v>
      </c>
    </row>
    <row r="636" spans="2:25" x14ac:dyDescent="0.3">
      <c r="B636" s="5" t="s">
        <v>65</v>
      </c>
      <c r="C636" s="5" t="str">
        <f>VLOOKUP(B636,[1]물질정보!B:C,2,0)</f>
        <v>141-32-2</v>
      </c>
      <c r="D636" t="str">
        <f>VLOOKUP(B636,[1]물질정보!B:D,3,0)</f>
        <v>butyl acrylate</v>
      </c>
      <c r="E636" t="str">
        <f>VLOOKUP(B636,[1]물질정보!B:E,4,0)</f>
        <v>C7H12O2</v>
      </c>
      <c r="F636" t="str">
        <f>VLOOKUP(B636,[1]물질정보!B:F,5,0)</f>
        <v>128.169 g/mol</v>
      </c>
      <c r="G636" s="5" t="str">
        <f>VLOOKUP(B636,[1]물질정보!B:G,6,0)</f>
        <v>CCCCOC(=O)C=C</v>
      </c>
      <c r="H636" t="s">
        <v>79</v>
      </c>
      <c r="I636" t="s">
        <v>97</v>
      </c>
      <c r="J636" t="s">
        <v>98</v>
      </c>
      <c r="K636" t="s">
        <v>90</v>
      </c>
      <c r="L636" t="s">
        <v>29</v>
      </c>
      <c r="M636" t="s">
        <v>86</v>
      </c>
      <c r="N636" t="s">
        <v>234</v>
      </c>
      <c r="O636" t="s">
        <v>29</v>
      </c>
      <c r="P636" t="s">
        <v>29</v>
      </c>
      <c r="Q636" t="s">
        <v>29</v>
      </c>
      <c r="R636" t="s">
        <v>159</v>
      </c>
      <c r="S636" t="s">
        <v>29</v>
      </c>
      <c r="T636" t="s">
        <v>29</v>
      </c>
      <c r="U636" t="s">
        <v>29</v>
      </c>
      <c r="V636" s="6" t="s">
        <v>162</v>
      </c>
      <c r="W636" t="s">
        <v>165</v>
      </c>
      <c r="X636" t="s">
        <v>29</v>
      </c>
      <c r="Y636" s="6" t="s">
        <v>98</v>
      </c>
    </row>
    <row r="637" spans="2:25" x14ac:dyDescent="0.3">
      <c r="B637" s="5" t="s">
        <v>65</v>
      </c>
      <c r="C637" s="5" t="str">
        <f>VLOOKUP(B637,[1]물질정보!B:C,2,0)</f>
        <v>141-32-2</v>
      </c>
      <c r="D637" t="str">
        <f>VLOOKUP(B637,[1]물질정보!B:D,3,0)</f>
        <v>butyl acrylate</v>
      </c>
      <c r="E637" t="str">
        <f>VLOOKUP(B637,[1]물질정보!B:E,4,0)</f>
        <v>C7H12O2</v>
      </c>
      <c r="F637" t="str">
        <f>VLOOKUP(B637,[1]물질정보!B:F,5,0)</f>
        <v>128.169 g/mol</v>
      </c>
      <c r="G637" s="5" t="str">
        <f>VLOOKUP(B637,[1]물질정보!B:G,6,0)</f>
        <v>CCCCOC(=O)C=C</v>
      </c>
      <c r="H637" t="s">
        <v>79</v>
      </c>
      <c r="I637" t="s">
        <v>97</v>
      </c>
      <c r="J637" t="s">
        <v>98</v>
      </c>
      <c r="K637" t="s">
        <v>90</v>
      </c>
      <c r="L637" t="s">
        <v>29</v>
      </c>
      <c r="M637" t="s">
        <v>29</v>
      </c>
      <c r="N637" t="s">
        <v>29</v>
      </c>
      <c r="O637" t="s">
        <v>29</v>
      </c>
      <c r="P637" t="s">
        <v>29</v>
      </c>
      <c r="Q637" t="s">
        <v>29</v>
      </c>
      <c r="R637" t="s">
        <v>159</v>
      </c>
      <c r="S637" t="s">
        <v>29</v>
      </c>
      <c r="T637" t="s">
        <v>29</v>
      </c>
      <c r="U637" t="s">
        <v>29</v>
      </c>
      <c r="V637" s="6" t="s">
        <v>168</v>
      </c>
      <c r="W637" t="s">
        <v>29</v>
      </c>
      <c r="X637" t="s">
        <v>29</v>
      </c>
      <c r="Y637" s="6" t="s">
        <v>98</v>
      </c>
    </row>
    <row r="638" spans="2:25" x14ac:dyDescent="0.3">
      <c r="B638" s="5" t="s">
        <v>65</v>
      </c>
      <c r="C638" s="5" t="str">
        <f>VLOOKUP(B638,[1]물질정보!B:C,2,0)</f>
        <v>141-32-2</v>
      </c>
      <c r="D638" t="str">
        <f>VLOOKUP(B638,[1]물질정보!B:D,3,0)</f>
        <v>butyl acrylate</v>
      </c>
      <c r="E638" t="str">
        <f>VLOOKUP(B638,[1]물질정보!B:E,4,0)</f>
        <v>C7H12O2</v>
      </c>
      <c r="F638" t="str">
        <f>VLOOKUP(B638,[1]물질정보!B:F,5,0)</f>
        <v>128.169 g/mol</v>
      </c>
      <c r="G638" s="5" t="str">
        <f>VLOOKUP(B638,[1]물질정보!B:G,6,0)</f>
        <v>CCCCOC(=O)C=C</v>
      </c>
      <c r="H638" t="s">
        <v>79</v>
      </c>
      <c r="I638" t="s">
        <v>97</v>
      </c>
      <c r="J638" t="s">
        <v>98</v>
      </c>
      <c r="K638" t="s">
        <v>90</v>
      </c>
      <c r="L638" t="s">
        <v>29</v>
      </c>
      <c r="M638" t="s">
        <v>29</v>
      </c>
      <c r="N638" t="s">
        <v>29</v>
      </c>
      <c r="O638" t="s">
        <v>29</v>
      </c>
      <c r="P638" t="s">
        <v>29</v>
      </c>
      <c r="Q638" t="s">
        <v>29</v>
      </c>
      <c r="R638" t="s">
        <v>159</v>
      </c>
      <c r="S638" t="s">
        <v>29</v>
      </c>
      <c r="T638" t="s">
        <v>29</v>
      </c>
      <c r="U638" t="s">
        <v>29</v>
      </c>
      <c r="V638" s="6" t="s">
        <v>169</v>
      </c>
      <c r="W638" t="s">
        <v>29</v>
      </c>
      <c r="X638" t="s">
        <v>29</v>
      </c>
      <c r="Y638" s="6" t="s">
        <v>98</v>
      </c>
    </row>
    <row r="639" spans="2:25" x14ac:dyDescent="0.3">
      <c r="B639" s="5" t="s">
        <v>64</v>
      </c>
      <c r="C639" s="5" t="str">
        <f>VLOOKUP(B639,[1]물질정보!B:C,2,0)</f>
        <v>2478-10-6</v>
      </c>
      <c r="D639" t="str">
        <f>VLOOKUP(B639,[1]물질정보!B:D,3,0)</f>
        <v>4-hydroxybutyl acrylate</v>
      </c>
      <c r="E639" t="str">
        <f>VLOOKUP(B639,[1]물질정보!B:E,4,0)</f>
        <v>C7H12O3</v>
      </c>
      <c r="F639" t="str">
        <f>VLOOKUP(B639,[1]물질정보!B:F,5,0)</f>
        <v>144.17 g/mol</v>
      </c>
      <c r="G639" s="5" t="str">
        <f>VLOOKUP(B639,[1]물질정보!B:G,6,0)</f>
        <v>C=CC(=O)OCCCCO</v>
      </c>
      <c r="H639" t="s">
        <v>79</v>
      </c>
      <c r="I639" t="s">
        <v>97</v>
      </c>
      <c r="J639" t="s">
        <v>98</v>
      </c>
      <c r="K639" t="s">
        <v>99</v>
      </c>
      <c r="L639" t="s">
        <v>29</v>
      </c>
      <c r="M639" t="s">
        <v>229</v>
      </c>
      <c r="N639" t="s">
        <v>231</v>
      </c>
      <c r="O639" t="s">
        <v>29</v>
      </c>
      <c r="P639" t="s">
        <v>29</v>
      </c>
      <c r="Q639" t="s">
        <v>29</v>
      </c>
      <c r="R639" t="s">
        <v>159</v>
      </c>
      <c r="S639" t="s">
        <v>224</v>
      </c>
      <c r="T639" t="s">
        <v>29</v>
      </c>
      <c r="U639" t="s">
        <v>29</v>
      </c>
      <c r="V639" s="6" t="s">
        <v>160</v>
      </c>
      <c r="W639" t="s">
        <v>112</v>
      </c>
      <c r="X639" t="s">
        <v>29</v>
      </c>
      <c r="Y639" s="6" t="s">
        <v>98</v>
      </c>
    </row>
    <row r="640" spans="2:25" x14ac:dyDescent="0.3">
      <c r="B640" s="5" t="s">
        <v>64</v>
      </c>
      <c r="C640" s="5" t="str">
        <f>VLOOKUP(B640,[1]물질정보!B:C,2,0)</f>
        <v>2478-10-6</v>
      </c>
      <c r="D640" t="str">
        <f>VLOOKUP(B640,[1]물질정보!B:D,3,0)</f>
        <v>4-hydroxybutyl acrylate</v>
      </c>
      <c r="E640" t="str">
        <f>VLOOKUP(B640,[1]물질정보!B:E,4,0)</f>
        <v>C7H12O3</v>
      </c>
      <c r="F640" t="str">
        <f>VLOOKUP(B640,[1]물질정보!B:F,5,0)</f>
        <v>144.17 g/mol</v>
      </c>
      <c r="G640" s="5" t="str">
        <f>VLOOKUP(B640,[1]물질정보!B:G,6,0)</f>
        <v>C=CC(=O)OCCCCO</v>
      </c>
      <c r="H640" t="s">
        <v>79</v>
      </c>
      <c r="I640" t="s">
        <v>97</v>
      </c>
      <c r="J640" t="s">
        <v>98</v>
      </c>
      <c r="K640" t="s">
        <v>99</v>
      </c>
      <c r="L640" t="s">
        <v>29</v>
      </c>
      <c r="M640" t="s">
        <v>221</v>
      </c>
      <c r="N640" t="s">
        <v>223</v>
      </c>
      <c r="O640" t="s">
        <v>29</v>
      </c>
      <c r="P640" t="s">
        <v>29</v>
      </c>
      <c r="Q640" t="s">
        <v>29</v>
      </c>
      <c r="R640" t="s">
        <v>159</v>
      </c>
      <c r="S640" t="s">
        <v>224</v>
      </c>
      <c r="T640" t="s">
        <v>29</v>
      </c>
      <c r="U640" t="s">
        <v>29</v>
      </c>
      <c r="V640" s="6" t="s">
        <v>160</v>
      </c>
      <c r="W640" t="s">
        <v>101</v>
      </c>
      <c r="X640" t="s">
        <v>29</v>
      </c>
      <c r="Y640" s="6" t="s">
        <v>98</v>
      </c>
    </row>
    <row r="641" spans="2:25" x14ac:dyDescent="0.3">
      <c r="B641" s="5" t="s">
        <v>64</v>
      </c>
      <c r="C641" s="5" t="str">
        <f>VLOOKUP(B641,[1]물질정보!B:C,2,0)</f>
        <v>2478-10-6</v>
      </c>
      <c r="D641" t="str">
        <f>VLOOKUP(B641,[1]물질정보!B:D,3,0)</f>
        <v>4-hydroxybutyl acrylate</v>
      </c>
      <c r="E641" t="str">
        <f>VLOOKUP(B641,[1]물질정보!B:E,4,0)</f>
        <v>C7H12O3</v>
      </c>
      <c r="F641" t="str">
        <f>VLOOKUP(B641,[1]물질정보!B:F,5,0)</f>
        <v>144.17 g/mol</v>
      </c>
      <c r="G641" s="5" t="str">
        <f>VLOOKUP(B641,[1]물질정보!B:G,6,0)</f>
        <v>C=CC(=O)OCCCCO</v>
      </c>
      <c r="H641" t="s">
        <v>79</v>
      </c>
      <c r="I641" t="s">
        <v>97</v>
      </c>
      <c r="J641" t="s">
        <v>98</v>
      </c>
      <c r="K641" t="s">
        <v>99</v>
      </c>
      <c r="L641" t="s">
        <v>29</v>
      </c>
      <c r="M641" t="s">
        <v>221</v>
      </c>
      <c r="N641" t="s">
        <v>232</v>
      </c>
      <c r="O641" t="s">
        <v>29</v>
      </c>
      <c r="P641" t="s">
        <v>29</v>
      </c>
      <c r="Q641" t="s">
        <v>29</v>
      </c>
      <c r="R641" t="s">
        <v>159</v>
      </c>
      <c r="S641" t="s">
        <v>224</v>
      </c>
      <c r="T641" t="s">
        <v>29</v>
      </c>
      <c r="U641" t="s">
        <v>29</v>
      </c>
      <c r="V641" s="6" t="s">
        <v>160</v>
      </c>
      <c r="W641" t="s">
        <v>106</v>
      </c>
      <c r="X641" t="s">
        <v>29</v>
      </c>
      <c r="Y641" s="6" t="s">
        <v>98</v>
      </c>
    </row>
    <row r="642" spans="2:25" x14ac:dyDescent="0.3">
      <c r="B642" s="5" t="s">
        <v>64</v>
      </c>
      <c r="C642" s="5" t="str">
        <f>VLOOKUP(B642,[1]물질정보!B:C,2,0)</f>
        <v>2478-10-6</v>
      </c>
      <c r="D642" t="str">
        <f>VLOOKUP(B642,[1]물질정보!B:D,3,0)</f>
        <v>4-hydroxybutyl acrylate</v>
      </c>
      <c r="E642" t="str">
        <f>VLOOKUP(B642,[1]물질정보!B:E,4,0)</f>
        <v>C7H12O3</v>
      </c>
      <c r="F642" t="str">
        <f>VLOOKUP(B642,[1]물질정보!B:F,5,0)</f>
        <v>144.17 g/mol</v>
      </c>
      <c r="G642" s="5" t="str">
        <f>VLOOKUP(B642,[1]물질정보!B:G,6,0)</f>
        <v>C=CC(=O)OCCCCO</v>
      </c>
      <c r="H642" t="s">
        <v>79</v>
      </c>
      <c r="I642" t="s">
        <v>97</v>
      </c>
      <c r="J642" t="s">
        <v>98</v>
      </c>
      <c r="K642" t="s">
        <v>99</v>
      </c>
      <c r="L642" t="s">
        <v>29</v>
      </c>
      <c r="M642" t="s">
        <v>221</v>
      </c>
      <c r="N642" t="s">
        <v>232</v>
      </c>
      <c r="O642" t="s">
        <v>29</v>
      </c>
      <c r="P642" t="s">
        <v>29</v>
      </c>
      <c r="Q642" t="s">
        <v>29</v>
      </c>
      <c r="R642" t="s">
        <v>159</v>
      </c>
      <c r="S642" t="s">
        <v>235</v>
      </c>
      <c r="T642" t="s">
        <v>29</v>
      </c>
      <c r="U642" t="s">
        <v>29</v>
      </c>
      <c r="V642" s="6" t="s">
        <v>160</v>
      </c>
      <c r="W642" t="s">
        <v>106</v>
      </c>
      <c r="X642" t="s">
        <v>29</v>
      </c>
      <c r="Y642" s="6" t="s">
        <v>98</v>
      </c>
    </row>
    <row r="643" spans="2:25" x14ac:dyDescent="0.3">
      <c r="B643" s="5" t="s">
        <v>64</v>
      </c>
      <c r="C643" s="5" t="str">
        <f>VLOOKUP(B643,[1]물질정보!B:C,2,0)</f>
        <v>2478-10-6</v>
      </c>
      <c r="D643" t="str">
        <f>VLOOKUP(B643,[1]물질정보!B:D,3,0)</f>
        <v>4-hydroxybutyl acrylate</v>
      </c>
      <c r="E643" t="str">
        <f>VLOOKUP(B643,[1]물질정보!B:E,4,0)</f>
        <v>C7H12O3</v>
      </c>
      <c r="F643" t="str">
        <f>VLOOKUP(B643,[1]물질정보!B:F,5,0)</f>
        <v>144.17 g/mol</v>
      </c>
      <c r="G643" s="5" t="str">
        <f>VLOOKUP(B643,[1]물질정보!B:G,6,0)</f>
        <v>C=CC(=O)OCCCCO</v>
      </c>
      <c r="H643" t="s">
        <v>79</v>
      </c>
      <c r="I643" t="s">
        <v>97</v>
      </c>
      <c r="J643" t="s">
        <v>98</v>
      </c>
      <c r="K643" t="s">
        <v>99</v>
      </c>
      <c r="L643" t="s">
        <v>29</v>
      </c>
      <c r="M643" t="s">
        <v>221</v>
      </c>
      <c r="N643" t="s">
        <v>232</v>
      </c>
      <c r="O643" t="s">
        <v>29</v>
      </c>
      <c r="P643" t="s">
        <v>29</v>
      </c>
      <c r="Q643" t="s">
        <v>29</v>
      </c>
      <c r="R643" t="s">
        <v>159</v>
      </c>
      <c r="S643" t="s">
        <v>29</v>
      </c>
      <c r="T643" t="s">
        <v>29</v>
      </c>
      <c r="U643" t="s">
        <v>29</v>
      </c>
      <c r="V643" s="6" t="s">
        <v>160</v>
      </c>
      <c r="W643" t="s">
        <v>236</v>
      </c>
      <c r="X643" t="s">
        <v>29</v>
      </c>
      <c r="Y643" s="6" t="s">
        <v>98</v>
      </c>
    </row>
    <row r="644" spans="2:25" x14ac:dyDescent="0.3">
      <c r="B644" s="5" t="s">
        <v>64</v>
      </c>
      <c r="C644" s="5" t="str">
        <f>VLOOKUP(B644,[1]물질정보!B:C,2,0)</f>
        <v>2478-10-6</v>
      </c>
      <c r="D644" t="str">
        <f>VLOOKUP(B644,[1]물질정보!B:D,3,0)</f>
        <v>4-hydroxybutyl acrylate</v>
      </c>
      <c r="E644" t="str">
        <f>VLOOKUP(B644,[1]물질정보!B:E,4,0)</f>
        <v>C7H12O3</v>
      </c>
      <c r="F644" t="str">
        <f>VLOOKUP(B644,[1]물질정보!B:F,5,0)</f>
        <v>144.17 g/mol</v>
      </c>
      <c r="G644" s="5" t="str">
        <f>VLOOKUP(B644,[1]물질정보!B:G,6,0)</f>
        <v>C=CC(=O)OCCCCO</v>
      </c>
      <c r="H644" t="s">
        <v>79</v>
      </c>
      <c r="I644" t="s">
        <v>97</v>
      </c>
      <c r="J644" t="s">
        <v>98</v>
      </c>
      <c r="K644" t="s">
        <v>99</v>
      </c>
      <c r="L644" t="s">
        <v>29</v>
      </c>
      <c r="M644" t="s">
        <v>229</v>
      </c>
      <c r="N644" t="s">
        <v>231</v>
      </c>
      <c r="O644" t="s">
        <v>29</v>
      </c>
      <c r="P644" t="s">
        <v>29</v>
      </c>
      <c r="Q644" t="s">
        <v>29</v>
      </c>
      <c r="R644" t="s">
        <v>159</v>
      </c>
      <c r="S644" t="s">
        <v>29</v>
      </c>
      <c r="T644" t="s">
        <v>29</v>
      </c>
      <c r="U644" t="s">
        <v>29</v>
      </c>
      <c r="V644" s="6" t="s">
        <v>160</v>
      </c>
      <c r="W644" t="s">
        <v>112</v>
      </c>
      <c r="X644" t="s">
        <v>29</v>
      </c>
      <c r="Y644" s="6" t="s">
        <v>98</v>
      </c>
    </row>
    <row r="645" spans="2:25" x14ac:dyDescent="0.3">
      <c r="B645" s="5" t="s">
        <v>64</v>
      </c>
      <c r="C645" s="5" t="str">
        <f>VLOOKUP(B645,[1]물질정보!B:C,2,0)</f>
        <v>2478-10-6</v>
      </c>
      <c r="D645" t="str">
        <f>VLOOKUP(B645,[1]물질정보!B:D,3,0)</f>
        <v>4-hydroxybutyl acrylate</v>
      </c>
      <c r="E645" t="str">
        <f>VLOOKUP(B645,[1]물질정보!B:E,4,0)</f>
        <v>C7H12O3</v>
      </c>
      <c r="F645" t="str">
        <f>VLOOKUP(B645,[1]물질정보!B:F,5,0)</f>
        <v>144.17 g/mol</v>
      </c>
      <c r="G645" s="5" t="str">
        <f>VLOOKUP(B645,[1]물질정보!B:G,6,0)</f>
        <v>C=CC(=O)OCCCCO</v>
      </c>
      <c r="H645" t="s">
        <v>79</v>
      </c>
      <c r="I645" t="s">
        <v>97</v>
      </c>
      <c r="J645" t="s">
        <v>98</v>
      </c>
      <c r="K645" t="s">
        <v>99</v>
      </c>
      <c r="L645" t="s">
        <v>29</v>
      </c>
      <c r="M645" t="s">
        <v>100</v>
      </c>
      <c r="N645" t="s">
        <v>237</v>
      </c>
      <c r="O645" t="s">
        <v>29</v>
      </c>
      <c r="P645" t="s">
        <v>29</v>
      </c>
      <c r="Q645" t="s">
        <v>29</v>
      </c>
      <c r="R645" t="s">
        <v>159</v>
      </c>
      <c r="S645" t="s">
        <v>29</v>
      </c>
      <c r="T645" t="s">
        <v>29</v>
      </c>
      <c r="U645" t="s">
        <v>29</v>
      </c>
      <c r="V645" s="6" t="s">
        <v>160</v>
      </c>
      <c r="W645" t="s">
        <v>101</v>
      </c>
      <c r="X645" t="s">
        <v>29</v>
      </c>
      <c r="Y645" s="6" t="s">
        <v>98</v>
      </c>
    </row>
    <row r="646" spans="2:25" x14ac:dyDescent="0.3">
      <c r="B646" s="5" t="s">
        <v>59</v>
      </c>
      <c r="C646" s="5" t="str">
        <f>VLOOKUP(B646,[1]물질정보!B:C,2,0)</f>
        <v>2499-95-8</v>
      </c>
      <c r="D646" t="str">
        <f>VLOOKUP(B646,[1]물질정보!B:D,3,0)</f>
        <v>hexyl acrylate</v>
      </c>
      <c r="E646" t="str">
        <f>VLOOKUP(B646,[1]물질정보!B:E,4,0)</f>
        <v>C9H16O2</v>
      </c>
      <c r="F646" t="str">
        <f>VLOOKUP(B646,[1]물질정보!B:F,5,0)</f>
        <v>156.22 g/mol</v>
      </c>
      <c r="G646" s="5" t="str">
        <f>VLOOKUP(B646,[1]물질정보!B:G,6,0)</f>
        <v>CCCCCCOC(=O)C=C</v>
      </c>
      <c r="H646" t="s">
        <v>79</v>
      </c>
      <c r="I646" t="s">
        <v>97</v>
      </c>
      <c r="J646" t="s">
        <v>98</v>
      </c>
      <c r="K646" t="s">
        <v>90</v>
      </c>
      <c r="L646" t="s">
        <v>29</v>
      </c>
      <c r="M646" t="s">
        <v>29</v>
      </c>
      <c r="N646" t="s">
        <v>218</v>
      </c>
      <c r="O646" t="s">
        <v>29</v>
      </c>
      <c r="P646" t="s">
        <v>29</v>
      </c>
      <c r="Q646" t="s">
        <v>29</v>
      </c>
      <c r="R646" t="s">
        <v>159</v>
      </c>
      <c r="S646" t="s">
        <v>224</v>
      </c>
      <c r="T646" t="s">
        <v>29</v>
      </c>
      <c r="U646" t="s">
        <v>29</v>
      </c>
      <c r="V646" s="6" t="s">
        <v>160</v>
      </c>
      <c r="W646" t="s">
        <v>218</v>
      </c>
      <c r="X646" t="s">
        <v>29</v>
      </c>
      <c r="Y646" s="6" t="s">
        <v>98</v>
      </c>
    </row>
    <row r="647" spans="2:25" x14ac:dyDescent="0.3">
      <c r="B647" s="5" t="s">
        <v>59</v>
      </c>
      <c r="C647" s="5" t="str">
        <f>VLOOKUP(B647,[1]물질정보!B:C,2,0)</f>
        <v>2499-95-8</v>
      </c>
      <c r="D647" t="str">
        <f>VLOOKUP(B647,[1]물질정보!B:D,3,0)</f>
        <v>hexyl acrylate</v>
      </c>
      <c r="E647" t="str">
        <f>VLOOKUP(B647,[1]물질정보!B:E,4,0)</f>
        <v>C9H16O2</v>
      </c>
      <c r="F647" t="str">
        <f>VLOOKUP(B647,[1]물질정보!B:F,5,0)</f>
        <v>156.22 g/mol</v>
      </c>
      <c r="G647" s="5" t="str">
        <f>VLOOKUP(B647,[1]물질정보!B:G,6,0)</f>
        <v>CCCCCCOC(=O)C=C</v>
      </c>
      <c r="H647" t="s">
        <v>79</v>
      </c>
      <c r="I647" t="s">
        <v>97</v>
      </c>
      <c r="J647" t="s">
        <v>98</v>
      </c>
      <c r="K647" t="s">
        <v>238</v>
      </c>
      <c r="L647" t="s">
        <v>29</v>
      </c>
      <c r="M647" t="s">
        <v>29</v>
      </c>
      <c r="N647" t="s">
        <v>218</v>
      </c>
      <c r="O647" t="s">
        <v>29</v>
      </c>
      <c r="P647" t="s">
        <v>29</v>
      </c>
      <c r="Q647" t="s">
        <v>29</v>
      </c>
      <c r="R647" t="s">
        <v>159</v>
      </c>
      <c r="S647" t="s">
        <v>224</v>
      </c>
      <c r="T647" t="s">
        <v>29</v>
      </c>
      <c r="U647" t="s">
        <v>29</v>
      </c>
      <c r="V647" s="6" t="s">
        <v>160</v>
      </c>
      <c r="W647" t="s">
        <v>218</v>
      </c>
      <c r="X647" t="s">
        <v>29</v>
      </c>
      <c r="Y647" s="6" t="s">
        <v>98</v>
      </c>
    </row>
    <row r="648" spans="2:25" x14ac:dyDescent="0.3">
      <c r="B648" s="5" t="s">
        <v>71</v>
      </c>
      <c r="C648" s="5" t="str">
        <f>VLOOKUP(B648,[1]물질정보!B:C,2,0)</f>
        <v>97-63-2</v>
      </c>
      <c r="D648" t="str">
        <f>VLOOKUP(B648,[1]물질정보!B:D,3,0)</f>
        <v>ethyl methacrylate</v>
      </c>
      <c r="E648" t="str">
        <f>VLOOKUP(B648,[1]물질정보!B:E,4,0)</f>
        <v>C6H10O2</v>
      </c>
      <c r="F648" t="str">
        <f>VLOOKUP(B648,[1]물질정보!B:F,5,0)</f>
        <v>114.14 g/mol</v>
      </c>
      <c r="G648" s="5" t="str">
        <f>VLOOKUP(B648,[1]물질정보!B:G,6,0)</f>
        <v>CCOC(=O)C(=C)C</v>
      </c>
      <c r="H648" t="s">
        <v>79</v>
      </c>
      <c r="I648" t="s">
        <v>111</v>
      </c>
      <c r="J648" t="s">
        <v>824</v>
      </c>
      <c r="K648" t="s">
        <v>99</v>
      </c>
      <c r="L648" t="s">
        <v>29</v>
      </c>
      <c r="M648" t="s">
        <v>83</v>
      </c>
      <c r="N648" t="s">
        <v>752</v>
      </c>
      <c r="O648" t="s">
        <v>29</v>
      </c>
      <c r="P648" t="s">
        <v>29</v>
      </c>
      <c r="Q648" t="s">
        <v>29</v>
      </c>
      <c r="R648" t="s">
        <v>159</v>
      </c>
      <c r="S648" t="s">
        <v>29</v>
      </c>
      <c r="T648" t="s">
        <v>29</v>
      </c>
      <c r="U648" t="s">
        <v>29</v>
      </c>
      <c r="V648" s="6" t="s">
        <v>162</v>
      </c>
      <c r="W648" t="s">
        <v>112</v>
      </c>
      <c r="X648" t="s">
        <v>29</v>
      </c>
      <c r="Y648" s="6" t="s">
        <v>753</v>
      </c>
    </row>
    <row r="649" spans="2:25" x14ac:dyDescent="0.3">
      <c r="B649" s="5" t="s">
        <v>77</v>
      </c>
      <c r="C649" s="5" t="str">
        <f>VLOOKUP(B649,[1]물질정보!B:C,2,0)</f>
        <v>140-88-5</v>
      </c>
      <c r="D649" t="str">
        <f>VLOOKUP(B649,[1]물질정보!B:D,3,0)</f>
        <v>ethyl acrylate</v>
      </c>
      <c r="E649" t="str">
        <f>VLOOKUP(B649,[1]물질정보!B:E,4,0)</f>
        <v>C5H8O2</v>
      </c>
      <c r="F649" t="str">
        <f>VLOOKUP(B649,[1]물질정보!B:F,5,0)</f>
        <v>100.12 g/mol</v>
      </c>
      <c r="G649" s="5" t="str">
        <f>VLOOKUP(B649,[1]물질정보!B:G,6,0)</f>
        <v>CCOC(=O)C=C</v>
      </c>
      <c r="H649" t="s">
        <v>79</v>
      </c>
      <c r="I649" t="s">
        <v>111</v>
      </c>
      <c r="J649" t="s">
        <v>824</v>
      </c>
      <c r="K649" t="s">
        <v>99</v>
      </c>
      <c r="L649" t="s">
        <v>29</v>
      </c>
      <c r="M649" t="s">
        <v>227</v>
      </c>
      <c r="N649" t="s">
        <v>228</v>
      </c>
      <c r="O649" t="s">
        <v>29</v>
      </c>
      <c r="P649" t="s">
        <v>29</v>
      </c>
      <c r="Q649" t="s">
        <v>29</v>
      </c>
      <c r="R649" t="s">
        <v>159</v>
      </c>
      <c r="S649" t="s">
        <v>29</v>
      </c>
      <c r="T649" t="s">
        <v>29</v>
      </c>
      <c r="U649" t="s">
        <v>29</v>
      </c>
      <c r="V649" s="6" t="s">
        <v>162</v>
      </c>
      <c r="W649" t="s">
        <v>112</v>
      </c>
      <c r="X649" t="s">
        <v>29</v>
      </c>
      <c r="Y649" s="6" t="s">
        <v>753</v>
      </c>
    </row>
    <row r="650" spans="2:25" x14ac:dyDescent="0.3">
      <c r="B650" s="5" t="s">
        <v>67</v>
      </c>
      <c r="C650" s="5" t="str">
        <f>VLOOKUP(B650,[1]물질정보!B:C,2,0)</f>
        <v>818-61-1</v>
      </c>
      <c r="D650" t="str">
        <f>VLOOKUP(B650,[1]물질정보!B:D,3,0)</f>
        <v>2-hydroxyethyl acrylate</v>
      </c>
      <c r="E650" t="str">
        <f>VLOOKUP(B650,[1]물질정보!B:E,4,0)</f>
        <v>C5H8O3</v>
      </c>
      <c r="F650" t="str">
        <f>VLOOKUP(B650,[1]물질정보!B:F,5,0)</f>
        <v>116.11 g/mol</v>
      </c>
      <c r="G650" s="5" t="str">
        <f>VLOOKUP(B650,[1]물질정보!B:G,6,0)</f>
        <v>C=CC(=O)OCCO</v>
      </c>
      <c r="H650" t="s">
        <v>79</v>
      </c>
      <c r="I650" t="s">
        <v>111</v>
      </c>
      <c r="J650" t="s">
        <v>824</v>
      </c>
      <c r="K650" t="s">
        <v>99</v>
      </c>
      <c r="L650" t="s">
        <v>29</v>
      </c>
      <c r="M650" t="s">
        <v>229</v>
      </c>
      <c r="N650" t="s">
        <v>231</v>
      </c>
      <c r="O650" t="s">
        <v>29</v>
      </c>
      <c r="P650" t="s">
        <v>29</v>
      </c>
      <c r="Q650" t="s">
        <v>29</v>
      </c>
      <c r="R650" t="s">
        <v>159</v>
      </c>
      <c r="S650" t="s">
        <v>219</v>
      </c>
      <c r="T650" t="s">
        <v>29</v>
      </c>
      <c r="U650" t="s">
        <v>29</v>
      </c>
      <c r="V650" s="6" t="s">
        <v>160</v>
      </c>
      <c r="W650" t="s">
        <v>112</v>
      </c>
      <c r="X650" t="s">
        <v>29</v>
      </c>
      <c r="Y650" s="6" t="s">
        <v>753</v>
      </c>
    </row>
    <row r="651" spans="2:25" x14ac:dyDescent="0.3">
      <c r="B651" s="5" t="s">
        <v>67</v>
      </c>
      <c r="C651" s="5" t="str">
        <f>VLOOKUP(B651,[1]물질정보!B:C,2,0)</f>
        <v>818-61-1</v>
      </c>
      <c r="D651" t="str">
        <f>VLOOKUP(B651,[1]물질정보!B:D,3,0)</f>
        <v>2-hydroxyethyl acrylate</v>
      </c>
      <c r="E651" t="str">
        <f>VLOOKUP(B651,[1]물질정보!B:E,4,0)</f>
        <v>C5H8O3</v>
      </c>
      <c r="F651" t="str">
        <f>VLOOKUP(B651,[1]물질정보!B:F,5,0)</f>
        <v>116.11 g/mol</v>
      </c>
      <c r="G651" s="5" t="str">
        <f>VLOOKUP(B651,[1]물질정보!B:G,6,0)</f>
        <v>C=CC(=O)OCCO</v>
      </c>
      <c r="H651" t="s">
        <v>79</v>
      </c>
      <c r="I651" t="s">
        <v>111</v>
      </c>
      <c r="J651" t="s">
        <v>824</v>
      </c>
      <c r="K651" t="s">
        <v>99</v>
      </c>
      <c r="L651" t="s">
        <v>29</v>
      </c>
      <c r="M651" t="s">
        <v>229</v>
      </c>
      <c r="N651" t="s">
        <v>231</v>
      </c>
      <c r="O651" t="s">
        <v>29</v>
      </c>
      <c r="P651" t="s">
        <v>29</v>
      </c>
      <c r="Q651" t="s">
        <v>29</v>
      </c>
      <c r="R651" t="s">
        <v>159</v>
      </c>
      <c r="S651" t="s">
        <v>29</v>
      </c>
      <c r="T651" t="s">
        <v>29</v>
      </c>
      <c r="U651" t="s">
        <v>29</v>
      </c>
      <c r="V651" s="6" t="s">
        <v>163</v>
      </c>
      <c r="W651" t="s">
        <v>112</v>
      </c>
      <c r="X651" t="s">
        <v>29</v>
      </c>
      <c r="Y651" s="6" t="s">
        <v>753</v>
      </c>
    </row>
    <row r="652" spans="2:25" x14ac:dyDescent="0.3">
      <c r="B652" s="5" t="s">
        <v>67</v>
      </c>
      <c r="C652" s="5" t="str">
        <f>VLOOKUP(B652,[1]물질정보!B:C,2,0)</f>
        <v>818-61-1</v>
      </c>
      <c r="D652" t="str">
        <f>VLOOKUP(B652,[1]물질정보!B:D,3,0)</f>
        <v>2-hydroxyethyl acrylate</v>
      </c>
      <c r="E652" t="str">
        <f>VLOOKUP(B652,[1]물질정보!B:E,4,0)</f>
        <v>C5H8O3</v>
      </c>
      <c r="F652" t="str">
        <f>VLOOKUP(B652,[1]물질정보!B:F,5,0)</f>
        <v>116.11 g/mol</v>
      </c>
      <c r="G652" s="5" t="str">
        <f>VLOOKUP(B652,[1]물질정보!B:G,6,0)</f>
        <v>C=CC(=O)OCCO</v>
      </c>
      <c r="H652" t="s">
        <v>79</v>
      </c>
      <c r="I652" t="s">
        <v>111</v>
      </c>
      <c r="J652" t="s">
        <v>824</v>
      </c>
      <c r="K652" t="s">
        <v>99</v>
      </c>
      <c r="L652" t="s">
        <v>29</v>
      </c>
      <c r="M652" t="s">
        <v>83</v>
      </c>
      <c r="N652" t="s">
        <v>233</v>
      </c>
      <c r="O652" t="s">
        <v>29</v>
      </c>
      <c r="P652" t="s">
        <v>29</v>
      </c>
      <c r="Q652" t="s">
        <v>29</v>
      </c>
      <c r="R652" t="s">
        <v>159</v>
      </c>
      <c r="S652" t="s">
        <v>29</v>
      </c>
      <c r="T652" t="s">
        <v>29</v>
      </c>
      <c r="U652" t="s">
        <v>29</v>
      </c>
      <c r="V652" s="6" t="s">
        <v>162</v>
      </c>
      <c r="W652" t="s">
        <v>112</v>
      </c>
      <c r="X652" t="s">
        <v>29</v>
      </c>
      <c r="Y652" s="6" t="s">
        <v>753</v>
      </c>
    </row>
    <row r="653" spans="2:25" x14ac:dyDescent="0.3">
      <c r="B653" s="5" t="s">
        <v>64</v>
      </c>
      <c r="C653" s="5" t="str">
        <f>VLOOKUP(B653,[1]물질정보!B:C,2,0)</f>
        <v>2478-10-6</v>
      </c>
      <c r="D653" t="str">
        <f>VLOOKUP(B653,[1]물질정보!B:D,3,0)</f>
        <v>4-hydroxybutyl acrylate</v>
      </c>
      <c r="E653" t="str">
        <f>VLOOKUP(B653,[1]물질정보!B:E,4,0)</f>
        <v>C7H12O3</v>
      </c>
      <c r="F653" t="str">
        <f>VLOOKUP(B653,[1]물질정보!B:F,5,0)</f>
        <v>144.17 g/mol</v>
      </c>
      <c r="G653" s="5" t="str">
        <f>VLOOKUP(B653,[1]물질정보!B:G,6,0)</f>
        <v>C=CC(=O)OCCCCO</v>
      </c>
      <c r="H653" t="s">
        <v>79</v>
      </c>
      <c r="I653" t="s">
        <v>111</v>
      </c>
      <c r="J653" t="s">
        <v>824</v>
      </c>
      <c r="K653" t="s">
        <v>99</v>
      </c>
      <c r="L653" t="s">
        <v>29</v>
      </c>
      <c r="M653" t="s">
        <v>229</v>
      </c>
      <c r="N653" t="s">
        <v>231</v>
      </c>
      <c r="O653" t="s">
        <v>29</v>
      </c>
      <c r="P653" t="s">
        <v>29</v>
      </c>
      <c r="Q653" t="s">
        <v>29</v>
      </c>
      <c r="R653" t="s">
        <v>159</v>
      </c>
      <c r="S653" t="s">
        <v>219</v>
      </c>
      <c r="T653" t="s">
        <v>29</v>
      </c>
      <c r="U653" t="s">
        <v>29</v>
      </c>
      <c r="V653" s="6" t="s">
        <v>160</v>
      </c>
      <c r="W653" t="s">
        <v>112</v>
      </c>
      <c r="X653" t="s">
        <v>29</v>
      </c>
      <c r="Y653" s="6" t="s">
        <v>753</v>
      </c>
    </row>
    <row r="654" spans="2:25" x14ac:dyDescent="0.3">
      <c r="B654" s="5" t="s">
        <v>64</v>
      </c>
      <c r="C654" s="5" t="str">
        <f>VLOOKUP(B654,[1]물질정보!B:C,2,0)</f>
        <v>2478-10-6</v>
      </c>
      <c r="D654" t="str">
        <f>VLOOKUP(B654,[1]물질정보!B:D,3,0)</f>
        <v>4-hydroxybutyl acrylate</v>
      </c>
      <c r="E654" t="str">
        <f>VLOOKUP(B654,[1]물질정보!B:E,4,0)</f>
        <v>C7H12O3</v>
      </c>
      <c r="F654" t="str">
        <f>VLOOKUP(B654,[1]물질정보!B:F,5,0)</f>
        <v>144.17 g/mol</v>
      </c>
      <c r="G654" s="5" t="str">
        <f>VLOOKUP(B654,[1]물질정보!B:G,6,0)</f>
        <v>C=CC(=O)OCCCCO</v>
      </c>
      <c r="H654" t="s">
        <v>79</v>
      </c>
      <c r="I654" t="s">
        <v>111</v>
      </c>
      <c r="J654" t="s">
        <v>824</v>
      </c>
      <c r="K654" t="s">
        <v>90</v>
      </c>
      <c r="L654" t="s">
        <v>29</v>
      </c>
      <c r="M654" t="s">
        <v>239</v>
      </c>
      <c r="N654" t="s">
        <v>240</v>
      </c>
      <c r="O654" t="s">
        <v>29</v>
      </c>
      <c r="P654" t="s">
        <v>29</v>
      </c>
      <c r="Q654" t="s">
        <v>29</v>
      </c>
      <c r="R654" t="s">
        <v>159</v>
      </c>
      <c r="S654" t="s">
        <v>29</v>
      </c>
      <c r="T654" t="s">
        <v>29</v>
      </c>
      <c r="U654" t="s">
        <v>29</v>
      </c>
      <c r="V654" s="6" t="s">
        <v>160</v>
      </c>
      <c r="W654" t="s">
        <v>112</v>
      </c>
      <c r="X654" t="s">
        <v>29</v>
      </c>
      <c r="Y654" s="6" t="s">
        <v>753</v>
      </c>
    </row>
    <row r="655" spans="2:25" x14ac:dyDescent="0.3">
      <c r="B655" s="5" t="s">
        <v>71</v>
      </c>
      <c r="C655" s="5" t="str">
        <f>VLOOKUP(B655,[1]물질정보!B:C,2,0)</f>
        <v>97-63-2</v>
      </c>
      <c r="D655" t="str">
        <f>VLOOKUP(B655,[1]물질정보!B:D,3,0)</f>
        <v>ethyl methacrylate</v>
      </c>
      <c r="E655" t="str">
        <f>VLOOKUP(B655,[1]물질정보!B:E,4,0)</f>
        <v>C6H10O2</v>
      </c>
      <c r="F655" t="str">
        <f>VLOOKUP(B655,[1]물질정보!B:F,5,0)</f>
        <v>114.14 g/mol</v>
      </c>
      <c r="G655" s="5" t="str">
        <f>VLOOKUP(B655,[1]물질정보!B:G,6,0)</f>
        <v>CCOC(=O)C(=C)C</v>
      </c>
      <c r="H655" t="s">
        <v>26</v>
      </c>
      <c r="I655" t="s">
        <v>51</v>
      </c>
      <c r="J655" t="s">
        <v>241</v>
      </c>
      <c r="K655">
        <v>28</v>
      </c>
      <c r="L655" t="s">
        <v>39</v>
      </c>
      <c r="M655" t="s">
        <v>242</v>
      </c>
      <c r="N655" t="s">
        <v>29</v>
      </c>
      <c r="O655" t="s">
        <v>29</v>
      </c>
      <c r="P655">
        <v>96</v>
      </c>
      <c r="Q655" t="s">
        <v>31</v>
      </c>
      <c r="R655" t="s">
        <v>159</v>
      </c>
      <c r="S655" t="s">
        <v>243</v>
      </c>
      <c r="T655" t="s">
        <v>29</v>
      </c>
      <c r="U655" t="s">
        <v>29</v>
      </c>
      <c r="V655" s="6" t="s">
        <v>160</v>
      </c>
      <c r="W655" t="s">
        <v>244</v>
      </c>
      <c r="X655" t="s">
        <v>37</v>
      </c>
      <c r="Y655" s="6" t="s">
        <v>241</v>
      </c>
    </row>
    <row r="656" spans="2:25" x14ac:dyDescent="0.3">
      <c r="B656" s="5" t="s">
        <v>71</v>
      </c>
      <c r="C656" s="5" t="str">
        <f>VLOOKUP(B656,[1]물질정보!B:C,2,0)</f>
        <v>97-63-2</v>
      </c>
      <c r="D656" t="str">
        <f>VLOOKUP(B656,[1]물질정보!B:D,3,0)</f>
        <v>ethyl methacrylate</v>
      </c>
      <c r="E656" t="str">
        <f>VLOOKUP(B656,[1]물질정보!B:E,4,0)</f>
        <v>C6H10O2</v>
      </c>
      <c r="F656" t="str">
        <f>VLOOKUP(B656,[1]물질정보!B:F,5,0)</f>
        <v>114.14 g/mol</v>
      </c>
      <c r="G656" s="5" t="str">
        <f>VLOOKUP(B656,[1]물질정보!B:G,6,0)</f>
        <v>CCOC(=O)C(=C)C</v>
      </c>
      <c r="H656" t="s">
        <v>26</v>
      </c>
      <c r="I656" t="s">
        <v>51</v>
      </c>
      <c r="J656" t="s">
        <v>49</v>
      </c>
      <c r="K656">
        <v>100</v>
      </c>
      <c r="L656" t="s">
        <v>39</v>
      </c>
      <c r="M656" t="s">
        <v>242</v>
      </c>
      <c r="N656" t="s">
        <v>29</v>
      </c>
      <c r="O656" t="s">
        <v>29</v>
      </c>
      <c r="P656">
        <v>96</v>
      </c>
      <c r="Q656" t="s">
        <v>31</v>
      </c>
      <c r="R656" t="s">
        <v>159</v>
      </c>
      <c r="S656" t="s">
        <v>243</v>
      </c>
      <c r="T656" t="s">
        <v>29</v>
      </c>
      <c r="U656" t="s">
        <v>29</v>
      </c>
      <c r="V656" s="6" t="s">
        <v>160</v>
      </c>
      <c r="W656" t="s">
        <v>244</v>
      </c>
      <c r="X656" t="s">
        <v>37</v>
      </c>
      <c r="Y656" s="6" t="s">
        <v>49</v>
      </c>
    </row>
    <row r="657" spans="2:25" x14ac:dyDescent="0.3">
      <c r="B657" s="5" t="s">
        <v>71</v>
      </c>
      <c r="C657" s="5" t="str">
        <f>VLOOKUP(B657,[1]물질정보!B:C,2,0)</f>
        <v>97-63-2</v>
      </c>
      <c r="D657" t="str">
        <f>VLOOKUP(B657,[1]물질정보!B:D,3,0)</f>
        <v>ethyl methacrylate</v>
      </c>
      <c r="E657" t="str">
        <f>VLOOKUP(B657,[1]물질정보!B:E,4,0)</f>
        <v>C6H10O2</v>
      </c>
      <c r="F657" t="str">
        <f>VLOOKUP(B657,[1]물질정보!B:F,5,0)</f>
        <v>114.14 g/mol</v>
      </c>
      <c r="G657" s="5" t="str">
        <f>VLOOKUP(B657,[1]물질정보!B:G,6,0)</f>
        <v>CCOC(=O)C(=C)C</v>
      </c>
      <c r="H657" t="s">
        <v>26</v>
      </c>
      <c r="I657" t="s">
        <v>51</v>
      </c>
      <c r="J657" t="s">
        <v>49</v>
      </c>
      <c r="K657">
        <v>100</v>
      </c>
      <c r="L657" t="s">
        <v>39</v>
      </c>
      <c r="M657" t="s">
        <v>245</v>
      </c>
      <c r="N657" t="s">
        <v>29</v>
      </c>
      <c r="O657" t="s">
        <v>29</v>
      </c>
      <c r="P657">
        <v>96</v>
      </c>
      <c r="Q657" t="s">
        <v>31</v>
      </c>
      <c r="R657" t="s">
        <v>159</v>
      </c>
      <c r="S657" t="s">
        <v>29</v>
      </c>
      <c r="T657" t="s">
        <v>29</v>
      </c>
      <c r="U657" t="s">
        <v>29</v>
      </c>
      <c r="V657" s="6" t="s">
        <v>163</v>
      </c>
      <c r="W657" t="s">
        <v>244</v>
      </c>
      <c r="X657" t="s">
        <v>37</v>
      </c>
      <c r="Y657" s="6" t="s">
        <v>49</v>
      </c>
    </row>
    <row r="658" spans="2:25" x14ac:dyDescent="0.3">
      <c r="B658" s="5" t="s">
        <v>25</v>
      </c>
      <c r="C658" s="5" t="str">
        <f>VLOOKUP(B658,[1]물질정보!B:C,2,0)</f>
        <v>97-88-1</v>
      </c>
      <c r="D658" t="str">
        <f>VLOOKUP(B658,[1]물질정보!B:D,3,0)</f>
        <v>butyl methacrylate</v>
      </c>
      <c r="E658" t="str">
        <f>VLOOKUP(B658,[1]물질정보!B:E,4,0)</f>
        <v>C8H14O2</v>
      </c>
      <c r="F658" t="str">
        <f>VLOOKUP(B658,[1]물질정보!B:F,5,0)</f>
        <v>142.2 g/mol</v>
      </c>
      <c r="G658" s="5" t="str">
        <f>VLOOKUP(B658,[1]물질정보!B:G,6,0)</f>
        <v>CCCCOC(=O)C(=C)C</v>
      </c>
      <c r="H658" t="s">
        <v>26</v>
      </c>
      <c r="I658" t="s">
        <v>51</v>
      </c>
      <c r="J658" t="s">
        <v>241</v>
      </c>
      <c r="K658">
        <v>7</v>
      </c>
      <c r="L658" t="s">
        <v>39</v>
      </c>
      <c r="M658" t="s">
        <v>246</v>
      </c>
      <c r="N658" t="s">
        <v>29</v>
      </c>
      <c r="O658" t="s">
        <v>29</v>
      </c>
      <c r="P658">
        <v>96</v>
      </c>
      <c r="Q658" t="s">
        <v>31</v>
      </c>
      <c r="R658" t="s">
        <v>159</v>
      </c>
      <c r="S658" t="s">
        <v>243</v>
      </c>
      <c r="T658" t="s">
        <v>29</v>
      </c>
      <c r="U658" t="s">
        <v>29</v>
      </c>
      <c r="V658" s="6" t="s">
        <v>160</v>
      </c>
      <c r="W658" t="s">
        <v>53</v>
      </c>
      <c r="X658" t="s">
        <v>37</v>
      </c>
      <c r="Y658" s="6" t="s">
        <v>241</v>
      </c>
    </row>
    <row r="659" spans="2:25" x14ac:dyDescent="0.3">
      <c r="B659" s="5" t="s">
        <v>25</v>
      </c>
      <c r="C659" s="5" t="str">
        <f>VLOOKUP(B659,[1]물질정보!B:C,2,0)</f>
        <v>97-88-1</v>
      </c>
      <c r="D659" t="str">
        <f>VLOOKUP(B659,[1]물질정보!B:D,3,0)</f>
        <v>butyl methacrylate</v>
      </c>
      <c r="E659" t="str">
        <f>VLOOKUP(B659,[1]물질정보!B:E,4,0)</f>
        <v>C8H14O2</v>
      </c>
      <c r="F659" t="str">
        <f>VLOOKUP(B659,[1]물질정보!B:F,5,0)</f>
        <v>142.2 g/mol</v>
      </c>
      <c r="G659" s="5" t="str">
        <f>VLOOKUP(B659,[1]물질정보!B:G,6,0)</f>
        <v>CCCCOC(=O)C(=C)C</v>
      </c>
      <c r="H659" t="s">
        <v>26</v>
      </c>
      <c r="I659" t="s">
        <v>51</v>
      </c>
      <c r="J659" t="s">
        <v>241</v>
      </c>
      <c r="K659">
        <v>7</v>
      </c>
      <c r="L659" t="s">
        <v>39</v>
      </c>
      <c r="M659" t="s">
        <v>246</v>
      </c>
      <c r="N659" t="s">
        <v>29</v>
      </c>
      <c r="O659" t="s">
        <v>29</v>
      </c>
      <c r="P659">
        <v>96</v>
      </c>
      <c r="Q659" t="s">
        <v>31</v>
      </c>
      <c r="R659" t="s">
        <v>159</v>
      </c>
      <c r="S659" t="s">
        <v>247</v>
      </c>
      <c r="T659" t="s">
        <v>29</v>
      </c>
      <c r="U659" t="s">
        <v>29</v>
      </c>
      <c r="V659" s="6" t="s">
        <v>160</v>
      </c>
      <c r="W659" t="s">
        <v>53</v>
      </c>
      <c r="X659" t="s">
        <v>37</v>
      </c>
      <c r="Y659" s="6" t="s">
        <v>241</v>
      </c>
    </row>
    <row r="660" spans="2:25" x14ac:dyDescent="0.3">
      <c r="B660" s="5" t="s">
        <v>25</v>
      </c>
      <c r="C660" s="5" t="str">
        <f>VLOOKUP(B660,[1]물질정보!B:C,2,0)</f>
        <v>97-88-1</v>
      </c>
      <c r="D660" t="str">
        <f>VLOOKUP(B660,[1]물질정보!B:D,3,0)</f>
        <v>butyl methacrylate</v>
      </c>
      <c r="E660" t="str">
        <f>VLOOKUP(B660,[1]물질정보!B:E,4,0)</f>
        <v>C8H14O2</v>
      </c>
      <c r="F660" t="str">
        <f>VLOOKUP(B660,[1]물질정보!B:F,5,0)</f>
        <v>142.2 g/mol</v>
      </c>
      <c r="G660" s="5" t="str">
        <f>VLOOKUP(B660,[1]물질정보!B:G,6,0)</f>
        <v>CCCCOC(=O)C(=C)C</v>
      </c>
      <c r="H660" t="s">
        <v>26</v>
      </c>
      <c r="I660" t="s">
        <v>51</v>
      </c>
      <c r="J660" t="s">
        <v>49</v>
      </c>
      <c r="K660">
        <v>11</v>
      </c>
      <c r="L660" t="s">
        <v>39</v>
      </c>
      <c r="M660" t="s">
        <v>246</v>
      </c>
      <c r="N660" t="s">
        <v>29</v>
      </c>
      <c r="O660" t="s">
        <v>29</v>
      </c>
      <c r="P660">
        <v>96</v>
      </c>
      <c r="Q660" t="s">
        <v>31</v>
      </c>
      <c r="R660" t="s">
        <v>159</v>
      </c>
      <c r="S660" t="s">
        <v>243</v>
      </c>
      <c r="T660" t="s">
        <v>29</v>
      </c>
      <c r="U660" t="s">
        <v>29</v>
      </c>
      <c r="V660" s="6" t="s">
        <v>160</v>
      </c>
      <c r="W660" t="s">
        <v>53</v>
      </c>
      <c r="X660" t="s">
        <v>37</v>
      </c>
      <c r="Y660" s="6" t="s">
        <v>49</v>
      </c>
    </row>
    <row r="661" spans="2:25" x14ac:dyDescent="0.3">
      <c r="B661" s="5" t="s">
        <v>25</v>
      </c>
      <c r="C661" s="5" t="str">
        <f>VLOOKUP(B661,[1]물질정보!B:C,2,0)</f>
        <v>97-88-1</v>
      </c>
      <c r="D661" t="str">
        <f>VLOOKUP(B661,[1]물질정보!B:D,3,0)</f>
        <v>butyl methacrylate</v>
      </c>
      <c r="E661" t="str">
        <f>VLOOKUP(B661,[1]물질정보!B:E,4,0)</f>
        <v>C8H14O2</v>
      </c>
      <c r="F661" t="str">
        <f>VLOOKUP(B661,[1]물질정보!B:F,5,0)</f>
        <v>142.2 g/mol</v>
      </c>
      <c r="G661" s="5" t="str">
        <f>VLOOKUP(B661,[1]물질정보!B:G,6,0)</f>
        <v>CCCCOC(=O)C(=C)C</v>
      </c>
      <c r="H661" t="s">
        <v>26</v>
      </c>
      <c r="I661" t="s">
        <v>51</v>
      </c>
      <c r="J661" t="s">
        <v>49</v>
      </c>
      <c r="K661">
        <v>11</v>
      </c>
      <c r="L661" t="s">
        <v>39</v>
      </c>
      <c r="M661" t="s">
        <v>246</v>
      </c>
      <c r="N661" t="s">
        <v>29</v>
      </c>
      <c r="O661" t="s">
        <v>29</v>
      </c>
      <c r="P661">
        <v>96</v>
      </c>
      <c r="Q661" t="s">
        <v>31</v>
      </c>
      <c r="R661" t="s">
        <v>159</v>
      </c>
      <c r="S661" t="s">
        <v>247</v>
      </c>
      <c r="T661" t="s">
        <v>29</v>
      </c>
      <c r="U661" t="s">
        <v>29</v>
      </c>
      <c r="V661" s="6" t="s">
        <v>160</v>
      </c>
      <c r="W661" t="s">
        <v>53</v>
      </c>
      <c r="X661" t="s">
        <v>37</v>
      </c>
      <c r="Y661" s="6" t="s">
        <v>49</v>
      </c>
    </row>
    <row r="662" spans="2:25" x14ac:dyDescent="0.3">
      <c r="B662" s="5" t="s">
        <v>25</v>
      </c>
      <c r="C662" s="5" t="str">
        <f>VLOOKUP(B662,[1]물질정보!B:C,2,0)</f>
        <v>97-88-1</v>
      </c>
      <c r="D662" t="str">
        <f>VLOOKUP(B662,[1]물질정보!B:D,3,0)</f>
        <v>butyl methacrylate</v>
      </c>
      <c r="E662" t="str">
        <f>VLOOKUP(B662,[1]물질정보!B:E,4,0)</f>
        <v>C8H14O2</v>
      </c>
      <c r="F662" t="str">
        <f>VLOOKUP(B662,[1]물질정보!B:F,5,0)</f>
        <v>142.2 g/mol</v>
      </c>
      <c r="G662" s="5" t="str">
        <f>VLOOKUP(B662,[1]물질정보!B:G,6,0)</f>
        <v>CCCCOC(=O)C(=C)C</v>
      </c>
      <c r="H662" t="s">
        <v>26</v>
      </c>
      <c r="I662" t="s">
        <v>51</v>
      </c>
      <c r="J662" t="s">
        <v>248</v>
      </c>
      <c r="K662">
        <v>20</v>
      </c>
      <c r="L662" t="s">
        <v>39</v>
      </c>
      <c r="M662" t="s">
        <v>246</v>
      </c>
      <c r="N662" t="s">
        <v>29</v>
      </c>
      <c r="O662" t="s">
        <v>29</v>
      </c>
      <c r="P662">
        <v>96</v>
      </c>
      <c r="Q662" t="s">
        <v>31</v>
      </c>
      <c r="R662" t="s">
        <v>159</v>
      </c>
      <c r="S662" t="s">
        <v>243</v>
      </c>
      <c r="T662" t="s">
        <v>29</v>
      </c>
      <c r="U662" t="s">
        <v>29</v>
      </c>
      <c r="V662" s="6" t="s">
        <v>160</v>
      </c>
      <c r="W662" t="s">
        <v>53</v>
      </c>
      <c r="X662" t="s">
        <v>37</v>
      </c>
      <c r="Y662" s="6" t="s">
        <v>248</v>
      </c>
    </row>
    <row r="663" spans="2:25" x14ac:dyDescent="0.3">
      <c r="B663" s="5" t="s">
        <v>25</v>
      </c>
      <c r="C663" s="5" t="str">
        <f>VLOOKUP(B663,[1]물질정보!B:C,2,0)</f>
        <v>97-88-1</v>
      </c>
      <c r="D663" t="str">
        <f>VLOOKUP(B663,[1]물질정보!B:D,3,0)</f>
        <v>butyl methacrylate</v>
      </c>
      <c r="E663" t="str">
        <f>VLOOKUP(B663,[1]물질정보!B:E,4,0)</f>
        <v>C8H14O2</v>
      </c>
      <c r="F663" t="str">
        <f>VLOOKUP(B663,[1]물질정보!B:F,5,0)</f>
        <v>142.2 g/mol</v>
      </c>
      <c r="G663" s="5" t="str">
        <f>VLOOKUP(B663,[1]물질정보!B:G,6,0)</f>
        <v>CCCCOC(=O)C(=C)C</v>
      </c>
      <c r="H663" t="s">
        <v>26</v>
      </c>
      <c r="I663" t="s">
        <v>51</v>
      </c>
      <c r="J663" t="s">
        <v>248</v>
      </c>
      <c r="K663">
        <v>20</v>
      </c>
      <c r="L663" t="s">
        <v>39</v>
      </c>
      <c r="M663" t="s">
        <v>246</v>
      </c>
      <c r="N663" t="s">
        <v>29</v>
      </c>
      <c r="O663" t="s">
        <v>29</v>
      </c>
      <c r="P663">
        <v>96</v>
      </c>
      <c r="Q663" t="s">
        <v>31</v>
      </c>
      <c r="R663" t="s">
        <v>159</v>
      </c>
      <c r="S663" t="s">
        <v>247</v>
      </c>
      <c r="T663" t="s">
        <v>29</v>
      </c>
      <c r="U663" t="s">
        <v>29</v>
      </c>
      <c r="V663" s="6" t="s">
        <v>160</v>
      </c>
      <c r="W663" t="s">
        <v>53</v>
      </c>
      <c r="X663" t="s">
        <v>37</v>
      </c>
      <c r="Y663" s="6" t="s">
        <v>248</v>
      </c>
    </row>
    <row r="664" spans="2:25" x14ac:dyDescent="0.3">
      <c r="B664" s="5" t="s">
        <v>25</v>
      </c>
      <c r="C664" s="5" t="str">
        <f>VLOOKUP(B664,[1]물질정보!B:C,2,0)</f>
        <v>97-88-1</v>
      </c>
      <c r="D664" t="str">
        <f>VLOOKUP(B664,[1]물질정보!B:D,3,0)</f>
        <v>butyl methacrylate</v>
      </c>
      <c r="E664" t="str">
        <f>VLOOKUP(B664,[1]물질정보!B:E,4,0)</f>
        <v>C8H14O2</v>
      </c>
      <c r="F664" t="str">
        <f>VLOOKUP(B664,[1]물질정보!B:F,5,0)</f>
        <v>142.2 g/mol</v>
      </c>
      <c r="G664" s="5" t="str">
        <f>VLOOKUP(B664,[1]물질정보!B:G,6,0)</f>
        <v>CCCCOC(=O)C(=C)C</v>
      </c>
      <c r="H664" t="s">
        <v>26</v>
      </c>
      <c r="I664" t="s">
        <v>51</v>
      </c>
      <c r="J664" t="s">
        <v>181</v>
      </c>
      <c r="K664">
        <v>2.65</v>
      </c>
      <c r="L664" t="s">
        <v>39</v>
      </c>
      <c r="M664" t="s">
        <v>249</v>
      </c>
      <c r="N664" t="s">
        <v>29</v>
      </c>
      <c r="O664" t="s">
        <v>29</v>
      </c>
      <c r="P664">
        <v>96</v>
      </c>
      <c r="Q664" t="s">
        <v>31</v>
      </c>
      <c r="R664" t="s">
        <v>159</v>
      </c>
      <c r="S664" t="s">
        <v>243</v>
      </c>
      <c r="T664" t="s">
        <v>29</v>
      </c>
      <c r="U664" t="s">
        <v>29</v>
      </c>
      <c r="V664" s="6" t="s">
        <v>160</v>
      </c>
      <c r="W664" t="s">
        <v>250</v>
      </c>
      <c r="X664" t="s">
        <v>37</v>
      </c>
      <c r="Y664" s="6" t="s">
        <v>181</v>
      </c>
    </row>
    <row r="665" spans="2:25" x14ac:dyDescent="0.3">
      <c r="B665" s="5" t="s">
        <v>25</v>
      </c>
      <c r="C665" s="5" t="str">
        <f>VLOOKUP(B665,[1]물질정보!B:C,2,0)</f>
        <v>97-88-1</v>
      </c>
      <c r="D665" t="str">
        <f>VLOOKUP(B665,[1]물질정보!B:D,3,0)</f>
        <v>butyl methacrylate</v>
      </c>
      <c r="E665" t="str">
        <f>VLOOKUP(B665,[1]물질정보!B:E,4,0)</f>
        <v>C8H14O2</v>
      </c>
      <c r="F665" t="str">
        <f>VLOOKUP(B665,[1]물질정보!B:F,5,0)</f>
        <v>142.2 g/mol</v>
      </c>
      <c r="G665" s="5" t="str">
        <f>VLOOKUP(B665,[1]물질정보!B:G,6,0)</f>
        <v>CCCCOC(=O)C(=C)C</v>
      </c>
      <c r="H665" t="s">
        <v>26</v>
      </c>
      <c r="I665" t="s">
        <v>51</v>
      </c>
      <c r="J665" t="s">
        <v>49</v>
      </c>
      <c r="K665">
        <v>5.57</v>
      </c>
      <c r="L665" t="s">
        <v>39</v>
      </c>
      <c r="M665" t="s">
        <v>249</v>
      </c>
      <c r="N665" t="s">
        <v>29</v>
      </c>
      <c r="O665" t="s">
        <v>29</v>
      </c>
      <c r="P665">
        <v>96</v>
      </c>
      <c r="Q665" t="s">
        <v>31</v>
      </c>
      <c r="R665" t="s">
        <v>159</v>
      </c>
      <c r="S665" t="s">
        <v>243</v>
      </c>
      <c r="T665" t="s">
        <v>29</v>
      </c>
      <c r="U665" t="s">
        <v>29</v>
      </c>
      <c r="V665" s="6" t="s">
        <v>160</v>
      </c>
      <c r="W665" t="s">
        <v>250</v>
      </c>
      <c r="X665" t="s">
        <v>37</v>
      </c>
      <c r="Y665" s="6" t="s">
        <v>49</v>
      </c>
    </row>
    <row r="666" spans="2:25" x14ac:dyDescent="0.3">
      <c r="B666" s="5" t="s">
        <v>25</v>
      </c>
      <c r="C666" s="5" t="str">
        <f>VLOOKUP(B666,[1]물질정보!B:C,2,0)</f>
        <v>97-88-1</v>
      </c>
      <c r="D666" t="str">
        <f>VLOOKUP(B666,[1]물질정보!B:D,3,0)</f>
        <v>butyl methacrylate</v>
      </c>
      <c r="E666" t="str">
        <f>VLOOKUP(B666,[1]물질정보!B:E,4,0)</f>
        <v>C8H14O2</v>
      </c>
      <c r="F666" t="str">
        <f>VLOOKUP(B666,[1]물질정보!B:F,5,0)</f>
        <v>142.2 g/mol</v>
      </c>
      <c r="G666" s="5" t="str">
        <f>VLOOKUP(B666,[1]물질정보!B:G,6,0)</f>
        <v>CCCCOC(=O)C(=C)C</v>
      </c>
      <c r="H666" t="s">
        <v>26</v>
      </c>
      <c r="I666" t="s">
        <v>51</v>
      </c>
      <c r="J666" t="s">
        <v>248</v>
      </c>
      <c r="K666">
        <v>8.39</v>
      </c>
      <c r="L666" t="s">
        <v>39</v>
      </c>
      <c r="M666" t="s">
        <v>249</v>
      </c>
      <c r="N666" t="s">
        <v>29</v>
      </c>
      <c r="O666" t="s">
        <v>29</v>
      </c>
      <c r="P666">
        <v>96</v>
      </c>
      <c r="Q666" t="s">
        <v>31</v>
      </c>
      <c r="R666" t="s">
        <v>159</v>
      </c>
      <c r="S666" t="s">
        <v>243</v>
      </c>
      <c r="T666" t="s">
        <v>29</v>
      </c>
      <c r="U666" t="s">
        <v>29</v>
      </c>
      <c r="V666" s="6" t="s">
        <v>160</v>
      </c>
      <c r="W666" t="s">
        <v>250</v>
      </c>
      <c r="X666" t="s">
        <v>37</v>
      </c>
      <c r="Y666" s="6" t="s">
        <v>248</v>
      </c>
    </row>
    <row r="667" spans="2:25" x14ac:dyDescent="0.3">
      <c r="B667" s="5" t="s">
        <v>25</v>
      </c>
      <c r="C667" s="5" t="str">
        <f>VLOOKUP(B667,[1]물질정보!B:C,2,0)</f>
        <v>97-88-1</v>
      </c>
      <c r="D667" t="str">
        <f>VLOOKUP(B667,[1]물질정보!B:D,3,0)</f>
        <v>butyl methacrylate</v>
      </c>
      <c r="E667" t="str">
        <f>VLOOKUP(B667,[1]물질정보!B:E,4,0)</f>
        <v>C8H14O2</v>
      </c>
      <c r="F667" t="str">
        <f>VLOOKUP(B667,[1]물질정보!B:F,5,0)</f>
        <v>142.2 g/mol</v>
      </c>
      <c r="G667" s="5" t="str">
        <f>VLOOKUP(B667,[1]물질정보!B:G,6,0)</f>
        <v>CCCCOC(=O)C(=C)C</v>
      </c>
      <c r="H667" t="s">
        <v>26</v>
      </c>
      <c r="I667" t="s">
        <v>51</v>
      </c>
      <c r="J667" t="s">
        <v>49</v>
      </c>
      <c r="K667">
        <v>5.57</v>
      </c>
      <c r="L667" t="s">
        <v>39</v>
      </c>
      <c r="M667" t="s">
        <v>250</v>
      </c>
      <c r="N667" t="s">
        <v>29</v>
      </c>
      <c r="O667" t="s">
        <v>29</v>
      </c>
      <c r="P667">
        <v>24</v>
      </c>
      <c r="Q667" t="s">
        <v>31</v>
      </c>
      <c r="R667" t="s">
        <v>159</v>
      </c>
      <c r="S667" t="s">
        <v>29</v>
      </c>
      <c r="T667" t="s">
        <v>29</v>
      </c>
      <c r="U667" t="s">
        <v>29</v>
      </c>
      <c r="V667" s="6" t="s">
        <v>163</v>
      </c>
      <c r="W667" t="s">
        <v>250</v>
      </c>
      <c r="X667" t="s">
        <v>251</v>
      </c>
      <c r="Y667" s="6" t="s">
        <v>49</v>
      </c>
    </row>
    <row r="668" spans="2:25" x14ac:dyDescent="0.3">
      <c r="B668" s="5" t="s">
        <v>25</v>
      </c>
      <c r="C668" s="5" t="str">
        <f>VLOOKUP(B668,[1]물질정보!B:C,2,0)</f>
        <v>97-88-1</v>
      </c>
      <c r="D668" t="str">
        <f>VLOOKUP(B668,[1]물질정보!B:D,3,0)</f>
        <v>butyl methacrylate</v>
      </c>
      <c r="E668" t="str">
        <f>VLOOKUP(B668,[1]물질정보!B:E,4,0)</f>
        <v>C8H14O2</v>
      </c>
      <c r="F668" t="str">
        <f>VLOOKUP(B668,[1]물질정보!B:F,5,0)</f>
        <v>142.2 g/mol</v>
      </c>
      <c r="G668" s="5" t="str">
        <f>VLOOKUP(B668,[1]물질정보!B:G,6,0)</f>
        <v>CCCCOC(=O)C(=C)C</v>
      </c>
      <c r="H668" t="s">
        <v>26</v>
      </c>
      <c r="I668" t="s">
        <v>51</v>
      </c>
      <c r="J668" t="s">
        <v>49</v>
      </c>
      <c r="K668">
        <v>11</v>
      </c>
      <c r="L668" t="s">
        <v>39</v>
      </c>
      <c r="M668" t="s">
        <v>252</v>
      </c>
      <c r="N668" t="s">
        <v>29</v>
      </c>
      <c r="O668" t="s">
        <v>29</v>
      </c>
      <c r="P668">
        <v>96</v>
      </c>
      <c r="Q668" t="s">
        <v>31</v>
      </c>
      <c r="R668" t="s">
        <v>159</v>
      </c>
      <c r="S668" t="s">
        <v>29</v>
      </c>
      <c r="T668" t="s">
        <v>29</v>
      </c>
      <c r="U668" t="s">
        <v>29</v>
      </c>
      <c r="V668" s="6" t="s">
        <v>163</v>
      </c>
      <c r="W668" t="s">
        <v>53</v>
      </c>
      <c r="X668" t="s">
        <v>37</v>
      </c>
      <c r="Y668" s="6" t="s">
        <v>49</v>
      </c>
    </row>
    <row r="669" spans="2:25" x14ac:dyDescent="0.3">
      <c r="B669" s="5" t="s">
        <v>25</v>
      </c>
      <c r="C669" s="5" t="str">
        <f>VLOOKUP(B669,[1]물질정보!B:C,2,0)</f>
        <v>97-88-1</v>
      </c>
      <c r="D669" t="str">
        <f>VLOOKUP(B669,[1]물질정보!B:D,3,0)</f>
        <v>butyl methacrylate</v>
      </c>
      <c r="E669" t="str">
        <f>VLOOKUP(B669,[1]물질정보!B:E,4,0)</f>
        <v>C8H14O2</v>
      </c>
      <c r="F669" t="str">
        <f>VLOOKUP(B669,[1]물질정보!B:F,5,0)</f>
        <v>142.2 g/mol</v>
      </c>
      <c r="G669" s="5" t="str">
        <f>VLOOKUP(B669,[1]물질정보!B:G,6,0)</f>
        <v>CCCCOC(=O)C(=C)C</v>
      </c>
      <c r="H669" t="s">
        <v>26</v>
      </c>
      <c r="I669" t="s">
        <v>51</v>
      </c>
      <c r="J669" t="s">
        <v>49</v>
      </c>
      <c r="K669">
        <v>112</v>
      </c>
      <c r="L669" t="s">
        <v>39</v>
      </c>
      <c r="M669" t="s">
        <v>253</v>
      </c>
      <c r="N669" t="s">
        <v>29</v>
      </c>
      <c r="O669" t="s">
        <v>29</v>
      </c>
      <c r="P669">
        <v>72</v>
      </c>
      <c r="Q669" t="s">
        <v>31</v>
      </c>
      <c r="R669" t="s">
        <v>159</v>
      </c>
      <c r="S669" t="s">
        <v>29</v>
      </c>
      <c r="T669" t="s">
        <v>29</v>
      </c>
      <c r="U669" t="s">
        <v>29</v>
      </c>
      <c r="V669" s="6" t="s">
        <v>163</v>
      </c>
      <c r="W669" t="s">
        <v>253</v>
      </c>
      <c r="X669" t="s">
        <v>44</v>
      </c>
      <c r="Y669" s="6" t="s">
        <v>49</v>
      </c>
    </row>
    <row r="670" spans="2:25" x14ac:dyDescent="0.3">
      <c r="B670" s="5" t="s">
        <v>25</v>
      </c>
      <c r="C670" s="5" t="str">
        <f>VLOOKUP(B670,[1]물질정보!B:C,2,0)</f>
        <v>97-88-1</v>
      </c>
      <c r="D670" t="str">
        <f>VLOOKUP(B670,[1]물질정보!B:D,3,0)</f>
        <v>butyl methacrylate</v>
      </c>
      <c r="E670" t="str">
        <f>VLOOKUP(B670,[1]물질정보!B:E,4,0)</f>
        <v>C8H14O2</v>
      </c>
      <c r="F670" t="str">
        <f>VLOOKUP(B670,[1]물질정보!B:F,5,0)</f>
        <v>142.2 g/mol</v>
      </c>
      <c r="G670" s="5" t="str">
        <f>VLOOKUP(B670,[1]물질정보!B:G,6,0)</f>
        <v>CCCCOC(=O)C(=C)C</v>
      </c>
      <c r="H670" t="s">
        <v>26</v>
      </c>
      <c r="I670" t="s">
        <v>51</v>
      </c>
      <c r="J670" t="s">
        <v>49</v>
      </c>
      <c r="K670">
        <v>5.57</v>
      </c>
      <c r="L670" t="s">
        <v>39</v>
      </c>
      <c r="M670" t="s">
        <v>254</v>
      </c>
      <c r="N670" t="s">
        <v>29</v>
      </c>
      <c r="O670" t="s">
        <v>29</v>
      </c>
      <c r="P670">
        <v>96</v>
      </c>
      <c r="Q670" t="s">
        <v>31</v>
      </c>
      <c r="R670" t="s">
        <v>159</v>
      </c>
      <c r="S670" t="s">
        <v>29</v>
      </c>
      <c r="T670" t="s">
        <v>29</v>
      </c>
      <c r="U670" t="s">
        <v>29</v>
      </c>
      <c r="V670" s="6" t="s">
        <v>168</v>
      </c>
      <c r="W670" t="s">
        <v>250</v>
      </c>
      <c r="X670" t="s">
        <v>37</v>
      </c>
      <c r="Y670" s="6" t="s">
        <v>49</v>
      </c>
    </row>
    <row r="671" spans="2:25" x14ac:dyDescent="0.3">
      <c r="B671" s="5" t="s">
        <v>25</v>
      </c>
      <c r="C671" s="5" t="str">
        <f>VLOOKUP(B671,[1]물질정보!B:C,2,0)</f>
        <v>97-88-1</v>
      </c>
      <c r="D671" t="str">
        <f>VLOOKUP(B671,[1]물질정보!B:D,3,0)</f>
        <v>butyl methacrylate</v>
      </c>
      <c r="E671" t="str">
        <f>VLOOKUP(B671,[1]물질정보!B:E,4,0)</f>
        <v>C8H14O2</v>
      </c>
      <c r="F671" t="str">
        <f>VLOOKUP(B671,[1]물질정보!B:F,5,0)</f>
        <v>142.2 g/mol</v>
      </c>
      <c r="G671" s="5" t="str">
        <f>VLOOKUP(B671,[1]물질정보!B:G,6,0)</f>
        <v>CCCCOC(=O)C(=C)C</v>
      </c>
      <c r="H671" t="s">
        <v>26</v>
      </c>
      <c r="I671" t="s">
        <v>51</v>
      </c>
      <c r="J671" t="s">
        <v>49</v>
      </c>
      <c r="K671">
        <v>5.57</v>
      </c>
      <c r="L671" t="s">
        <v>39</v>
      </c>
      <c r="M671" t="s">
        <v>254</v>
      </c>
      <c r="N671" t="s">
        <v>29</v>
      </c>
      <c r="O671" t="s">
        <v>29</v>
      </c>
      <c r="P671">
        <v>96</v>
      </c>
      <c r="Q671" t="s">
        <v>31</v>
      </c>
      <c r="R671" t="s">
        <v>159</v>
      </c>
      <c r="S671" t="s">
        <v>29</v>
      </c>
      <c r="T671" t="s">
        <v>29</v>
      </c>
      <c r="U671" t="s">
        <v>29</v>
      </c>
      <c r="V671" s="6" t="s">
        <v>169</v>
      </c>
      <c r="W671" t="s">
        <v>250</v>
      </c>
      <c r="X671" t="s">
        <v>37</v>
      </c>
      <c r="Y671" s="6" t="s">
        <v>49</v>
      </c>
    </row>
    <row r="672" spans="2:25" x14ac:dyDescent="0.3">
      <c r="B672" s="5" t="s">
        <v>77</v>
      </c>
      <c r="C672" s="5" t="str">
        <f>VLOOKUP(B672,[1]물질정보!B:C,2,0)</f>
        <v>140-88-5</v>
      </c>
      <c r="D672" t="str">
        <f>VLOOKUP(B672,[1]물질정보!B:D,3,0)</f>
        <v>ethyl acrylate</v>
      </c>
      <c r="E672" t="str">
        <f>VLOOKUP(B672,[1]물질정보!B:E,4,0)</f>
        <v>C5H8O2</v>
      </c>
      <c r="F672" t="str">
        <f>VLOOKUP(B672,[1]물질정보!B:F,5,0)</f>
        <v>100.12 g/mol</v>
      </c>
      <c r="G672" s="5" t="str">
        <f>VLOOKUP(B672,[1]물질정보!B:G,6,0)</f>
        <v>CCOC(=O)C=C</v>
      </c>
      <c r="H672" t="s">
        <v>26</v>
      </c>
      <c r="I672" t="s">
        <v>51</v>
      </c>
      <c r="J672" t="s">
        <v>241</v>
      </c>
      <c r="K672">
        <v>0.78</v>
      </c>
      <c r="L672" t="s">
        <v>39</v>
      </c>
      <c r="M672" t="s">
        <v>242</v>
      </c>
      <c r="N672" t="s">
        <v>29</v>
      </c>
      <c r="O672" t="s">
        <v>29</v>
      </c>
      <c r="P672">
        <v>96</v>
      </c>
      <c r="Q672" t="s">
        <v>31</v>
      </c>
      <c r="R672" t="s">
        <v>159</v>
      </c>
      <c r="S672" t="s">
        <v>255</v>
      </c>
      <c r="T672" t="s">
        <v>29</v>
      </c>
      <c r="U672" t="s">
        <v>29</v>
      </c>
      <c r="V672" s="6" t="s">
        <v>160</v>
      </c>
      <c r="W672" t="s">
        <v>244</v>
      </c>
      <c r="X672" t="s">
        <v>37</v>
      </c>
      <c r="Y672" s="6" t="s">
        <v>241</v>
      </c>
    </row>
    <row r="673" spans="2:25" x14ac:dyDescent="0.3">
      <c r="B673" s="5" t="s">
        <v>77</v>
      </c>
      <c r="C673" s="5" t="str">
        <f>VLOOKUP(B673,[1]물질정보!B:C,2,0)</f>
        <v>140-88-5</v>
      </c>
      <c r="D673" t="str">
        <f>VLOOKUP(B673,[1]물질정보!B:D,3,0)</f>
        <v>ethyl acrylate</v>
      </c>
      <c r="E673" t="str">
        <f>VLOOKUP(B673,[1]물질정보!B:E,4,0)</f>
        <v>C5H8O2</v>
      </c>
      <c r="F673" t="str">
        <f>VLOOKUP(B673,[1]물질정보!B:F,5,0)</f>
        <v>100.12 g/mol</v>
      </c>
      <c r="G673" s="5" t="str">
        <f>VLOOKUP(B673,[1]물질정보!B:G,6,0)</f>
        <v>CCOC(=O)C=C</v>
      </c>
      <c r="H673" t="s">
        <v>26</v>
      </c>
      <c r="I673" t="s">
        <v>51</v>
      </c>
      <c r="J673" t="s">
        <v>49</v>
      </c>
      <c r="K673">
        <v>4.5999999999999996</v>
      </c>
      <c r="L673" t="s">
        <v>39</v>
      </c>
      <c r="M673" t="s">
        <v>242</v>
      </c>
      <c r="N673" t="s">
        <v>29</v>
      </c>
      <c r="O673" t="s">
        <v>29</v>
      </c>
      <c r="P673">
        <v>96</v>
      </c>
      <c r="Q673" t="s">
        <v>31</v>
      </c>
      <c r="R673" t="s">
        <v>159</v>
      </c>
      <c r="S673" t="s">
        <v>255</v>
      </c>
      <c r="T673" t="s">
        <v>29</v>
      </c>
      <c r="U673" t="s">
        <v>29</v>
      </c>
      <c r="V673" s="6" t="s">
        <v>160</v>
      </c>
      <c r="W673" t="s">
        <v>244</v>
      </c>
      <c r="X673" t="s">
        <v>37</v>
      </c>
      <c r="Y673" s="6" t="s">
        <v>49</v>
      </c>
    </row>
    <row r="674" spans="2:25" x14ac:dyDescent="0.3">
      <c r="B674" s="5" t="s">
        <v>77</v>
      </c>
      <c r="C674" s="5" t="str">
        <f>VLOOKUP(B674,[1]물질정보!B:C,2,0)</f>
        <v>140-88-5</v>
      </c>
      <c r="D674" t="str">
        <f>VLOOKUP(B674,[1]물질정보!B:D,3,0)</f>
        <v>ethyl acrylate</v>
      </c>
      <c r="E674" t="str">
        <f>VLOOKUP(B674,[1]물질정보!B:E,4,0)</f>
        <v>C5H8O2</v>
      </c>
      <c r="F674" t="str">
        <f>VLOOKUP(B674,[1]물질정보!B:F,5,0)</f>
        <v>100.12 g/mol</v>
      </c>
      <c r="G674" s="5" t="str">
        <f>VLOOKUP(B674,[1]물질정보!B:G,6,0)</f>
        <v>CCOC(=O)C=C</v>
      </c>
      <c r="H674" t="s">
        <v>26</v>
      </c>
      <c r="I674" t="s">
        <v>51</v>
      </c>
      <c r="J674" t="s">
        <v>241</v>
      </c>
      <c r="K674">
        <v>0.62</v>
      </c>
      <c r="L674" t="s">
        <v>39</v>
      </c>
      <c r="M674" t="s">
        <v>256</v>
      </c>
      <c r="N674" t="s">
        <v>29</v>
      </c>
      <c r="O674" t="s">
        <v>29</v>
      </c>
      <c r="P674">
        <v>96</v>
      </c>
      <c r="Q674" t="s">
        <v>31</v>
      </c>
      <c r="R674" t="s">
        <v>159</v>
      </c>
      <c r="S674" t="s">
        <v>255</v>
      </c>
      <c r="T674" t="s">
        <v>29</v>
      </c>
      <c r="U674" t="s">
        <v>29</v>
      </c>
      <c r="V674" s="6" t="s">
        <v>160</v>
      </c>
      <c r="W674" t="s">
        <v>256</v>
      </c>
      <c r="X674" t="s">
        <v>37</v>
      </c>
      <c r="Y674" s="6" t="s">
        <v>241</v>
      </c>
    </row>
    <row r="675" spans="2:25" x14ac:dyDescent="0.3">
      <c r="B675" s="5" t="s">
        <v>77</v>
      </c>
      <c r="C675" s="5" t="str">
        <f>VLOOKUP(B675,[1]물질정보!B:C,2,0)</f>
        <v>140-88-5</v>
      </c>
      <c r="D675" t="str">
        <f>VLOOKUP(B675,[1]물질정보!B:D,3,0)</f>
        <v>ethyl acrylate</v>
      </c>
      <c r="E675" t="str">
        <f>VLOOKUP(B675,[1]물질정보!B:E,4,0)</f>
        <v>C5H8O2</v>
      </c>
      <c r="F675" t="str">
        <f>VLOOKUP(B675,[1]물질정보!B:F,5,0)</f>
        <v>100.12 g/mol</v>
      </c>
      <c r="G675" s="5" t="str">
        <f>VLOOKUP(B675,[1]물질정보!B:G,6,0)</f>
        <v>CCOC(=O)C=C</v>
      </c>
      <c r="H675" t="s">
        <v>26</v>
      </c>
      <c r="I675" t="s">
        <v>51</v>
      </c>
      <c r="J675" t="s">
        <v>49</v>
      </c>
      <c r="K675">
        <v>2</v>
      </c>
      <c r="L675" t="s">
        <v>39</v>
      </c>
      <c r="M675" t="s">
        <v>256</v>
      </c>
      <c r="N675" t="s">
        <v>29</v>
      </c>
      <c r="O675" t="s">
        <v>29</v>
      </c>
      <c r="P675">
        <v>96</v>
      </c>
      <c r="Q675" t="s">
        <v>31</v>
      </c>
      <c r="R675" t="s">
        <v>159</v>
      </c>
      <c r="S675" t="s">
        <v>255</v>
      </c>
      <c r="T675" t="s">
        <v>29</v>
      </c>
      <c r="U675" t="s">
        <v>29</v>
      </c>
      <c r="V675" s="6" t="s">
        <v>160</v>
      </c>
      <c r="W675" t="s">
        <v>256</v>
      </c>
      <c r="X675" t="s">
        <v>37</v>
      </c>
      <c r="Y675" s="6" t="s">
        <v>49</v>
      </c>
    </row>
    <row r="676" spans="2:25" x14ac:dyDescent="0.3">
      <c r="B676" s="5" t="s">
        <v>77</v>
      </c>
      <c r="C676" s="5" t="str">
        <f>VLOOKUP(B676,[1]물질정보!B:C,2,0)</f>
        <v>140-88-5</v>
      </c>
      <c r="D676" t="str">
        <f>VLOOKUP(B676,[1]물질정보!B:D,3,0)</f>
        <v>ethyl acrylate</v>
      </c>
      <c r="E676" t="str">
        <f>VLOOKUP(B676,[1]물질정보!B:E,4,0)</f>
        <v>C5H8O2</v>
      </c>
      <c r="F676" t="str">
        <f>VLOOKUP(B676,[1]물질정보!B:F,5,0)</f>
        <v>100.12 g/mol</v>
      </c>
      <c r="G676" s="5" t="str">
        <f>VLOOKUP(B676,[1]물질정보!B:G,6,0)</f>
        <v>CCOC(=O)C=C</v>
      </c>
      <c r="H676" t="s">
        <v>26</v>
      </c>
      <c r="I676" t="s">
        <v>51</v>
      </c>
      <c r="J676" t="s">
        <v>49</v>
      </c>
      <c r="K676">
        <v>2500</v>
      </c>
      <c r="L676" t="s">
        <v>257</v>
      </c>
      <c r="M676" t="s">
        <v>246</v>
      </c>
      <c r="N676" t="s">
        <v>29</v>
      </c>
      <c r="O676" t="s">
        <v>29</v>
      </c>
      <c r="P676">
        <v>96</v>
      </c>
      <c r="Q676" t="s">
        <v>31</v>
      </c>
      <c r="R676" t="s">
        <v>159</v>
      </c>
      <c r="S676" t="s">
        <v>29</v>
      </c>
      <c r="T676" t="s">
        <v>29</v>
      </c>
      <c r="U676" t="s">
        <v>29</v>
      </c>
      <c r="V676" s="6" t="s">
        <v>163</v>
      </c>
      <c r="W676" t="s">
        <v>53</v>
      </c>
      <c r="X676" t="s">
        <v>37</v>
      </c>
      <c r="Y676" s="6" t="s">
        <v>49</v>
      </c>
    </row>
    <row r="677" spans="2:25" x14ac:dyDescent="0.3">
      <c r="B677" s="5" t="s">
        <v>77</v>
      </c>
      <c r="C677" s="5" t="str">
        <f>VLOOKUP(B677,[1]물질정보!B:C,2,0)</f>
        <v>140-88-5</v>
      </c>
      <c r="D677" t="str">
        <f>VLOOKUP(B677,[1]물질정보!B:D,3,0)</f>
        <v>ethyl acrylate</v>
      </c>
      <c r="E677" t="str">
        <f>VLOOKUP(B677,[1]물질정보!B:E,4,0)</f>
        <v>C5H8O2</v>
      </c>
      <c r="F677" t="str">
        <f>VLOOKUP(B677,[1]물질정보!B:F,5,0)</f>
        <v>100.12 g/mol</v>
      </c>
      <c r="G677" s="5" t="str">
        <f>VLOOKUP(B677,[1]물질정보!B:G,6,0)</f>
        <v>CCOC(=O)C=C</v>
      </c>
      <c r="H677" t="s">
        <v>26</v>
      </c>
      <c r="I677" t="s">
        <v>51</v>
      </c>
      <c r="J677" t="s">
        <v>49</v>
      </c>
      <c r="K677">
        <v>4.5999999999999996</v>
      </c>
      <c r="L677" t="s">
        <v>39</v>
      </c>
      <c r="M677" t="s">
        <v>258</v>
      </c>
      <c r="N677" t="s">
        <v>29</v>
      </c>
      <c r="O677" t="s">
        <v>29</v>
      </c>
      <c r="P677">
        <v>96</v>
      </c>
      <c r="Q677" t="s">
        <v>31</v>
      </c>
      <c r="R677" t="s">
        <v>159</v>
      </c>
      <c r="S677" t="s">
        <v>29</v>
      </c>
      <c r="T677" t="s">
        <v>29</v>
      </c>
      <c r="U677" t="s">
        <v>29</v>
      </c>
      <c r="V677" s="6" t="s">
        <v>168</v>
      </c>
      <c r="W677" t="s">
        <v>244</v>
      </c>
      <c r="X677" t="s">
        <v>37</v>
      </c>
      <c r="Y677" s="6" t="s">
        <v>49</v>
      </c>
    </row>
    <row r="678" spans="2:25" x14ac:dyDescent="0.3">
      <c r="B678" s="5" t="s">
        <v>77</v>
      </c>
      <c r="C678" s="5" t="str">
        <f>VLOOKUP(B678,[1]물질정보!B:C,2,0)</f>
        <v>140-88-5</v>
      </c>
      <c r="D678" t="str">
        <f>VLOOKUP(B678,[1]물질정보!B:D,3,0)</f>
        <v>ethyl acrylate</v>
      </c>
      <c r="E678" t="str">
        <f>VLOOKUP(B678,[1]물질정보!B:E,4,0)</f>
        <v>C5H8O2</v>
      </c>
      <c r="F678" t="str">
        <f>VLOOKUP(B678,[1]물질정보!B:F,5,0)</f>
        <v>100.12 g/mol</v>
      </c>
      <c r="G678" s="5" t="str">
        <f>VLOOKUP(B678,[1]물질정보!B:G,6,0)</f>
        <v>CCOC(=O)C=C</v>
      </c>
      <c r="H678" t="s">
        <v>26</v>
      </c>
      <c r="I678" t="s">
        <v>51</v>
      </c>
      <c r="J678" t="s">
        <v>49</v>
      </c>
      <c r="K678">
        <v>13</v>
      </c>
      <c r="L678" t="s">
        <v>39</v>
      </c>
      <c r="M678" t="s">
        <v>254</v>
      </c>
      <c r="N678" t="s">
        <v>29</v>
      </c>
      <c r="O678" t="s">
        <v>29</v>
      </c>
      <c r="P678">
        <v>96</v>
      </c>
      <c r="Q678" t="s">
        <v>31</v>
      </c>
      <c r="R678" t="s">
        <v>159</v>
      </c>
      <c r="S678" t="s">
        <v>29</v>
      </c>
      <c r="T678" t="s">
        <v>29</v>
      </c>
      <c r="U678" t="s">
        <v>29</v>
      </c>
      <c r="V678" s="6" t="s">
        <v>168</v>
      </c>
      <c r="W678" t="s">
        <v>250</v>
      </c>
      <c r="X678" t="s">
        <v>37</v>
      </c>
      <c r="Y678" s="6" t="s">
        <v>49</v>
      </c>
    </row>
    <row r="679" spans="2:25" x14ac:dyDescent="0.3">
      <c r="B679" s="5" t="s">
        <v>77</v>
      </c>
      <c r="C679" s="5" t="str">
        <f>VLOOKUP(B679,[1]물질정보!B:C,2,0)</f>
        <v>140-88-5</v>
      </c>
      <c r="D679" t="str">
        <f>VLOOKUP(B679,[1]물질정보!B:D,3,0)</f>
        <v>ethyl acrylate</v>
      </c>
      <c r="E679" t="str">
        <f>VLOOKUP(B679,[1]물질정보!B:E,4,0)</f>
        <v>C5H8O2</v>
      </c>
      <c r="F679" t="str">
        <f>VLOOKUP(B679,[1]물질정보!B:F,5,0)</f>
        <v>100.12 g/mol</v>
      </c>
      <c r="G679" s="5" t="str">
        <f>VLOOKUP(B679,[1]물질정보!B:G,6,0)</f>
        <v>CCOC(=O)C=C</v>
      </c>
      <c r="H679" t="s">
        <v>26</v>
      </c>
      <c r="I679" t="s">
        <v>51</v>
      </c>
      <c r="J679" t="s">
        <v>49</v>
      </c>
      <c r="K679">
        <v>4.5999999999999996</v>
      </c>
      <c r="L679" t="s">
        <v>39</v>
      </c>
      <c r="M679" t="s">
        <v>258</v>
      </c>
      <c r="N679" t="s">
        <v>29</v>
      </c>
      <c r="O679" t="s">
        <v>29</v>
      </c>
      <c r="P679">
        <v>96</v>
      </c>
      <c r="Q679" t="s">
        <v>31</v>
      </c>
      <c r="R679" t="s">
        <v>159</v>
      </c>
      <c r="S679" t="s">
        <v>29</v>
      </c>
      <c r="T679" t="s">
        <v>29</v>
      </c>
      <c r="U679" t="s">
        <v>29</v>
      </c>
      <c r="V679" s="6" t="s">
        <v>169</v>
      </c>
      <c r="W679" t="s">
        <v>244</v>
      </c>
      <c r="X679" t="s">
        <v>37</v>
      </c>
      <c r="Y679" s="6" t="s">
        <v>49</v>
      </c>
    </row>
    <row r="680" spans="2:25" x14ac:dyDescent="0.3">
      <c r="B680" s="5" t="s">
        <v>77</v>
      </c>
      <c r="C680" s="5" t="str">
        <f>VLOOKUP(B680,[1]물질정보!B:C,2,0)</f>
        <v>140-88-5</v>
      </c>
      <c r="D680" t="str">
        <f>VLOOKUP(B680,[1]물질정보!B:D,3,0)</f>
        <v>ethyl acrylate</v>
      </c>
      <c r="E680" t="str">
        <f>VLOOKUP(B680,[1]물질정보!B:E,4,0)</f>
        <v>C5H8O2</v>
      </c>
      <c r="F680" t="str">
        <f>VLOOKUP(B680,[1]물질정보!B:F,5,0)</f>
        <v>100.12 g/mol</v>
      </c>
      <c r="G680" s="5" t="str">
        <f>VLOOKUP(B680,[1]물질정보!B:G,6,0)</f>
        <v>CCOC(=O)C=C</v>
      </c>
      <c r="H680" t="s">
        <v>26</v>
      </c>
      <c r="I680" t="s">
        <v>51</v>
      </c>
      <c r="J680" t="s">
        <v>49</v>
      </c>
      <c r="K680">
        <v>13</v>
      </c>
      <c r="L680" t="s">
        <v>39</v>
      </c>
      <c r="M680" t="s">
        <v>254</v>
      </c>
      <c r="N680" t="s">
        <v>29</v>
      </c>
      <c r="O680" t="s">
        <v>29</v>
      </c>
      <c r="P680">
        <v>96</v>
      </c>
      <c r="Q680" t="s">
        <v>31</v>
      </c>
      <c r="R680" t="s">
        <v>159</v>
      </c>
      <c r="S680" t="s">
        <v>29</v>
      </c>
      <c r="T680" t="s">
        <v>29</v>
      </c>
      <c r="U680" t="s">
        <v>29</v>
      </c>
      <c r="V680" s="6" t="s">
        <v>169</v>
      </c>
      <c r="W680" t="s">
        <v>250</v>
      </c>
      <c r="X680" t="s">
        <v>37</v>
      </c>
      <c r="Y680" s="6" t="s">
        <v>49</v>
      </c>
    </row>
    <row r="681" spans="2:25" x14ac:dyDescent="0.3">
      <c r="B681" s="5" t="s">
        <v>67</v>
      </c>
      <c r="C681" s="5" t="str">
        <f>VLOOKUP(B681,[1]물질정보!B:C,2,0)</f>
        <v>818-61-1</v>
      </c>
      <c r="D681" t="str">
        <f>VLOOKUP(B681,[1]물질정보!B:D,3,0)</f>
        <v>2-hydroxyethyl acrylate</v>
      </c>
      <c r="E681" t="str">
        <f>VLOOKUP(B681,[1]물질정보!B:E,4,0)</f>
        <v>C5H8O3</v>
      </c>
      <c r="F681" t="str">
        <f>VLOOKUP(B681,[1]물질정보!B:F,5,0)</f>
        <v>116.11 g/mol</v>
      </c>
      <c r="G681" s="5" t="str">
        <f>VLOOKUP(B681,[1]물질정보!B:G,6,0)</f>
        <v>C=CC(=O)OCCO</v>
      </c>
      <c r="H681" t="s">
        <v>26</v>
      </c>
      <c r="I681" t="s">
        <v>51</v>
      </c>
      <c r="J681" t="s">
        <v>49</v>
      </c>
      <c r="K681">
        <v>4.8</v>
      </c>
      <c r="L681" t="s">
        <v>39</v>
      </c>
      <c r="M681" t="s">
        <v>246</v>
      </c>
      <c r="N681" t="s">
        <v>29</v>
      </c>
      <c r="O681" t="s">
        <v>29</v>
      </c>
      <c r="P681">
        <v>96</v>
      </c>
      <c r="Q681" t="s">
        <v>31</v>
      </c>
      <c r="R681" t="s">
        <v>159</v>
      </c>
      <c r="S681" t="s">
        <v>259</v>
      </c>
      <c r="T681" t="s">
        <v>29</v>
      </c>
      <c r="U681" t="s">
        <v>29</v>
      </c>
      <c r="V681" s="6" t="s">
        <v>160</v>
      </c>
      <c r="W681" t="s">
        <v>53</v>
      </c>
      <c r="X681" t="s">
        <v>37</v>
      </c>
      <c r="Y681" s="6" t="s">
        <v>49</v>
      </c>
    </row>
    <row r="682" spans="2:25" x14ac:dyDescent="0.3">
      <c r="B682" s="5" t="s">
        <v>67</v>
      </c>
      <c r="C682" s="5" t="str">
        <f>VLOOKUP(B682,[1]물질정보!B:C,2,0)</f>
        <v>818-61-1</v>
      </c>
      <c r="D682" t="str">
        <f>VLOOKUP(B682,[1]물질정보!B:D,3,0)</f>
        <v>2-hydroxyethyl acrylate</v>
      </c>
      <c r="E682" t="str">
        <f>VLOOKUP(B682,[1]물질정보!B:E,4,0)</f>
        <v>C5H8O3</v>
      </c>
      <c r="F682" t="str">
        <f>VLOOKUP(B682,[1]물질정보!B:F,5,0)</f>
        <v>116.11 g/mol</v>
      </c>
      <c r="G682" s="5" t="str">
        <f>VLOOKUP(B682,[1]물질정보!B:G,6,0)</f>
        <v>C=CC(=O)OCCO</v>
      </c>
      <c r="H682" t="s">
        <v>26</v>
      </c>
      <c r="I682" t="s">
        <v>51</v>
      </c>
      <c r="J682" t="s">
        <v>49</v>
      </c>
      <c r="K682">
        <v>6.5</v>
      </c>
      <c r="L682" t="s">
        <v>39</v>
      </c>
      <c r="M682" t="s">
        <v>249</v>
      </c>
      <c r="N682" t="s">
        <v>29</v>
      </c>
      <c r="O682" t="s">
        <v>29</v>
      </c>
      <c r="P682">
        <v>96</v>
      </c>
      <c r="Q682" t="s">
        <v>31</v>
      </c>
      <c r="R682" t="s">
        <v>159</v>
      </c>
      <c r="S682" t="s">
        <v>243</v>
      </c>
      <c r="T682" t="s">
        <v>29</v>
      </c>
      <c r="U682" t="s">
        <v>29</v>
      </c>
      <c r="V682" s="6" t="s">
        <v>160</v>
      </c>
      <c r="W682" t="s">
        <v>250</v>
      </c>
      <c r="X682" t="s">
        <v>37</v>
      </c>
      <c r="Y682" s="6" t="s">
        <v>49</v>
      </c>
    </row>
    <row r="683" spans="2:25" x14ac:dyDescent="0.3">
      <c r="B683" s="5" t="s">
        <v>67</v>
      </c>
      <c r="C683" s="5" t="str">
        <f>VLOOKUP(B683,[1]물질정보!B:C,2,0)</f>
        <v>818-61-1</v>
      </c>
      <c r="D683" t="str">
        <f>VLOOKUP(B683,[1]물질정보!B:D,3,0)</f>
        <v>2-hydroxyethyl acrylate</v>
      </c>
      <c r="E683" t="str">
        <f>VLOOKUP(B683,[1]물질정보!B:E,4,0)</f>
        <v>C5H8O3</v>
      </c>
      <c r="F683" t="str">
        <f>VLOOKUP(B683,[1]물질정보!B:F,5,0)</f>
        <v>116.11 g/mol</v>
      </c>
      <c r="G683" s="5" t="str">
        <f>VLOOKUP(B683,[1]물질정보!B:G,6,0)</f>
        <v>C=CC(=O)OCCO</v>
      </c>
      <c r="H683" t="s">
        <v>26</v>
      </c>
      <c r="I683" t="s">
        <v>51</v>
      </c>
      <c r="J683" t="s">
        <v>49</v>
      </c>
      <c r="K683">
        <v>6.81</v>
      </c>
      <c r="L683" t="s">
        <v>39</v>
      </c>
      <c r="M683" t="s">
        <v>260</v>
      </c>
      <c r="N683" t="s">
        <v>29</v>
      </c>
      <c r="O683" t="s">
        <v>29</v>
      </c>
      <c r="P683">
        <v>96</v>
      </c>
      <c r="Q683" t="s">
        <v>31</v>
      </c>
      <c r="R683" t="s">
        <v>159</v>
      </c>
      <c r="S683" t="s">
        <v>261</v>
      </c>
      <c r="T683" t="s">
        <v>29</v>
      </c>
      <c r="U683" t="s">
        <v>29</v>
      </c>
      <c r="V683" s="6" t="s">
        <v>160</v>
      </c>
      <c r="W683" t="s">
        <v>262</v>
      </c>
      <c r="X683" t="s">
        <v>37</v>
      </c>
      <c r="Y683" s="6" t="s">
        <v>49</v>
      </c>
    </row>
    <row r="684" spans="2:25" x14ac:dyDescent="0.3">
      <c r="B684" s="5" t="s">
        <v>67</v>
      </c>
      <c r="C684" s="5" t="str">
        <f>VLOOKUP(B684,[1]물질정보!B:C,2,0)</f>
        <v>818-61-1</v>
      </c>
      <c r="D684" t="str">
        <f>VLOOKUP(B684,[1]물질정보!B:D,3,0)</f>
        <v>2-hydroxyethyl acrylate</v>
      </c>
      <c r="E684" t="str">
        <f>VLOOKUP(B684,[1]물질정보!B:E,4,0)</f>
        <v>C5H8O3</v>
      </c>
      <c r="F684" t="str">
        <f>VLOOKUP(B684,[1]물질정보!B:F,5,0)</f>
        <v>116.11 g/mol</v>
      </c>
      <c r="G684" s="5" t="str">
        <f>VLOOKUP(B684,[1]물질정보!B:G,6,0)</f>
        <v>C=CC(=O)OCCO</v>
      </c>
      <c r="H684" t="s">
        <v>26</v>
      </c>
      <c r="I684" t="s">
        <v>51</v>
      </c>
      <c r="J684" t="s">
        <v>241</v>
      </c>
      <c r="K684">
        <v>4.5999999999999996</v>
      </c>
      <c r="L684" t="s">
        <v>39</v>
      </c>
      <c r="M684" t="s">
        <v>260</v>
      </c>
      <c r="N684" t="s">
        <v>29</v>
      </c>
      <c r="O684" t="s">
        <v>29</v>
      </c>
      <c r="P684">
        <v>96</v>
      </c>
      <c r="Q684" t="s">
        <v>31</v>
      </c>
      <c r="R684" t="s">
        <v>159</v>
      </c>
      <c r="S684" t="s">
        <v>261</v>
      </c>
      <c r="T684" t="s">
        <v>29</v>
      </c>
      <c r="U684" t="s">
        <v>29</v>
      </c>
      <c r="V684" s="6" t="s">
        <v>160</v>
      </c>
      <c r="W684" t="s">
        <v>262</v>
      </c>
      <c r="X684" t="s">
        <v>37</v>
      </c>
      <c r="Y684" s="6" t="s">
        <v>241</v>
      </c>
    </row>
    <row r="685" spans="2:25" x14ac:dyDescent="0.3">
      <c r="B685" s="5" t="s">
        <v>67</v>
      </c>
      <c r="C685" s="5" t="str">
        <f>VLOOKUP(B685,[1]물질정보!B:C,2,0)</f>
        <v>818-61-1</v>
      </c>
      <c r="D685" t="str">
        <f>VLOOKUP(B685,[1]물질정보!B:D,3,0)</f>
        <v>2-hydroxyethyl acrylate</v>
      </c>
      <c r="E685" t="str">
        <f>VLOOKUP(B685,[1]물질정보!B:E,4,0)</f>
        <v>C5H8O3</v>
      </c>
      <c r="F685" t="str">
        <f>VLOOKUP(B685,[1]물질정보!B:F,5,0)</f>
        <v>116.11 g/mol</v>
      </c>
      <c r="G685" s="5" t="str">
        <f>VLOOKUP(B685,[1]물질정보!B:G,6,0)</f>
        <v>C=CC(=O)OCCO</v>
      </c>
      <c r="H685" t="s">
        <v>26</v>
      </c>
      <c r="I685" t="s">
        <v>51</v>
      </c>
      <c r="J685" t="s">
        <v>181</v>
      </c>
      <c r="K685">
        <v>4.6399999999999997</v>
      </c>
      <c r="L685" t="s">
        <v>39</v>
      </c>
      <c r="M685" t="s">
        <v>260</v>
      </c>
      <c r="N685" t="s">
        <v>29</v>
      </c>
      <c r="O685" t="s">
        <v>29</v>
      </c>
      <c r="P685">
        <v>96</v>
      </c>
      <c r="Q685" t="s">
        <v>31</v>
      </c>
      <c r="R685" t="s">
        <v>159</v>
      </c>
      <c r="S685" t="s">
        <v>261</v>
      </c>
      <c r="T685" t="s">
        <v>29</v>
      </c>
      <c r="U685" t="s">
        <v>29</v>
      </c>
      <c r="V685" s="6" t="s">
        <v>160</v>
      </c>
      <c r="W685" t="s">
        <v>262</v>
      </c>
      <c r="X685" t="s">
        <v>37</v>
      </c>
      <c r="Y685" s="6" t="s">
        <v>181</v>
      </c>
    </row>
    <row r="686" spans="2:25" x14ac:dyDescent="0.3">
      <c r="B686" s="5" t="s">
        <v>67</v>
      </c>
      <c r="C686" s="5" t="str">
        <f>VLOOKUP(B686,[1]물질정보!B:C,2,0)</f>
        <v>818-61-1</v>
      </c>
      <c r="D686" t="str">
        <f>VLOOKUP(B686,[1]물질정보!B:D,3,0)</f>
        <v>2-hydroxyethyl acrylate</v>
      </c>
      <c r="E686" t="str">
        <f>VLOOKUP(B686,[1]물질정보!B:E,4,0)</f>
        <v>C5H8O3</v>
      </c>
      <c r="F686" t="str">
        <f>VLOOKUP(B686,[1]물질정보!B:F,5,0)</f>
        <v>116.11 g/mol</v>
      </c>
      <c r="G686" s="5" t="str">
        <f>VLOOKUP(B686,[1]물질정보!B:G,6,0)</f>
        <v>C=CC(=O)OCCO</v>
      </c>
      <c r="H686" t="s">
        <v>26</v>
      </c>
      <c r="I686" t="s">
        <v>51</v>
      </c>
      <c r="J686" t="s">
        <v>248</v>
      </c>
      <c r="K686">
        <v>10</v>
      </c>
      <c r="L686" t="s">
        <v>39</v>
      </c>
      <c r="M686" t="s">
        <v>260</v>
      </c>
      <c r="N686" t="s">
        <v>29</v>
      </c>
      <c r="O686" t="s">
        <v>29</v>
      </c>
      <c r="P686">
        <v>96</v>
      </c>
      <c r="Q686" t="s">
        <v>31</v>
      </c>
      <c r="R686" t="s">
        <v>159</v>
      </c>
      <c r="S686" t="s">
        <v>261</v>
      </c>
      <c r="T686" t="s">
        <v>29</v>
      </c>
      <c r="U686" t="s">
        <v>29</v>
      </c>
      <c r="V686" s="6" t="s">
        <v>160</v>
      </c>
      <c r="W686" t="s">
        <v>262</v>
      </c>
      <c r="X686" t="s">
        <v>37</v>
      </c>
      <c r="Y686" s="6" t="s">
        <v>248</v>
      </c>
    </row>
    <row r="687" spans="2:25" x14ac:dyDescent="0.3">
      <c r="B687" s="5" t="s">
        <v>67</v>
      </c>
      <c r="C687" s="5" t="str">
        <f>VLOOKUP(B687,[1]물질정보!B:C,2,0)</f>
        <v>818-61-1</v>
      </c>
      <c r="D687" t="str">
        <f>VLOOKUP(B687,[1]물질정보!B:D,3,0)</f>
        <v>2-hydroxyethyl acrylate</v>
      </c>
      <c r="E687" t="str">
        <f>VLOOKUP(B687,[1]물질정보!B:E,4,0)</f>
        <v>C5H8O3</v>
      </c>
      <c r="F687" t="str">
        <f>VLOOKUP(B687,[1]물질정보!B:F,5,0)</f>
        <v>116.11 g/mol</v>
      </c>
      <c r="G687" s="5" t="str">
        <f>VLOOKUP(B687,[1]물질정보!B:G,6,0)</f>
        <v>C=CC(=O)OCCO</v>
      </c>
      <c r="H687" t="s">
        <v>26</v>
      </c>
      <c r="I687" t="s">
        <v>51</v>
      </c>
      <c r="J687" t="s">
        <v>49</v>
      </c>
      <c r="K687">
        <v>3.61</v>
      </c>
      <c r="L687" t="s">
        <v>39</v>
      </c>
      <c r="M687" t="s">
        <v>246</v>
      </c>
      <c r="N687" t="s">
        <v>29</v>
      </c>
      <c r="O687" t="s">
        <v>29</v>
      </c>
      <c r="P687">
        <v>96</v>
      </c>
      <c r="Q687" t="s">
        <v>31</v>
      </c>
      <c r="R687" t="s">
        <v>159</v>
      </c>
      <c r="S687" t="s">
        <v>259</v>
      </c>
      <c r="T687" t="s">
        <v>29</v>
      </c>
      <c r="U687" t="s">
        <v>29</v>
      </c>
      <c r="V687" s="6" t="s">
        <v>160</v>
      </c>
      <c r="W687" t="s">
        <v>53</v>
      </c>
      <c r="X687" t="s">
        <v>37</v>
      </c>
      <c r="Y687" s="6" t="s">
        <v>49</v>
      </c>
    </row>
    <row r="688" spans="2:25" x14ac:dyDescent="0.3">
      <c r="B688" s="5" t="s">
        <v>67</v>
      </c>
      <c r="C688" s="5" t="str">
        <f>VLOOKUP(B688,[1]물질정보!B:C,2,0)</f>
        <v>818-61-1</v>
      </c>
      <c r="D688" t="str">
        <f>VLOOKUP(B688,[1]물질정보!B:D,3,0)</f>
        <v>2-hydroxyethyl acrylate</v>
      </c>
      <c r="E688" t="str">
        <f>VLOOKUP(B688,[1]물질정보!B:E,4,0)</f>
        <v>C5H8O3</v>
      </c>
      <c r="F688" t="str">
        <f>VLOOKUP(B688,[1]물질정보!B:F,5,0)</f>
        <v>116.11 g/mol</v>
      </c>
      <c r="G688" s="5" t="str">
        <f>VLOOKUP(B688,[1]물질정보!B:G,6,0)</f>
        <v>C=CC(=O)OCCO</v>
      </c>
      <c r="H688" t="s">
        <v>26</v>
      </c>
      <c r="I688" t="s">
        <v>51</v>
      </c>
      <c r="J688" t="s">
        <v>49</v>
      </c>
      <c r="K688">
        <v>4.8</v>
      </c>
      <c r="L688" t="s">
        <v>39</v>
      </c>
      <c r="M688" t="s">
        <v>263</v>
      </c>
      <c r="N688" t="s">
        <v>29</v>
      </c>
      <c r="O688" t="s">
        <v>29</v>
      </c>
      <c r="P688">
        <v>96</v>
      </c>
      <c r="Q688" t="s">
        <v>31</v>
      </c>
      <c r="R688" t="s">
        <v>159</v>
      </c>
      <c r="S688" t="s">
        <v>29</v>
      </c>
      <c r="T688" t="s">
        <v>29</v>
      </c>
      <c r="U688" t="s">
        <v>29</v>
      </c>
      <c r="V688" s="6" t="s">
        <v>163</v>
      </c>
      <c r="W688" t="s">
        <v>53</v>
      </c>
      <c r="X688" t="s">
        <v>37</v>
      </c>
      <c r="Y688" s="6" t="s">
        <v>49</v>
      </c>
    </row>
    <row r="689" spans="2:25" x14ac:dyDescent="0.3">
      <c r="B689" s="5" t="s">
        <v>67</v>
      </c>
      <c r="C689" s="5" t="str">
        <f>VLOOKUP(B689,[1]물질정보!B:C,2,0)</f>
        <v>818-61-1</v>
      </c>
      <c r="D689" t="str">
        <f>VLOOKUP(B689,[1]물질정보!B:D,3,0)</f>
        <v>2-hydroxyethyl acrylate</v>
      </c>
      <c r="E689" t="str">
        <f>VLOOKUP(B689,[1]물질정보!B:E,4,0)</f>
        <v>C5H8O3</v>
      </c>
      <c r="F689" t="str">
        <f>VLOOKUP(B689,[1]물질정보!B:F,5,0)</f>
        <v>116.11 g/mol</v>
      </c>
      <c r="G689" s="5" t="str">
        <f>VLOOKUP(B689,[1]물질정보!B:G,6,0)</f>
        <v>C=CC(=O)OCCO</v>
      </c>
      <c r="H689" t="s">
        <v>26</v>
      </c>
      <c r="I689" t="s">
        <v>51</v>
      </c>
      <c r="J689" t="s">
        <v>49</v>
      </c>
      <c r="K689">
        <v>17.5</v>
      </c>
      <c r="L689" t="s">
        <v>39</v>
      </c>
      <c r="M689" t="s">
        <v>264</v>
      </c>
      <c r="N689" t="s">
        <v>29</v>
      </c>
      <c r="O689" t="s">
        <v>29</v>
      </c>
      <c r="P689">
        <v>96</v>
      </c>
      <c r="Q689" t="s">
        <v>31</v>
      </c>
      <c r="R689" t="s">
        <v>159</v>
      </c>
      <c r="S689" t="s">
        <v>29</v>
      </c>
      <c r="T689" t="s">
        <v>29</v>
      </c>
      <c r="U689" t="s">
        <v>29</v>
      </c>
      <c r="V689" s="6" t="s">
        <v>163</v>
      </c>
      <c r="W689" t="s">
        <v>256</v>
      </c>
      <c r="X689" t="s">
        <v>37</v>
      </c>
      <c r="Y689" s="6" t="s">
        <v>49</v>
      </c>
    </row>
    <row r="690" spans="2:25" x14ac:dyDescent="0.3">
      <c r="B690" s="5" t="s">
        <v>67</v>
      </c>
      <c r="C690" s="5" t="str">
        <f>VLOOKUP(B690,[1]물질정보!B:C,2,0)</f>
        <v>818-61-1</v>
      </c>
      <c r="D690" t="str">
        <f>VLOOKUP(B690,[1]물질정보!B:D,3,0)</f>
        <v>2-hydroxyethyl acrylate</v>
      </c>
      <c r="E690" t="str">
        <f>VLOOKUP(B690,[1]물질정보!B:E,4,0)</f>
        <v>C5H8O3</v>
      </c>
      <c r="F690" t="str">
        <f>VLOOKUP(B690,[1]물질정보!B:F,5,0)</f>
        <v>116.11 g/mol</v>
      </c>
      <c r="G690" s="5" t="str">
        <f>VLOOKUP(B690,[1]물질정보!B:G,6,0)</f>
        <v>C=CC(=O)OCCO</v>
      </c>
      <c r="H690" t="s">
        <v>26</v>
      </c>
      <c r="I690" t="s">
        <v>51</v>
      </c>
      <c r="J690" t="s">
        <v>49</v>
      </c>
      <c r="K690">
        <v>4.8</v>
      </c>
      <c r="L690" t="s">
        <v>39</v>
      </c>
      <c r="M690" t="s">
        <v>265</v>
      </c>
      <c r="N690" t="s">
        <v>29</v>
      </c>
      <c r="O690" t="s">
        <v>29</v>
      </c>
      <c r="P690">
        <v>96</v>
      </c>
      <c r="Q690" t="s">
        <v>31</v>
      </c>
      <c r="R690" t="s">
        <v>159</v>
      </c>
      <c r="S690" t="s">
        <v>29</v>
      </c>
      <c r="T690" t="s">
        <v>29</v>
      </c>
      <c r="U690" t="s">
        <v>29</v>
      </c>
      <c r="V690" s="6" t="s">
        <v>168</v>
      </c>
      <c r="W690" t="s">
        <v>53</v>
      </c>
      <c r="X690" t="s">
        <v>37</v>
      </c>
      <c r="Y690" s="6" t="s">
        <v>49</v>
      </c>
    </row>
    <row r="691" spans="2:25" x14ac:dyDescent="0.3">
      <c r="B691" s="5" t="s">
        <v>67</v>
      </c>
      <c r="C691" s="5" t="str">
        <f>VLOOKUP(B691,[1]물질정보!B:C,2,0)</f>
        <v>818-61-1</v>
      </c>
      <c r="D691" t="str">
        <f>VLOOKUP(B691,[1]물질정보!B:D,3,0)</f>
        <v>2-hydroxyethyl acrylate</v>
      </c>
      <c r="E691" t="str">
        <f>VLOOKUP(B691,[1]물질정보!B:E,4,0)</f>
        <v>C5H8O3</v>
      </c>
      <c r="F691" t="str">
        <f>VLOOKUP(B691,[1]물질정보!B:F,5,0)</f>
        <v>116.11 g/mol</v>
      </c>
      <c r="G691" s="5" t="str">
        <f>VLOOKUP(B691,[1]물질정보!B:G,6,0)</f>
        <v>C=CC(=O)OCCO</v>
      </c>
      <c r="H691" t="s">
        <v>26</v>
      </c>
      <c r="I691" t="s">
        <v>51</v>
      </c>
      <c r="J691" t="s">
        <v>49</v>
      </c>
      <c r="K691">
        <v>4.8</v>
      </c>
      <c r="L691" t="s">
        <v>39</v>
      </c>
      <c r="M691" t="s">
        <v>265</v>
      </c>
      <c r="N691" t="s">
        <v>29</v>
      </c>
      <c r="O691" t="s">
        <v>29</v>
      </c>
      <c r="P691">
        <v>96</v>
      </c>
      <c r="Q691" t="s">
        <v>31</v>
      </c>
      <c r="R691" t="s">
        <v>159</v>
      </c>
      <c r="S691" t="s">
        <v>29</v>
      </c>
      <c r="T691" t="s">
        <v>29</v>
      </c>
      <c r="U691" t="s">
        <v>29</v>
      </c>
      <c r="V691" s="6" t="s">
        <v>169</v>
      </c>
      <c r="W691" t="s">
        <v>53</v>
      </c>
      <c r="X691" t="s">
        <v>37</v>
      </c>
      <c r="Y691" s="6" t="s">
        <v>49</v>
      </c>
    </row>
    <row r="692" spans="2:25" x14ac:dyDescent="0.3">
      <c r="B692" s="5" t="s">
        <v>65</v>
      </c>
      <c r="C692" s="5" t="str">
        <f>VLOOKUP(B692,[1]물질정보!B:C,2,0)</f>
        <v>141-32-2</v>
      </c>
      <c r="D692" t="str">
        <f>VLOOKUP(B692,[1]물질정보!B:D,3,0)</f>
        <v>butyl acrylate</v>
      </c>
      <c r="E692" t="str">
        <f>VLOOKUP(B692,[1]물질정보!B:E,4,0)</f>
        <v>C7H12O2</v>
      </c>
      <c r="F692" t="str">
        <f>VLOOKUP(B692,[1]물질정보!B:F,5,0)</f>
        <v>128.169 g/mol</v>
      </c>
      <c r="G692" s="5" t="str">
        <f>VLOOKUP(B692,[1]물질정보!B:G,6,0)</f>
        <v>CCCCOC(=O)C=C</v>
      </c>
      <c r="H692" t="s">
        <v>26</v>
      </c>
      <c r="I692" t="s">
        <v>51</v>
      </c>
      <c r="J692" t="s">
        <v>181</v>
      </c>
      <c r="K692">
        <v>3.8</v>
      </c>
      <c r="L692" t="s">
        <v>39</v>
      </c>
      <c r="M692" t="s">
        <v>242</v>
      </c>
      <c r="N692" t="s">
        <v>29</v>
      </c>
      <c r="O692" t="s">
        <v>29</v>
      </c>
      <c r="P692">
        <v>96</v>
      </c>
      <c r="Q692" t="s">
        <v>31</v>
      </c>
      <c r="R692" t="s">
        <v>159</v>
      </c>
      <c r="S692" t="s">
        <v>255</v>
      </c>
      <c r="T692" t="s">
        <v>29</v>
      </c>
      <c r="U692" t="s">
        <v>29</v>
      </c>
      <c r="V692" s="6" t="s">
        <v>160</v>
      </c>
      <c r="W692" t="s">
        <v>244</v>
      </c>
      <c r="X692" t="s">
        <v>37</v>
      </c>
      <c r="Y692" s="6" t="s">
        <v>181</v>
      </c>
    </row>
    <row r="693" spans="2:25" x14ac:dyDescent="0.3">
      <c r="B693" s="5" t="s">
        <v>65</v>
      </c>
      <c r="C693" s="5" t="str">
        <f>VLOOKUP(B693,[1]물질정보!B:C,2,0)</f>
        <v>141-32-2</v>
      </c>
      <c r="D693" t="str">
        <f>VLOOKUP(B693,[1]물질정보!B:D,3,0)</f>
        <v>butyl acrylate</v>
      </c>
      <c r="E693" t="str">
        <f>VLOOKUP(B693,[1]물질정보!B:E,4,0)</f>
        <v>C7H12O2</v>
      </c>
      <c r="F693" t="str">
        <f>VLOOKUP(B693,[1]물질정보!B:F,5,0)</f>
        <v>128.169 g/mol</v>
      </c>
      <c r="G693" s="5" t="str">
        <f>VLOOKUP(B693,[1]물질정보!B:G,6,0)</f>
        <v>CCCCOC(=O)C=C</v>
      </c>
      <c r="H693" t="s">
        <v>26</v>
      </c>
      <c r="I693" t="s">
        <v>51</v>
      </c>
      <c r="J693" t="s">
        <v>49</v>
      </c>
      <c r="K693">
        <v>5.2</v>
      </c>
      <c r="L693" t="s">
        <v>39</v>
      </c>
      <c r="M693" t="s">
        <v>242</v>
      </c>
      <c r="N693" t="s">
        <v>29</v>
      </c>
      <c r="O693" t="s">
        <v>29</v>
      </c>
      <c r="P693">
        <v>96</v>
      </c>
      <c r="Q693" t="s">
        <v>31</v>
      </c>
      <c r="R693" t="s">
        <v>159</v>
      </c>
      <c r="S693" t="s">
        <v>255</v>
      </c>
      <c r="T693" t="s">
        <v>29</v>
      </c>
      <c r="U693" t="s">
        <v>29</v>
      </c>
      <c r="V693" s="6" t="s">
        <v>160</v>
      </c>
      <c r="W693" t="s">
        <v>244</v>
      </c>
      <c r="X693" t="s">
        <v>37</v>
      </c>
      <c r="Y693" s="6" t="s">
        <v>49</v>
      </c>
    </row>
    <row r="694" spans="2:25" x14ac:dyDescent="0.3">
      <c r="B694" s="5" t="s">
        <v>65</v>
      </c>
      <c r="C694" s="5" t="str">
        <f>VLOOKUP(B694,[1]물질정보!B:C,2,0)</f>
        <v>141-32-2</v>
      </c>
      <c r="D694" t="str">
        <f>VLOOKUP(B694,[1]물질정보!B:D,3,0)</f>
        <v>butyl acrylate</v>
      </c>
      <c r="E694" t="str">
        <f>VLOOKUP(B694,[1]물질정보!B:E,4,0)</f>
        <v>C7H12O2</v>
      </c>
      <c r="F694" t="str">
        <f>VLOOKUP(B694,[1]물질정보!B:F,5,0)</f>
        <v>128.169 g/mol</v>
      </c>
      <c r="G694" s="5" t="str">
        <f>VLOOKUP(B694,[1]물질정보!B:G,6,0)</f>
        <v>CCCCOC(=O)C=C</v>
      </c>
      <c r="H694" t="s">
        <v>26</v>
      </c>
      <c r="I694" t="s">
        <v>51</v>
      </c>
      <c r="J694" t="s">
        <v>248</v>
      </c>
      <c r="K694">
        <v>7.2</v>
      </c>
      <c r="L694" t="s">
        <v>39</v>
      </c>
      <c r="M694" t="s">
        <v>242</v>
      </c>
      <c r="N694" t="s">
        <v>29</v>
      </c>
      <c r="O694" t="s">
        <v>29</v>
      </c>
      <c r="P694">
        <v>96</v>
      </c>
      <c r="Q694" t="s">
        <v>31</v>
      </c>
      <c r="R694" t="s">
        <v>159</v>
      </c>
      <c r="S694" t="s">
        <v>255</v>
      </c>
      <c r="T694" t="s">
        <v>29</v>
      </c>
      <c r="U694" t="s">
        <v>29</v>
      </c>
      <c r="V694" s="6" t="s">
        <v>160</v>
      </c>
      <c r="W694" t="s">
        <v>244</v>
      </c>
      <c r="X694" t="s">
        <v>37</v>
      </c>
      <c r="Y694" s="6" t="s">
        <v>248</v>
      </c>
    </row>
    <row r="695" spans="2:25" x14ac:dyDescent="0.3">
      <c r="B695" s="5" t="s">
        <v>65</v>
      </c>
      <c r="C695" s="5" t="str">
        <f>VLOOKUP(B695,[1]물질정보!B:C,2,0)</f>
        <v>141-32-2</v>
      </c>
      <c r="D695" t="str">
        <f>VLOOKUP(B695,[1]물질정보!B:D,3,0)</f>
        <v>butyl acrylate</v>
      </c>
      <c r="E695" t="str">
        <f>VLOOKUP(B695,[1]물질정보!B:E,4,0)</f>
        <v>C7H12O2</v>
      </c>
      <c r="F695" t="str">
        <f>VLOOKUP(B695,[1]물질정보!B:F,5,0)</f>
        <v>128.169 g/mol</v>
      </c>
      <c r="G695" s="5" t="str">
        <f>VLOOKUP(B695,[1]물질정보!B:G,6,0)</f>
        <v>CCCCOC(=O)C=C</v>
      </c>
      <c r="H695" t="s">
        <v>26</v>
      </c>
      <c r="I695" t="s">
        <v>51</v>
      </c>
      <c r="J695" t="s">
        <v>241</v>
      </c>
      <c r="K695">
        <v>3.8</v>
      </c>
      <c r="L695" t="s">
        <v>39</v>
      </c>
      <c r="M695" t="s">
        <v>242</v>
      </c>
      <c r="N695" t="s">
        <v>29</v>
      </c>
      <c r="O695" t="s">
        <v>29</v>
      </c>
      <c r="P695">
        <v>96</v>
      </c>
      <c r="Q695" t="s">
        <v>31</v>
      </c>
      <c r="R695" t="s">
        <v>159</v>
      </c>
      <c r="S695" t="s">
        <v>255</v>
      </c>
      <c r="T695" t="s">
        <v>29</v>
      </c>
      <c r="U695" t="s">
        <v>29</v>
      </c>
      <c r="V695" s="6" t="s">
        <v>160</v>
      </c>
      <c r="W695" t="s">
        <v>244</v>
      </c>
      <c r="X695" t="s">
        <v>37</v>
      </c>
      <c r="Y695" s="6" t="s">
        <v>241</v>
      </c>
    </row>
    <row r="696" spans="2:25" x14ac:dyDescent="0.3">
      <c r="B696" s="5" t="s">
        <v>65</v>
      </c>
      <c r="C696" s="5" t="str">
        <f>VLOOKUP(B696,[1]물질정보!B:C,2,0)</f>
        <v>141-32-2</v>
      </c>
      <c r="D696" t="str">
        <f>VLOOKUP(B696,[1]물질정보!B:D,3,0)</f>
        <v>butyl acrylate</v>
      </c>
      <c r="E696" t="str">
        <f>VLOOKUP(B696,[1]물질정보!B:E,4,0)</f>
        <v>C7H12O2</v>
      </c>
      <c r="F696" t="str">
        <f>VLOOKUP(B696,[1]물질정보!B:F,5,0)</f>
        <v>128.169 g/mol</v>
      </c>
      <c r="G696" s="5" t="str">
        <f>VLOOKUP(B696,[1]물질정보!B:G,6,0)</f>
        <v>CCCCOC(=O)C=C</v>
      </c>
      <c r="H696" t="s">
        <v>26</v>
      </c>
      <c r="I696" t="s">
        <v>51</v>
      </c>
      <c r="J696" t="s">
        <v>181</v>
      </c>
      <c r="K696">
        <v>1.3</v>
      </c>
      <c r="L696" t="s">
        <v>39</v>
      </c>
      <c r="M696" t="s">
        <v>256</v>
      </c>
      <c r="N696" t="s">
        <v>29</v>
      </c>
      <c r="O696" t="s">
        <v>29</v>
      </c>
      <c r="P696">
        <v>96</v>
      </c>
      <c r="Q696" t="s">
        <v>31</v>
      </c>
      <c r="R696" t="s">
        <v>159</v>
      </c>
      <c r="S696" t="s">
        <v>243</v>
      </c>
      <c r="T696" t="s">
        <v>29</v>
      </c>
      <c r="U696" t="s">
        <v>29</v>
      </c>
      <c r="V696" s="6" t="s">
        <v>160</v>
      </c>
      <c r="W696" t="s">
        <v>256</v>
      </c>
      <c r="X696" t="s">
        <v>37</v>
      </c>
      <c r="Y696" s="6" t="s">
        <v>181</v>
      </c>
    </row>
    <row r="697" spans="2:25" x14ac:dyDescent="0.3">
      <c r="B697" s="5" t="s">
        <v>65</v>
      </c>
      <c r="C697" s="5" t="str">
        <f>VLOOKUP(B697,[1]물질정보!B:C,2,0)</f>
        <v>141-32-2</v>
      </c>
      <c r="D697" t="str">
        <f>VLOOKUP(B697,[1]물질정보!B:D,3,0)</f>
        <v>butyl acrylate</v>
      </c>
      <c r="E697" t="str">
        <f>VLOOKUP(B697,[1]물질정보!B:E,4,0)</f>
        <v>C7H12O2</v>
      </c>
      <c r="F697" t="str">
        <f>VLOOKUP(B697,[1]물질정보!B:F,5,0)</f>
        <v>128.169 g/mol</v>
      </c>
      <c r="G697" s="5" t="str">
        <f>VLOOKUP(B697,[1]물질정보!B:G,6,0)</f>
        <v>CCCCOC(=O)C=C</v>
      </c>
      <c r="H697" t="s">
        <v>26</v>
      </c>
      <c r="I697" t="s">
        <v>51</v>
      </c>
      <c r="J697" t="s">
        <v>49</v>
      </c>
      <c r="K697">
        <v>2.1</v>
      </c>
      <c r="L697" t="s">
        <v>39</v>
      </c>
      <c r="M697" t="s">
        <v>256</v>
      </c>
      <c r="N697" t="s">
        <v>29</v>
      </c>
      <c r="O697" t="s">
        <v>29</v>
      </c>
      <c r="P697">
        <v>96</v>
      </c>
      <c r="Q697" t="s">
        <v>31</v>
      </c>
      <c r="R697" t="s">
        <v>159</v>
      </c>
      <c r="S697" t="s">
        <v>243</v>
      </c>
      <c r="T697" t="s">
        <v>29</v>
      </c>
      <c r="U697" t="s">
        <v>29</v>
      </c>
      <c r="V697" s="6" t="s">
        <v>160</v>
      </c>
      <c r="W697" t="s">
        <v>256</v>
      </c>
      <c r="X697" t="s">
        <v>37</v>
      </c>
      <c r="Y697" s="6" t="s">
        <v>49</v>
      </c>
    </row>
    <row r="698" spans="2:25" x14ac:dyDescent="0.3">
      <c r="B698" s="5" t="s">
        <v>65</v>
      </c>
      <c r="C698" s="5" t="str">
        <f>VLOOKUP(B698,[1]물질정보!B:C,2,0)</f>
        <v>141-32-2</v>
      </c>
      <c r="D698" t="str">
        <f>VLOOKUP(B698,[1]물질정보!B:D,3,0)</f>
        <v>butyl acrylate</v>
      </c>
      <c r="E698" t="str">
        <f>VLOOKUP(B698,[1]물질정보!B:E,4,0)</f>
        <v>C7H12O2</v>
      </c>
      <c r="F698" t="str">
        <f>VLOOKUP(B698,[1]물질정보!B:F,5,0)</f>
        <v>128.169 g/mol</v>
      </c>
      <c r="G698" s="5" t="str">
        <f>VLOOKUP(B698,[1]물질정보!B:G,6,0)</f>
        <v>CCCCOC(=O)C=C</v>
      </c>
      <c r="H698" t="s">
        <v>26</v>
      </c>
      <c r="I698" t="s">
        <v>51</v>
      </c>
      <c r="J698" t="s">
        <v>248</v>
      </c>
      <c r="K698">
        <v>3.5</v>
      </c>
      <c r="L698" t="s">
        <v>39</v>
      </c>
      <c r="M698" t="s">
        <v>256</v>
      </c>
      <c r="N698" t="s">
        <v>29</v>
      </c>
      <c r="O698" t="s">
        <v>29</v>
      </c>
      <c r="P698">
        <v>96</v>
      </c>
      <c r="Q698" t="s">
        <v>31</v>
      </c>
      <c r="R698" t="s">
        <v>159</v>
      </c>
      <c r="S698" t="s">
        <v>243</v>
      </c>
      <c r="T698" t="s">
        <v>29</v>
      </c>
      <c r="U698" t="s">
        <v>29</v>
      </c>
      <c r="V698" s="6" t="s">
        <v>160</v>
      </c>
      <c r="W698" t="s">
        <v>256</v>
      </c>
      <c r="X698" t="s">
        <v>37</v>
      </c>
      <c r="Y698" s="6" t="s">
        <v>248</v>
      </c>
    </row>
    <row r="699" spans="2:25" x14ac:dyDescent="0.3">
      <c r="B699" s="5" t="s">
        <v>65</v>
      </c>
      <c r="C699" s="5" t="str">
        <f>VLOOKUP(B699,[1]물질정보!B:C,2,0)</f>
        <v>141-32-2</v>
      </c>
      <c r="D699" t="str">
        <f>VLOOKUP(B699,[1]물질정보!B:D,3,0)</f>
        <v>butyl acrylate</v>
      </c>
      <c r="E699" t="str">
        <f>VLOOKUP(B699,[1]물질정보!B:E,4,0)</f>
        <v>C7H12O2</v>
      </c>
      <c r="F699" t="str">
        <f>VLOOKUP(B699,[1]물질정보!B:F,5,0)</f>
        <v>128.169 g/mol</v>
      </c>
      <c r="G699" s="5" t="str">
        <f>VLOOKUP(B699,[1]물질정보!B:G,6,0)</f>
        <v>CCCCOC(=O)C=C</v>
      </c>
      <c r="H699" t="s">
        <v>26</v>
      </c>
      <c r="I699" t="s">
        <v>51</v>
      </c>
      <c r="J699" t="s">
        <v>241</v>
      </c>
      <c r="K699">
        <v>1.3</v>
      </c>
      <c r="L699" t="s">
        <v>39</v>
      </c>
      <c r="M699" t="s">
        <v>256</v>
      </c>
      <c r="N699" t="s">
        <v>29</v>
      </c>
      <c r="O699" t="s">
        <v>29</v>
      </c>
      <c r="P699">
        <v>96</v>
      </c>
      <c r="Q699" t="s">
        <v>31</v>
      </c>
      <c r="R699" t="s">
        <v>159</v>
      </c>
      <c r="S699" t="s">
        <v>243</v>
      </c>
      <c r="T699" t="s">
        <v>29</v>
      </c>
      <c r="U699" t="s">
        <v>29</v>
      </c>
      <c r="V699" s="6" t="s">
        <v>160</v>
      </c>
      <c r="W699" t="s">
        <v>256</v>
      </c>
      <c r="X699" t="s">
        <v>37</v>
      </c>
      <c r="Y699" s="6" t="s">
        <v>241</v>
      </c>
    </row>
    <row r="700" spans="2:25" x14ac:dyDescent="0.3">
      <c r="B700" s="5" t="s">
        <v>65</v>
      </c>
      <c r="C700" s="5" t="str">
        <f>VLOOKUP(B700,[1]물질정보!B:C,2,0)</f>
        <v>141-32-2</v>
      </c>
      <c r="D700" t="str">
        <f>VLOOKUP(B700,[1]물질정보!B:D,3,0)</f>
        <v>butyl acrylate</v>
      </c>
      <c r="E700" t="str">
        <f>VLOOKUP(B700,[1]물질정보!B:E,4,0)</f>
        <v>C7H12O2</v>
      </c>
      <c r="F700" t="str">
        <f>VLOOKUP(B700,[1]물질정보!B:F,5,0)</f>
        <v>128.169 g/mol</v>
      </c>
      <c r="G700" s="5" t="str">
        <f>VLOOKUP(B700,[1]물질정보!B:G,6,0)</f>
        <v>CCCCOC(=O)C=C</v>
      </c>
      <c r="H700" t="s">
        <v>26</v>
      </c>
      <c r="I700" t="s">
        <v>51</v>
      </c>
      <c r="J700" t="s">
        <v>248</v>
      </c>
      <c r="K700">
        <v>3.32</v>
      </c>
      <c r="L700" t="s">
        <v>39</v>
      </c>
      <c r="M700" t="s">
        <v>242</v>
      </c>
      <c r="N700" t="s">
        <v>29</v>
      </c>
      <c r="O700" t="s">
        <v>29</v>
      </c>
      <c r="P700">
        <v>96</v>
      </c>
      <c r="Q700" t="s">
        <v>31</v>
      </c>
      <c r="R700" t="s">
        <v>159</v>
      </c>
      <c r="S700" t="s">
        <v>243</v>
      </c>
      <c r="T700" t="s">
        <v>29</v>
      </c>
      <c r="U700" t="s">
        <v>29</v>
      </c>
      <c r="V700" s="6" t="s">
        <v>160</v>
      </c>
      <c r="W700" t="s">
        <v>244</v>
      </c>
      <c r="X700" t="s">
        <v>37</v>
      </c>
      <c r="Y700" s="6" t="s">
        <v>248</v>
      </c>
    </row>
    <row r="701" spans="2:25" x14ac:dyDescent="0.3">
      <c r="B701" s="5" t="s">
        <v>65</v>
      </c>
      <c r="C701" s="5" t="str">
        <f>VLOOKUP(B701,[1]물질정보!B:C,2,0)</f>
        <v>141-32-2</v>
      </c>
      <c r="D701" t="str">
        <f>VLOOKUP(B701,[1]물질정보!B:D,3,0)</f>
        <v>butyl acrylate</v>
      </c>
      <c r="E701" t="str">
        <f>VLOOKUP(B701,[1]물질정보!B:E,4,0)</f>
        <v>C7H12O2</v>
      </c>
      <c r="F701" t="str">
        <f>VLOOKUP(B701,[1]물질정보!B:F,5,0)</f>
        <v>128.169 g/mol</v>
      </c>
      <c r="G701" s="5" t="str">
        <f>VLOOKUP(B701,[1]물질정보!B:G,6,0)</f>
        <v>CCCCOC(=O)C=C</v>
      </c>
      <c r="H701" t="s">
        <v>26</v>
      </c>
      <c r="I701" t="s">
        <v>51</v>
      </c>
      <c r="J701" t="s">
        <v>49</v>
      </c>
      <c r="K701">
        <v>1.81</v>
      </c>
      <c r="L701" t="s">
        <v>39</v>
      </c>
      <c r="M701" t="s">
        <v>242</v>
      </c>
      <c r="N701" t="s">
        <v>29</v>
      </c>
      <c r="O701" t="s">
        <v>29</v>
      </c>
      <c r="P701">
        <v>96</v>
      </c>
      <c r="Q701" t="s">
        <v>31</v>
      </c>
      <c r="R701" t="s">
        <v>159</v>
      </c>
      <c r="S701" t="s">
        <v>243</v>
      </c>
      <c r="T701" t="s">
        <v>29</v>
      </c>
      <c r="U701" t="s">
        <v>29</v>
      </c>
      <c r="V701" s="6" t="s">
        <v>160</v>
      </c>
      <c r="W701" t="s">
        <v>244</v>
      </c>
      <c r="X701" t="s">
        <v>37</v>
      </c>
      <c r="Y701" s="6" t="s">
        <v>49</v>
      </c>
    </row>
    <row r="702" spans="2:25" x14ac:dyDescent="0.3">
      <c r="B702" s="5" t="s">
        <v>65</v>
      </c>
      <c r="C702" s="5" t="str">
        <f>VLOOKUP(B702,[1]물질정보!B:C,2,0)</f>
        <v>141-32-2</v>
      </c>
      <c r="D702" t="str">
        <f>VLOOKUP(B702,[1]물질정보!B:D,3,0)</f>
        <v>butyl acrylate</v>
      </c>
      <c r="E702" t="str">
        <f>VLOOKUP(B702,[1]물질정보!B:E,4,0)</f>
        <v>C7H12O2</v>
      </c>
      <c r="F702" t="str">
        <f>VLOOKUP(B702,[1]물질정보!B:F,5,0)</f>
        <v>128.169 g/mol</v>
      </c>
      <c r="G702" s="5" t="str">
        <f>VLOOKUP(B702,[1]물질정보!B:G,6,0)</f>
        <v>CCCCOC(=O)C=C</v>
      </c>
      <c r="H702" t="s">
        <v>26</v>
      </c>
      <c r="I702" t="s">
        <v>51</v>
      </c>
      <c r="J702" t="s">
        <v>181</v>
      </c>
      <c r="K702">
        <v>1.49</v>
      </c>
      <c r="L702" t="s">
        <v>39</v>
      </c>
      <c r="M702" t="s">
        <v>242</v>
      </c>
      <c r="N702" t="s">
        <v>29</v>
      </c>
      <c r="O702" t="s">
        <v>29</v>
      </c>
      <c r="P702">
        <v>96</v>
      </c>
      <c r="Q702" t="s">
        <v>31</v>
      </c>
      <c r="R702" t="s">
        <v>159</v>
      </c>
      <c r="S702" t="s">
        <v>243</v>
      </c>
      <c r="T702" t="s">
        <v>29</v>
      </c>
      <c r="U702" t="s">
        <v>29</v>
      </c>
      <c r="V702" s="6" t="s">
        <v>160</v>
      </c>
      <c r="W702" t="s">
        <v>244</v>
      </c>
      <c r="X702" t="s">
        <v>37</v>
      </c>
      <c r="Y702" s="6" t="s">
        <v>181</v>
      </c>
    </row>
    <row r="703" spans="2:25" x14ac:dyDescent="0.3">
      <c r="B703" s="5" t="s">
        <v>65</v>
      </c>
      <c r="C703" s="5" t="str">
        <f>VLOOKUP(B703,[1]물질정보!B:C,2,0)</f>
        <v>141-32-2</v>
      </c>
      <c r="D703" t="str">
        <f>VLOOKUP(B703,[1]물질정보!B:D,3,0)</f>
        <v>butyl acrylate</v>
      </c>
      <c r="E703" t="str">
        <f>VLOOKUP(B703,[1]물질정보!B:E,4,0)</f>
        <v>C7H12O2</v>
      </c>
      <c r="F703" t="str">
        <f>VLOOKUP(B703,[1]물질정보!B:F,5,0)</f>
        <v>128.169 g/mol</v>
      </c>
      <c r="G703" s="5" t="str">
        <f>VLOOKUP(B703,[1]물질정보!B:G,6,0)</f>
        <v>CCCCOC(=O)C=C</v>
      </c>
      <c r="H703" t="s">
        <v>26</v>
      </c>
      <c r="I703" t="s">
        <v>51</v>
      </c>
      <c r="J703" t="s">
        <v>241</v>
      </c>
      <c r="K703">
        <v>0.38100000000000001</v>
      </c>
      <c r="L703" t="s">
        <v>39</v>
      </c>
      <c r="M703" t="s">
        <v>242</v>
      </c>
      <c r="N703" t="s">
        <v>29</v>
      </c>
      <c r="O703" t="s">
        <v>29</v>
      </c>
      <c r="P703">
        <v>96</v>
      </c>
      <c r="Q703" t="s">
        <v>31</v>
      </c>
      <c r="R703" t="s">
        <v>159</v>
      </c>
      <c r="S703" t="s">
        <v>243</v>
      </c>
      <c r="T703" t="s">
        <v>29</v>
      </c>
      <c r="U703" t="s">
        <v>29</v>
      </c>
      <c r="V703" s="6" t="s">
        <v>160</v>
      </c>
      <c r="W703" t="s">
        <v>244</v>
      </c>
      <c r="X703" t="s">
        <v>37</v>
      </c>
      <c r="Y703" s="6" t="s">
        <v>241</v>
      </c>
    </row>
    <row r="704" spans="2:25" x14ac:dyDescent="0.3">
      <c r="B704" s="5" t="s">
        <v>65</v>
      </c>
      <c r="C704" s="5" t="str">
        <f>VLOOKUP(B704,[1]물질정보!B:C,2,0)</f>
        <v>141-32-2</v>
      </c>
      <c r="D704" t="str">
        <f>VLOOKUP(B704,[1]물질정보!B:D,3,0)</f>
        <v>butyl acrylate</v>
      </c>
      <c r="E704" t="str">
        <f>VLOOKUP(B704,[1]물질정보!B:E,4,0)</f>
        <v>C7H12O2</v>
      </c>
      <c r="F704" t="str">
        <f>VLOOKUP(B704,[1]물질정보!B:F,5,0)</f>
        <v>128.169 g/mol</v>
      </c>
      <c r="G704" s="5" t="str">
        <f>VLOOKUP(B704,[1]물질정보!B:G,6,0)</f>
        <v>CCCCOC(=O)C=C</v>
      </c>
      <c r="H704" t="s">
        <v>26</v>
      </c>
      <c r="I704" t="s">
        <v>51</v>
      </c>
      <c r="J704" t="s">
        <v>241</v>
      </c>
      <c r="K704">
        <v>2.8</v>
      </c>
      <c r="L704" t="s">
        <v>39</v>
      </c>
      <c r="M704" t="s">
        <v>242</v>
      </c>
      <c r="N704" t="s">
        <v>29</v>
      </c>
      <c r="O704" t="s">
        <v>29</v>
      </c>
      <c r="P704">
        <v>96</v>
      </c>
      <c r="Q704" t="s">
        <v>31</v>
      </c>
      <c r="R704" t="s">
        <v>159</v>
      </c>
      <c r="S704" t="s">
        <v>243</v>
      </c>
      <c r="T704" t="s">
        <v>29</v>
      </c>
      <c r="U704" t="s">
        <v>29</v>
      </c>
      <c r="V704" s="6" t="s">
        <v>160</v>
      </c>
      <c r="W704" t="s">
        <v>244</v>
      </c>
      <c r="X704" t="s">
        <v>37</v>
      </c>
      <c r="Y704" s="6" t="s">
        <v>241</v>
      </c>
    </row>
    <row r="705" spans="2:25" x14ac:dyDescent="0.3">
      <c r="B705" s="5" t="s">
        <v>65</v>
      </c>
      <c r="C705" s="5" t="str">
        <f>VLOOKUP(B705,[1]물질정보!B:C,2,0)</f>
        <v>141-32-2</v>
      </c>
      <c r="D705" t="str">
        <f>VLOOKUP(B705,[1]물질정보!B:D,3,0)</f>
        <v>butyl acrylate</v>
      </c>
      <c r="E705" t="str">
        <f>VLOOKUP(B705,[1]물질정보!B:E,4,0)</f>
        <v>C7H12O2</v>
      </c>
      <c r="F705" t="str">
        <f>VLOOKUP(B705,[1]물질정보!B:F,5,0)</f>
        <v>128.169 g/mol</v>
      </c>
      <c r="G705" s="5" t="str">
        <f>VLOOKUP(B705,[1]물질정보!B:G,6,0)</f>
        <v>CCCCOC(=O)C=C</v>
      </c>
      <c r="H705" t="s">
        <v>26</v>
      </c>
      <c r="I705" t="s">
        <v>51</v>
      </c>
      <c r="J705" t="s">
        <v>181</v>
      </c>
      <c r="K705">
        <v>2.8</v>
      </c>
      <c r="L705" t="s">
        <v>39</v>
      </c>
      <c r="M705" t="s">
        <v>242</v>
      </c>
      <c r="N705" t="s">
        <v>29</v>
      </c>
      <c r="O705" t="s">
        <v>29</v>
      </c>
      <c r="P705">
        <v>96</v>
      </c>
      <c r="Q705" t="s">
        <v>31</v>
      </c>
      <c r="R705" t="s">
        <v>159</v>
      </c>
      <c r="S705" t="s">
        <v>243</v>
      </c>
      <c r="T705" t="s">
        <v>29</v>
      </c>
      <c r="U705" t="s">
        <v>29</v>
      </c>
      <c r="V705" s="6" t="s">
        <v>160</v>
      </c>
      <c r="W705" t="s">
        <v>244</v>
      </c>
      <c r="X705" t="s">
        <v>37</v>
      </c>
      <c r="Y705" s="6" t="s">
        <v>181</v>
      </c>
    </row>
    <row r="706" spans="2:25" x14ac:dyDescent="0.3">
      <c r="B706" s="5" t="s">
        <v>65</v>
      </c>
      <c r="C706" s="5" t="str">
        <f>VLOOKUP(B706,[1]물질정보!B:C,2,0)</f>
        <v>141-32-2</v>
      </c>
      <c r="D706" t="str">
        <f>VLOOKUP(B706,[1]물질정보!B:D,3,0)</f>
        <v>butyl acrylate</v>
      </c>
      <c r="E706" t="str">
        <f>VLOOKUP(B706,[1]물질정보!B:E,4,0)</f>
        <v>C7H12O2</v>
      </c>
      <c r="F706" t="str">
        <f>VLOOKUP(B706,[1]물질정보!B:F,5,0)</f>
        <v>128.169 g/mol</v>
      </c>
      <c r="G706" s="5" t="str">
        <f>VLOOKUP(B706,[1]물질정보!B:G,6,0)</f>
        <v>CCCCOC(=O)C=C</v>
      </c>
      <c r="H706" t="s">
        <v>26</v>
      </c>
      <c r="I706" t="s">
        <v>51</v>
      </c>
      <c r="J706" t="s">
        <v>81</v>
      </c>
      <c r="K706">
        <v>3.4</v>
      </c>
      <c r="L706" t="s">
        <v>39</v>
      </c>
      <c r="M706" t="s">
        <v>242</v>
      </c>
      <c r="N706" t="s">
        <v>29</v>
      </c>
      <c r="O706" t="s">
        <v>29</v>
      </c>
      <c r="P706">
        <v>96</v>
      </c>
      <c r="Q706" t="s">
        <v>31</v>
      </c>
      <c r="R706" t="s">
        <v>159</v>
      </c>
      <c r="S706" t="s">
        <v>243</v>
      </c>
      <c r="T706" t="s">
        <v>29</v>
      </c>
      <c r="U706" t="s">
        <v>29</v>
      </c>
      <c r="V706" s="6" t="s">
        <v>160</v>
      </c>
      <c r="W706" t="s">
        <v>244</v>
      </c>
      <c r="X706" t="s">
        <v>37</v>
      </c>
      <c r="Y706" s="6" t="s">
        <v>81</v>
      </c>
    </row>
    <row r="707" spans="2:25" x14ac:dyDescent="0.3">
      <c r="B707" s="5" t="s">
        <v>65</v>
      </c>
      <c r="C707" s="5" t="str">
        <f>VLOOKUP(B707,[1]물질정보!B:C,2,0)</f>
        <v>141-32-2</v>
      </c>
      <c r="D707" t="str">
        <f>VLOOKUP(B707,[1]물질정보!B:D,3,0)</f>
        <v>butyl acrylate</v>
      </c>
      <c r="E707" t="str">
        <f>VLOOKUP(B707,[1]물질정보!B:E,4,0)</f>
        <v>C7H12O2</v>
      </c>
      <c r="F707" t="str">
        <f>VLOOKUP(B707,[1]물질정보!B:F,5,0)</f>
        <v>128.169 g/mol</v>
      </c>
      <c r="G707" s="5" t="str">
        <f>VLOOKUP(B707,[1]물질정보!B:G,6,0)</f>
        <v>CCCCOC(=O)C=C</v>
      </c>
      <c r="H707" t="s">
        <v>26</v>
      </c>
      <c r="I707" t="s">
        <v>51</v>
      </c>
      <c r="J707" t="s">
        <v>181</v>
      </c>
      <c r="K707">
        <v>0.89</v>
      </c>
      <c r="L707" t="s">
        <v>39</v>
      </c>
      <c r="M707" t="s">
        <v>242</v>
      </c>
      <c r="N707" t="s">
        <v>29</v>
      </c>
      <c r="O707" t="s">
        <v>29</v>
      </c>
      <c r="P707">
        <v>96</v>
      </c>
      <c r="Q707" t="s">
        <v>31</v>
      </c>
      <c r="R707" t="s">
        <v>159</v>
      </c>
      <c r="S707" t="s">
        <v>243</v>
      </c>
      <c r="T707" t="s">
        <v>29</v>
      </c>
      <c r="U707" t="s">
        <v>29</v>
      </c>
      <c r="V707" s="6" t="s">
        <v>160</v>
      </c>
      <c r="W707" t="s">
        <v>244</v>
      </c>
      <c r="X707" t="s">
        <v>37</v>
      </c>
      <c r="Y707" s="6" t="s">
        <v>181</v>
      </c>
    </row>
    <row r="708" spans="2:25" x14ac:dyDescent="0.3">
      <c r="B708" s="5" t="s">
        <v>65</v>
      </c>
      <c r="C708" s="5" t="str">
        <f>VLOOKUP(B708,[1]물질정보!B:C,2,0)</f>
        <v>141-32-2</v>
      </c>
      <c r="D708" t="str">
        <f>VLOOKUP(B708,[1]물질정보!B:D,3,0)</f>
        <v>butyl acrylate</v>
      </c>
      <c r="E708" t="str">
        <f>VLOOKUP(B708,[1]물질정보!B:E,4,0)</f>
        <v>C7H12O2</v>
      </c>
      <c r="F708" t="str">
        <f>VLOOKUP(B708,[1]물질정보!B:F,5,0)</f>
        <v>128.169 g/mol</v>
      </c>
      <c r="G708" s="5" t="str">
        <f>VLOOKUP(B708,[1]물질정보!B:G,6,0)</f>
        <v>CCCCOC(=O)C=C</v>
      </c>
      <c r="H708" t="s">
        <v>26</v>
      </c>
      <c r="I708" t="s">
        <v>51</v>
      </c>
      <c r="J708" t="s">
        <v>49</v>
      </c>
      <c r="K708">
        <v>1.1000000000000001</v>
      </c>
      <c r="L708" t="s">
        <v>39</v>
      </c>
      <c r="M708" t="s">
        <v>242</v>
      </c>
      <c r="N708" t="s">
        <v>29</v>
      </c>
      <c r="O708" t="s">
        <v>29</v>
      </c>
      <c r="P708">
        <v>96</v>
      </c>
      <c r="Q708" t="s">
        <v>31</v>
      </c>
      <c r="R708" t="s">
        <v>159</v>
      </c>
      <c r="S708" t="s">
        <v>243</v>
      </c>
      <c r="T708" t="s">
        <v>29</v>
      </c>
      <c r="U708" t="s">
        <v>29</v>
      </c>
      <c r="V708" s="6" t="s">
        <v>160</v>
      </c>
      <c r="W708" t="s">
        <v>244</v>
      </c>
      <c r="X708" t="s">
        <v>37</v>
      </c>
      <c r="Y708" s="6" t="s">
        <v>49</v>
      </c>
    </row>
    <row r="709" spans="2:25" x14ac:dyDescent="0.3">
      <c r="B709" s="5" t="s">
        <v>65</v>
      </c>
      <c r="C709" s="5" t="str">
        <f>VLOOKUP(B709,[1]물질정보!B:C,2,0)</f>
        <v>141-32-2</v>
      </c>
      <c r="D709" t="str">
        <f>VLOOKUP(B709,[1]물질정보!B:D,3,0)</f>
        <v>butyl acrylate</v>
      </c>
      <c r="E709" t="str">
        <f>VLOOKUP(B709,[1]물질정보!B:E,4,0)</f>
        <v>C7H12O2</v>
      </c>
      <c r="F709" t="str">
        <f>VLOOKUP(B709,[1]물질정보!B:F,5,0)</f>
        <v>128.169 g/mol</v>
      </c>
      <c r="G709" s="5" t="str">
        <f>VLOOKUP(B709,[1]물질정보!B:G,6,0)</f>
        <v>CCCCOC(=O)C=C</v>
      </c>
      <c r="H709" t="s">
        <v>26</v>
      </c>
      <c r="I709" t="s">
        <v>51</v>
      </c>
      <c r="J709" t="s">
        <v>241</v>
      </c>
      <c r="K709">
        <v>0.89</v>
      </c>
      <c r="L709" t="s">
        <v>39</v>
      </c>
      <c r="M709" t="s">
        <v>242</v>
      </c>
      <c r="N709" t="s">
        <v>29</v>
      </c>
      <c r="O709" t="s">
        <v>29</v>
      </c>
      <c r="P709">
        <v>96</v>
      </c>
      <c r="Q709" t="s">
        <v>31</v>
      </c>
      <c r="R709" t="s">
        <v>159</v>
      </c>
      <c r="S709" t="s">
        <v>243</v>
      </c>
      <c r="T709" t="s">
        <v>29</v>
      </c>
      <c r="U709" t="s">
        <v>29</v>
      </c>
      <c r="V709" s="6" t="s">
        <v>160</v>
      </c>
      <c r="W709" t="s">
        <v>244</v>
      </c>
      <c r="X709" t="s">
        <v>37</v>
      </c>
      <c r="Y709" s="6" t="s">
        <v>241</v>
      </c>
    </row>
    <row r="710" spans="2:25" x14ac:dyDescent="0.3">
      <c r="B710" s="5" t="s">
        <v>65</v>
      </c>
      <c r="C710" s="5" t="str">
        <f>VLOOKUP(B710,[1]물질정보!B:C,2,0)</f>
        <v>141-32-2</v>
      </c>
      <c r="D710" t="str">
        <f>VLOOKUP(B710,[1]물질정보!B:D,3,0)</f>
        <v>butyl acrylate</v>
      </c>
      <c r="E710" t="str">
        <f>VLOOKUP(B710,[1]물질정보!B:E,4,0)</f>
        <v>C7H12O2</v>
      </c>
      <c r="F710" t="str">
        <f>VLOOKUP(B710,[1]물질정보!B:F,5,0)</f>
        <v>128.169 g/mol</v>
      </c>
      <c r="G710" s="5" t="str">
        <f>VLOOKUP(B710,[1]물질정보!B:G,6,0)</f>
        <v>CCCCOC(=O)C=C</v>
      </c>
      <c r="H710" t="s">
        <v>26</v>
      </c>
      <c r="I710" t="s">
        <v>51</v>
      </c>
      <c r="J710" t="s">
        <v>241</v>
      </c>
      <c r="K710">
        <v>0.78</v>
      </c>
      <c r="L710" t="s">
        <v>39</v>
      </c>
      <c r="M710" t="s">
        <v>242</v>
      </c>
      <c r="N710" t="s">
        <v>29</v>
      </c>
      <c r="O710" t="s">
        <v>29</v>
      </c>
      <c r="P710">
        <v>96</v>
      </c>
      <c r="Q710" t="s">
        <v>31</v>
      </c>
      <c r="R710" t="s">
        <v>159</v>
      </c>
      <c r="S710" t="s">
        <v>243</v>
      </c>
      <c r="T710" t="s">
        <v>29</v>
      </c>
      <c r="U710" t="s">
        <v>29</v>
      </c>
      <c r="V710" s="6" t="s">
        <v>160</v>
      </c>
      <c r="W710" t="s">
        <v>244</v>
      </c>
      <c r="X710" t="s">
        <v>37</v>
      </c>
      <c r="Y710" s="6" t="s">
        <v>241</v>
      </c>
    </row>
    <row r="711" spans="2:25" x14ac:dyDescent="0.3">
      <c r="B711" s="5" t="s">
        <v>65</v>
      </c>
      <c r="C711" s="5" t="str">
        <f>VLOOKUP(B711,[1]물질정보!B:C,2,0)</f>
        <v>141-32-2</v>
      </c>
      <c r="D711" t="str">
        <f>VLOOKUP(B711,[1]물질정보!B:D,3,0)</f>
        <v>butyl acrylate</v>
      </c>
      <c r="E711" t="str">
        <f>VLOOKUP(B711,[1]물질정보!B:E,4,0)</f>
        <v>C7H12O2</v>
      </c>
      <c r="F711" t="str">
        <f>VLOOKUP(B711,[1]물질정보!B:F,5,0)</f>
        <v>128.169 g/mol</v>
      </c>
      <c r="G711" s="5" t="str">
        <f>VLOOKUP(B711,[1]물질정보!B:G,6,0)</f>
        <v>CCCCOC(=O)C=C</v>
      </c>
      <c r="H711" t="s">
        <v>26</v>
      </c>
      <c r="I711" t="s">
        <v>51</v>
      </c>
      <c r="J711" t="s">
        <v>49</v>
      </c>
      <c r="K711">
        <v>4.5999999999999996</v>
      </c>
      <c r="L711" t="s">
        <v>39</v>
      </c>
      <c r="M711" t="s">
        <v>242</v>
      </c>
      <c r="N711" t="s">
        <v>29</v>
      </c>
      <c r="O711" t="s">
        <v>29</v>
      </c>
      <c r="P711">
        <v>96</v>
      </c>
      <c r="Q711" t="s">
        <v>31</v>
      </c>
      <c r="R711" t="s">
        <v>159</v>
      </c>
      <c r="S711" t="s">
        <v>243</v>
      </c>
      <c r="T711" t="s">
        <v>29</v>
      </c>
      <c r="U711" t="s">
        <v>29</v>
      </c>
      <c r="V711" s="6" t="s">
        <v>160</v>
      </c>
      <c r="W711" t="s">
        <v>244</v>
      </c>
      <c r="X711" t="s">
        <v>37</v>
      </c>
      <c r="Y711" s="6" t="s">
        <v>49</v>
      </c>
    </row>
    <row r="712" spans="2:25" x14ac:dyDescent="0.3">
      <c r="B712" s="5" t="s">
        <v>65</v>
      </c>
      <c r="C712" s="5" t="str">
        <f>VLOOKUP(B712,[1]물질정보!B:C,2,0)</f>
        <v>141-32-2</v>
      </c>
      <c r="D712" t="str">
        <f>VLOOKUP(B712,[1]물질정보!B:D,3,0)</f>
        <v>butyl acrylate</v>
      </c>
      <c r="E712" t="str">
        <f>VLOOKUP(B712,[1]물질정보!B:E,4,0)</f>
        <v>C7H12O2</v>
      </c>
      <c r="F712" t="str">
        <f>VLOOKUP(B712,[1]물질정보!B:F,5,0)</f>
        <v>128.169 g/mol</v>
      </c>
      <c r="G712" s="5" t="str">
        <f>VLOOKUP(B712,[1]물질정보!B:G,6,0)</f>
        <v>CCCCOC(=O)C=C</v>
      </c>
      <c r="H712" t="s">
        <v>26</v>
      </c>
      <c r="I712" t="s">
        <v>51</v>
      </c>
      <c r="J712" t="s">
        <v>49</v>
      </c>
      <c r="K712">
        <v>2</v>
      </c>
      <c r="L712" t="s">
        <v>39</v>
      </c>
      <c r="M712" t="s">
        <v>256</v>
      </c>
      <c r="N712" t="s">
        <v>29</v>
      </c>
      <c r="O712" t="s">
        <v>29</v>
      </c>
      <c r="P712">
        <v>96</v>
      </c>
      <c r="Q712" t="s">
        <v>31</v>
      </c>
      <c r="R712" t="s">
        <v>159</v>
      </c>
      <c r="S712" t="s">
        <v>255</v>
      </c>
      <c r="T712" t="s">
        <v>29</v>
      </c>
      <c r="U712" t="s">
        <v>29</v>
      </c>
      <c r="V712" s="6" t="s">
        <v>160</v>
      </c>
      <c r="W712" t="s">
        <v>256</v>
      </c>
      <c r="X712" t="s">
        <v>37</v>
      </c>
      <c r="Y712" s="6" t="s">
        <v>49</v>
      </c>
    </row>
    <row r="713" spans="2:25" x14ac:dyDescent="0.3">
      <c r="B713" s="5" t="s">
        <v>65</v>
      </c>
      <c r="C713" s="5" t="str">
        <f>VLOOKUP(B713,[1]물질정보!B:C,2,0)</f>
        <v>141-32-2</v>
      </c>
      <c r="D713" t="str">
        <f>VLOOKUP(B713,[1]물질정보!B:D,3,0)</f>
        <v>butyl acrylate</v>
      </c>
      <c r="E713" t="str">
        <f>VLOOKUP(B713,[1]물질정보!B:E,4,0)</f>
        <v>C7H12O2</v>
      </c>
      <c r="F713" t="str">
        <f>VLOOKUP(B713,[1]물질정보!B:F,5,0)</f>
        <v>128.169 g/mol</v>
      </c>
      <c r="G713" s="5" t="str">
        <f>VLOOKUP(B713,[1]물질정보!B:G,6,0)</f>
        <v>CCCCOC(=O)C=C</v>
      </c>
      <c r="H713" t="s">
        <v>26</v>
      </c>
      <c r="I713" t="s">
        <v>51</v>
      </c>
      <c r="J713" t="s">
        <v>241</v>
      </c>
      <c r="K713">
        <v>0.62</v>
      </c>
      <c r="L713" t="s">
        <v>39</v>
      </c>
      <c r="M713" t="s">
        <v>256</v>
      </c>
      <c r="N713" t="s">
        <v>29</v>
      </c>
      <c r="O713" t="s">
        <v>29</v>
      </c>
      <c r="P713">
        <v>96</v>
      </c>
      <c r="Q713" t="s">
        <v>31</v>
      </c>
      <c r="R713" t="s">
        <v>159</v>
      </c>
      <c r="S713" t="s">
        <v>255</v>
      </c>
      <c r="T713" t="s">
        <v>29</v>
      </c>
      <c r="U713" t="s">
        <v>29</v>
      </c>
      <c r="V713" s="6" t="s">
        <v>160</v>
      </c>
      <c r="W713" t="s">
        <v>256</v>
      </c>
      <c r="X713" t="s">
        <v>37</v>
      </c>
      <c r="Y713" s="6" t="s">
        <v>241</v>
      </c>
    </row>
    <row r="714" spans="2:25" x14ac:dyDescent="0.3">
      <c r="B714" s="5" t="s">
        <v>65</v>
      </c>
      <c r="C714" s="5" t="str">
        <f>VLOOKUP(B714,[1]물질정보!B:C,2,0)</f>
        <v>141-32-2</v>
      </c>
      <c r="D714" t="str">
        <f>VLOOKUP(B714,[1]물질정보!B:D,3,0)</f>
        <v>butyl acrylate</v>
      </c>
      <c r="E714" t="str">
        <f>VLOOKUP(B714,[1]물질정보!B:E,4,0)</f>
        <v>C7H12O2</v>
      </c>
      <c r="F714" t="str">
        <f>VLOOKUP(B714,[1]물질정보!B:F,5,0)</f>
        <v>128.169 g/mol</v>
      </c>
      <c r="G714" s="5" t="str">
        <f>VLOOKUP(B714,[1]물질정보!B:G,6,0)</f>
        <v>CCCCOC(=O)C=C</v>
      </c>
      <c r="H714" t="s">
        <v>26</v>
      </c>
      <c r="I714" t="s">
        <v>51</v>
      </c>
      <c r="J714" t="s">
        <v>49</v>
      </c>
      <c r="K714">
        <v>2.37</v>
      </c>
      <c r="L714" t="s">
        <v>39</v>
      </c>
      <c r="M714" t="s">
        <v>29</v>
      </c>
      <c r="N714" t="s">
        <v>29</v>
      </c>
      <c r="O714" t="s">
        <v>29</v>
      </c>
      <c r="P714">
        <v>96</v>
      </c>
      <c r="Q714" t="s">
        <v>31</v>
      </c>
      <c r="R714" t="s">
        <v>159</v>
      </c>
      <c r="S714" t="s">
        <v>266</v>
      </c>
      <c r="T714" t="s">
        <v>29</v>
      </c>
      <c r="U714" t="s">
        <v>29</v>
      </c>
      <c r="V714" s="6" t="s">
        <v>160</v>
      </c>
      <c r="W714" t="s">
        <v>29</v>
      </c>
      <c r="X714" t="s">
        <v>37</v>
      </c>
      <c r="Y714" s="6" t="s">
        <v>49</v>
      </c>
    </row>
    <row r="715" spans="2:25" x14ac:dyDescent="0.3">
      <c r="B715" s="5" t="s">
        <v>65</v>
      </c>
      <c r="C715" s="5" t="str">
        <f>VLOOKUP(B715,[1]물질정보!B:C,2,0)</f>
        <v>141-32-2</v>
      </c>
      <c r="D715" t="str">
        <f>VLOOKUP(B715,[1]물질정보!B:D,3,0)</f>
        <v>butyl acrylate</v>
      </c>
      <c r="E715" t="str">
        <f>VLOOKUP(B715,[1]물질정보!B:E,4,0)</f>
        <v>C7H12O2</v>
      </c>
      <c r="F715" t="str">
        <f>VLOOKUP(B715,[1]물질정보!B:F,5,0)</f>
        <v>128.169 g/mol</v>
      </c>
      <c r="G715" s="5" t="str">
        <f>VLOOKUP(B715,[1]물질정보!B:G,6,0)</f>
        <v>CCCCOC(=O)C=C</v>
      </c>
      <c r="H715" t="s">
        <v>26</v>
      </c>
      <c r="I715" t="s">
        <v>51</v>
      </c>
      <c r="J715" t="s">
        <v>49</v>
      </c>
      <c r="K715">
        <v>56.2</v>
      </c>
      <c r="L715" t="s">
        <v>39</v>
      </c>
      <c r="M715" t="s">
        <v>29</v>
      </c>
      <c r="N715" t="s">
        <v>29</v>
      </c>
      <c r="O715" t="s">
        <v>29</v>
      </c>
      <c r="P715">
        <v>96</v>
      </c>
      <c r="Q715" t="s">
        <v>31</v>
      </c>
      <c r="R715" t="s">
        <v>159</v>
      </c>
      <c r="S715" t="s">
        <v>266</v>
      </c>
      <c r="T715" t="s">
        <v>29</v>
      </c>
      <c r="U715" t="s">
        <v>29</v>
      </c>
      <c r="V715" s="6" t="s">
        <v>160</v>
      </c>
      <c r="W715" t="s">
        <v>29</v>
      </c>
      <c r="X715" t="s">
        <v>37</v>
      </c>
      <c r="Y715" s="6" t="s">
        <v>49</v>
      </c>
    </row>
    <row r="716" spans="2:25" x14ac:dyDescent="0.3">
      <c r="B716" s="5" t="s">
        <v>65</v>
      </c>
      <c r="C716" s="5" t="str">
        <f>VLOOKUP(B716,[1]물질정보!B:C,2,0)</f>
        <v>141-32-2</v>
      </c>
      <c r="D716" t="str">
        <f>VLOOKUP(B716,[1]물질정보!B:D,3,0)</f>
        <v>butyl acrylate</v>
      </c>
      <c r="E716" t="str">
        <f>VLOOKUP(B716,[1]물질정보!B:E,4,0)</f>
        <v>C7H12O2</v>
      </c>
      <c r="F716" t="str">
        <f>VLOOKUP(B716,[1]물질정보!B:F,5,0)</f>
        <v>128.169 g/mol</v>
      </c>
      <c r="G716" s="5" t="str">
        <f>VLOOKUP(B716,[1]물질정보!B:G,6,0)</f>
        <v>CCCCOC(=O)C=C</v>
      </c>
      <c r="H716" t="s">
        <v>26</v>
      </c>
      <c r="I716" t="s">
        <v>51</v>
      </c>
      <c r="J716" t="s">
        <v>181</v>
      </c>
      <c r="K716">
        <v>46.4</v>
      </c>
      <c r="L716" t="s">
        <v>39</v>
      </c>
      <c r="M716" t="s">
        <v>29</v>
      </c>
      <c r="N716" t="s">
        <v>29</v>
      </c>
      <c r="O716" t="s">
        <v>29</v>
      </c>
      <c r="P716">
        <v>96</v>
      </c>
      <c r="Q716" t="s">
        <v>31</v>
      </c>
      <c r="R716" t="s">
        <v>159</v>
      </c>
      <c r="S716" t="s">
        <v>266</v>
      </c>
      <c r="T716" t="s">
        <v>29</v>
      </c>
      <c r="U716" t="s">
        <v>29</v>
      </c>
      <c r="V716" s="6" t="s">
        <v>160</v>
      </c>
      <c r="W716" t="s">
        <v>29</v>
      </c>
      <c r="X716" t="s">
        <v>37</v>
      </c>
      <c r="Y716" s="6" t="s">
        <v>181</v>
      </c>
    </row>
    <row r="717" spans="2:25" x14ac:dyDescent="0.3">
      <c r="B717" s="5" t="s">
        <v>65</v>
      </c>
      <c r="C717" s="5" t="str">
        <f>VLOOKUP(B717,[1]물질정보!B:C,2,0)</f>
        <v>141-32-2</v>
      </c>
      <c r="D717" t="str">
        <f>VLOOKUP(B717,[1]물질정보!B:D,3,0)</f>
        <v>butyl acrylate</v>
      </c>
      <c r="E717" t="str">
        <f>VLOOKUP(B717,[1]물질정보!B:E,4,0)</f>
        <v>C7H12O2</v>
      </c>
      <c r="F717" t="str">
        <f>VLOOKUP(B717,[1]물질정보!B:F,5,0)</f>
        <v>128.169 g/mol</v>
      </c>
      <c r="G717" s="5" t="str">
        <f>VLOOKUP(B717,[1]물질정보!B:G,6,0)</f>
        <v>CCCCOC(=O)C=C</v>
      </c>
      <c r="H717" t="s">
        <v>26</v>
      </c>
      <c r="I717" t="s">
        <v>51</v>
      </c>
      <c r="J717" t="s">
        <v>248</v>
      </c>
      <c r="K717">
        <v>68.099999999999994</v>
      </c>
      <c r="L717" t="s">
        <v>39</v>
      </c>
      <c r="M717" t="s">
        <v>29</v>
      </c>
      <c r="N717" t="s">
        <v>29</v>
      </c>
      <c r="O717" t="s">
        <v>29</v>
      </c>
      <c r="P717">
        <v>96</v>
      </c>
      <c r="Q717" t="s">
        <v>31</v>
      </c>
      <c r="R717" t="s">
        <v>159</v>
      </c>
      <c r="S717" t="s">
        <v>266</v>
      </c>
      <c r="T717" t="s">
        <v>29</v>
      </c>
      <c r="U717" t="s">
        <v>29</v>
      </c>
      <c r="V717" s="6" t="s">
        <v>160</v>
      </c>
      <c r="W717" t="s">
        <v>29</v>
      </c>
      <c r="X717" t="s">
        <v>37</v>
      </c>
      <c r="Y717" s="6" t="s">
        <v>248</v>
      </c>
    </row>
    <row r="718" spans="2:25" x14ac:dyDescent="0.3">
      <c r="B718" s="5" t="s">
        <v>65</v>
      </c>
      <c r="C718" s="5" t="str">
        <f>VLOOKUP(B718,[1]물질정보!B:C,2,0)</f>
        <v>141-32-2</v>
      </c>
      <c r="D718" t="str">
        <f>VLOOKUP(B718,[1]물질정보!B:D,3,0)</f>
        <v>butyl acrylate</v>
      </c>
      <c r="E718" t="str">
        <f>VLOOKUP(B718,[1]물질정보!B:E,4,0)</f>
        <v>C7H12O2</v>
      </c>
      <c r="F718" t="str">
        <f>VLOOKUP(B718,[1]물질정보!B:F,5,0)</f>
        <v>128.169 g/mol</v>
      </c>
      <c r="G718" s="5" t="str">
        <f>VLOOKUP(B718,[1]물질정보!B:G,6,0)</f>
        <v>CCCCOC(=O)C=C</v>
      </c>
      <c r="H718" t="s">
        <v>26</v>
      </c>
      <c r="I718" t="s">
        <v>51</v>
      </c>
      <c r="J718" t="s">
        <v>49</v>
      </c>
      <c r="K718">
        <v>2.1</v>
      </c>
      <c r="L718" t="s">
        <v>39</v>
      </c>
      <c r="M718" t="s">
        <v>264</v>
      </c>
      <c r="N718" t="s">
        <v>29</v>
      </c>
      <c r="O718" t="s">
        <v>29</v>
      </c>
      <c r="P718">
        <v>96</v>
      </c>
      <c r="Q718" t="s">
        <v>31</v>
      </c>
      <c r="R718" t="s">
        <v>159</v>
      </c>
      <c r="S718" t="s">
        <v>29</v>
      </c>
      <c r="T718" t="s">
        <v>29</v>
      </c>
      <c r="U718" t="s">
        <v>29</v>
      </c>
      <c r="V718" s="6" t="s">
        <v>163</v>
      </c>
      <c r="W718" t="s">
        <v>256</v>
      </c>
      <c r="X718" t="s">
        <v>37</v>
      </c>
      <c r="Y718" s="6" t="s">
        <v>49</v>
      </c>
    </row>
    <row r="719" spans="2:25" x14ac:dyDescent="0.3">
      <c r="B719" s="5" t="s">
        <v>65</v>
      </c>
      <c r="C719" s="5" t="str">
        <f>VLOOKUP(B719,[1]물질정보!B:C,2,0)</f>
        <v>141-32-2</v>
      </c>
      <c r="D719" t="str">
        <f>VLOOKUP(B719,[1]물질정보!B:D,3,0)</f>
        <v>butyl acrylate</v>
      </c>
      <c r="E719" t="str">
        <f>VLOOKUP(B719,[1]물질정보!B:E,4,0)</f>
        <v>C7H12O2</v>
      </c>
      <c r="F719" t="str">
        <f>VLOOKUP(B719,[1]물질정보!B:F,5,0)</f>
        <v>128.169 g/mol</v>
      </c>
      <c r="G719" s="5" t="str">
        <f>VLOOKUP(B719,[1]물질정보!B:G,6,0)</f>
        <v>CCCCOC(=O)C=C</v>
      </c>
      <c r="H719" t="s">
        <v>26</v>
      </c>
      <c r="I719" t="s">
        <v>51</v>
      </c>
      <c r="J719" t="s">
        <v>49</v>
      </c>
      <c r="K719">
        <v>5.2</v>
      </c>
      <c r="L719" t="s">
        <v>39</v>
      </c>
      <c r="M719" t="s">
        <v>267</v>
      </c>
      <c r="N719" t="s">
        <v>29</v>
      </c>
      <c r="O719" t="s">
        <v>29</v>
      </c>
      <c r="P719">
        <v>96</v>
      </c>
      <c r="Q719" t="s">
        <v>31</v>
      </c>
      <c r="R719" t="s">
        <v>159</v>
      </c>
      <c r="S719" t="s">
        <v>29</v>
      </c>
      <c r="T719" t="s">
        <v>29</v>
      </c>
      <c r="U719" t="s">
        <v>29</v>
      </c>
      <c r="V719" s="6" t="s">
        <v>163</v>
      </c>
      <c r="W719" t="s">
        <v>244</v>
      </c>
      <c r="X719" t="s">
        <v>37</v>
      </c>
      <c r="Y719" s="6" t="s">
        <v>49</v>
      </c>
    </row>
    <row r="720" spans="2:25" x14ac:dyDescent="0.3">
      <c r="B720" s="5" t="s">
        <v>65</v>
      </c>
      <c r="C720" s="5" t="str">
        <f>VLOOKUP(B720,[1]물질정보!B:C,2,0)</f>
        <v>141-32-2</v>
      </c>
      <c r="D720" t="str">
        <f>VLOOKUP(B720,[1]물질정보!B:D,3,0)</f>
        <v>butyl acrylate</v>
      </c>
      <c r="E720" t="str">
        <f>VLOOKUP(B720,[1]물질정보!B:E,4,0)</f>
        <v>C7H12O2</v>
      </c>
      <c r="F720" t="str">
        <f>VLOOKUP(B720,[1]물질정보!B:F,5,0)</f>
        <v>128.169 g/mol</v>
      </c>
      <c r="G720" s="5" t="str">
        <f>VLOOKUP(B720,[1]물질정보!B:G,6,0)</f>
        <v>CCCCOC(=O)C=C</v>
      </c>
      <c r="H720" t="s">
        <v>26</v>
      </c>
      <c r="I720" t="s">
        <v>51</v>
      </c>
      <c r="J720" t="s">
        <v>49</v>
      </c>
      <c r="K720">
        <v>2.09</v>
      </c>
      <c r="L720" t="s">
        <v>39</v>
      </c>
      <c r="M720" t="s">
        <v>252</v>
      </c>
      <c r="N720" t="s">
        <v>29</v>
      </c>
      <c r="O720" t="s">
        <v>29</v>
      </c>
      <c r="P720">
        <v>96</v>
      </c>
      <c r="Q720" t="s">
        <v>31</v>
      </c>
      <c r="R720" t="s">
        <v>159</v>
      </c>
      <c r="S720" t="s">
        <v>29</v>
      </c>
      <c r="T720" t="s">
        <v>29</v>
      </c>
      <c r="U720" t="s">
        <v>29</v>
      </c>
      <c r="V720" s="6" t="s">
        <v>163</v>
      </c>
      <c r="W720" t="s">
        <v>53</v>
      </c>
      <c r="X720" t="s">
        <v>37</v>
      </c>
      <c r="Y720" s="6" t="s">
        <v>49</v>
      </c>
    </row>
    <row r="721" spans="2:25" x14ac:dyDescent="0.3">
      <c r="B721" s="5" t="s">
        <v>65</v>
      </c>
      <c r="C721" s="5" t="str">
        <f>VLOOKUP(B721,[1]물질정보!B:C,2,0)</f>
        <v>141-32-2</v>
      </c>
      <c r="D721" t="str">
        <f>VLOOKUP(B721,[1]물질정보!B:D,3,0)</f>
        <v>butyl acrylate</v>
      </c>
      <c r="E721" t="str">
        <f>VLOOKUP(B721,[1]물질정보!B:E,4,0)</f>
        <v>C7H12O2</v>
      </c>
      <c r="F721" t="str">
        <f>VLOOKUP(B721,[1]물질정보!B:F,5,0)</f>
        <v>128.169 g/mol</v>
      </c>
      <c r="G721" s="5" t="str">
        <f>VLOOKUP(B721,[1]물질정보!B:G,6,0)</f>
        <v>CCCCOC(=O)C=C</v>
      </c>
      <c r="H721" t="s">
        <v>26</v>
      </c>
      <c r="I721" t="s">
        <v>51</v>
      </c>
      <c r="J721" t="s">
        <v>49</v>
      </c>
      <c r="K721">
        <v>100</v>
      </c>
      <c r="L721" t="s">
        <v>39</v>
      </c>
      <c r="M721" t="s">
        <v>268</v>
      </c>
      <c r="N721" t="s">
        <v>29</v>
      </c>
      <c r="O721" t="s">
        <v>29</v>
      </c>
      <c r="P721">
        <v>1</v>
      </c>
      <c r="Q721" t="s">
        <v>31</v>
      </c>
      <c r="R721" t="s">
        <v>159</v>
      </c>
      <c r="S721" t="s">
        <v>29</v>
      </c>
      <c r="T721" t="s">
        <v>29</v>
      </c>
      <c r="U721" t="s">
        <v>29</v>
      </c>
      <c r="V721" s="6" t="s">
        <v>163</v>
      </c>
      <c r="W721" t="s">
        <v>260</v>
      </c>
      <c r="X721" t="s">
        <v>184</v>
      </c>
      <c r="Y721" s="6" t="s">
        <v>49</v>
      </c>
    </row>
    <row r="722" spans="2:25" x14ac:dyDescent="0.3">
      <c r="B722" s="5" t="s">
        <v>65</v>
      </c>
      <c r="C722" s="5" t="str">
        <f>VLOOKUP(B722,[1]물질정보!B:C,2,0)</f>
        <v>141-32-2</v>
      </c>
      <c r="D722" t="str">
        <f>VLOOKUP(B722,[1]물질정보!B:D,3,0)</f>
        <v>butyl acrylate</v>
      </c>
      <c r="E722" t="str">
        <f>VLOOKUP(B722,[1]물질정보!B:E,4,0)</f>
        <v>C7H12O2</v>
      </c>
      <c r="F722" t="str">
        <f>VLOOKUP(B722,[1]물질정보!B:F,5,0)</f>
        <v>128.169 g/mol</v>
      </c>
      <c r="G722" s="5" t="str">
        <f>VLOOKUP(B722,[1]물질정보!B:G,6,0)</f>
        <v>CCCCOC(=O)C=C</v>
      </c>
      <c r="H722" t="s">
        <v>26</v>
      </c>
      <c r="I722" t="s">
        <v>51</v>
      </c>
      <c r="J722" t="s">
        <v>49</v>
      </c>
      <c r="K722">
        <v>100</v>
      </c>
      <c r="L722" t="s">
        <v>39</v>
      </c>
      <c r="M722" t="s">
        <v>268</v>
      </c>
      <c r="N722" t="s">
        <v>29</v>
      </c>
      <c r="O722" t="s">
        <v>29</v>
      </c>
      <c r="P722">
        <v>4</v>
      </c>
      <c r="Q722" t="s">
        <v>31</v>
      </c>
      <c r="R722" t="s">
        <v>159</v>
      </c>
      <c r="S722" t="s">
        <v>29</v>
      </c>
      <c r="T722" t="s">
        <v>29</v>
      </c>
      <c r="U722" t="s">
        <v>29</v>
      </c>
      <c r="V722" s="6" t="s">
        <v>163</v>
      </c>
      <c r="W722" t="s">
        <v>260</v>
      </c>
      <c r="X722" t="s">
        <v>179</v>
      </c>
      <c r="Y722" s="6" t="s">
        <v>49</v>
      </c>
    </row>
    <row r="723" spans="2:25" x14ac:dyDescent="0.3">
      <c r="B723" s="5" t="s">
        <v>65</v>
      </c>
      <c r="C723" s="5" t="str">
        <f>VLOOKUP(B723,[1]물질정보!B:C,2,0)</f>
        <v>141-32-2</v>
      </c>
      <c r="D723" t="str">
        <f>VLOOKUP(B723,[1]물질정보!B:D,3,0)</f>
        <v>butyl acrylate</v>
      </c>
      <c r="E723" t="str">
        <f>VLOOKUP(B723,[1]물질정보!B:E,4,0)</f>
        <v>C7H12O2</v>
      </c>
      <c r="F723" t="str">
        <f>VLOOKUP(B723,[1]물질정보!B:F,5,0)</f>
        <v>128.169 g/mol</v>
      </c>
      <c r="G723" s="5" t="str">
        <f>VLOOKUP(B723,[1]물질정보!B:G,6,0)</f>
        <v>CCCCOC(=O)C=C</v>
      </c>
      <c r="H723" t="s">
        <v>26</v>
      </c>
      <c r="I723" t="s">
        <v>51</v>
      </c>
      <c r="J723" t="s">
        <v>49</v>
      </c>
      <c r="K723" t="s">
        <v>269</v>
      </c>
      <c r="L723" t="s">
        <v>39</v>
      </c>
      <c r="M723" t="s">
        <v>268</v>
      </c>
      <c r="N723" t="s">
        <v>29</v>
      </c>
      <c r="O723" t="s">
        <v>29</v>
      </c>
      <c r="P723">
        <v>24</v>
      </c>
      <c r="Q723" t="s">
        <v>31</v>
      </c>
      <c r="R723" t="s">
        <v>159</v>
      </c>
      <c r="S723" t="s">
        <v>29</v>
      </c>
      <c r="T723" t="s">
        <v>29</v>
      </c>
      <c r="U723" t="s">
        <v>29</v>
      </c>
      <c r="V723" s="6" t="s">
        <v>163</v>
      </c>
      <c r="W723" t="s">
        <v>260</v>
      </c>
      <c r="X723" t="s">
        <v>251</v>
      </c>
      <c r="Y723" s="6" t="s">
        <v>49</v>
      </c>
    </row>
    <row r="724" spans="2:25" x14ac:dyDescent="0.3">
      <c r="B724" s="5" t="s">
        <v>65</v>
      </c>
      <c r="C724" s="5" t="str">
        <f>VLOOKUP(B724,[1]물질정보!B:C,2,0)</f>
        <v>141-32-2</v>
      </c>
      <c r="D724" t="str">
        <f>VLOOKUP(B724,[1]물질정보!B:D,3,0)</f>
        <v>butyl acrylate</v>
      </c>
      <c r="E724" t="str">
        <f>VLOOKUP(B724,[1]물질정보!B:E,4,0)</f>
        <v>C7H12O2</v>
      </c>
      <c r="F724" t="str">
        <f>VLOOKUP(B724,[1]물질정보!B:F,5,0)</f>
        <v>128.169 g/mol</v>
      </c>
      <c r="G724" s="5" t="str">
        <f>VLOOKUP(B724,[1]물질정보!B:G,6,0)</f>
        <v>CCCCOC(=O)C=C</v>
      </c>
      <c r="H724" t="s">
        <v>26</v>
      </c>
      <c r="I724" t="s">
        <v>51</v>
      </c>
      <c r="J724" t="s">
        <v>49</v>
      </c>
      <c r="K724">
        <v>22</v>
      </c>
      <c r="L724" t="s">
        <v>39</v>
      </c>
      <c r="M724" t="s">
        <v>270</v>
      </c>
      <c r="N724" t="s">
        <v>29</v>
      </c>
      <c r="O724" t="s">
        <v>29</v>
      </c>
      <c r="P724">
        <v>96</v>
      </c>
      <c r="Q724" t="s">
        <v>31</v>
      </c>
      <c r="R724" t="s">
        <v>159</v>
      </c>
      <c r="S724" t="s">
        <v>29</v>
      </c>
      <c r="T724" t="s">
        <v>29</v>
      </c>
      <c r="U724" t="s">
        <v>29</v>
      </c>
      <c r="V724" s="6" t="s">
        <v>163</v>
      </c>
      <c r="W724" t="s">
        <v>244</v>
      </c>
      <c r="X724" t="s">
        <v>37</v>
      </c>
      <c r="Y724" s="6" t="s">
        <v>49</v>
      </c>
    </row>
    <row r="725" spans="2:25" x14ac:dyDescent="0.3">
      <c r="B725" s="5" t="s">
        <v>65</v>
      </c>
      <c r="C725" s="5" t="str">
        <f>VLOOKUP(B725,[1]물질정보!B:C,2,0)</f>
        <v>141-32-2</v>
      </c>
      <c r="D725" t="str">
        <f>VLOOKUP(B725,[1]물질정보!B:D,3,0)</f>
        <v>butyl acrylate</v>
      </c>
      <c r="E725" t="str">
        <f>VLOOKUP(B725,[1]물질정보!B:E,4,0)</f>
        <v>C7H12O2</v>
      </c>
      <c r="F725" t="str">
        <f>VLOOKUP(B725,[1]물질정보!B:F,5,0)</f>
        <v>128.169 g/mol</v>
      </c>
      <c r="G725" s="5" t="str">
        <f>VLOOKUP(B725,[1]물질정보!B:G,6,0)</f>
        <v>CCCCOC(=O)C=C</v>
      </c>
      <c r="H725" t="s">
        <v>26</v>
      </c>
      <c r="I725" t="s">
        <v>51</v>
      </c>
      <c r="J725" t="s">
        <v>49</v>
      </c>
      <c r="K725">
        <v>22</v>
      </c>
      <c r="L725" t="s">
        <v>39</v>
      </c>
      <c r="M725" t="s">
        <v>268</v>
      </c>
      <c r="N725" t="s">
        <v>29</v>
      </c>
      <c r="O725" t="s">
        <v>29</v>
      </c>
      <c r="P725">
        <v>48</v>
      </c>
      <c r="Q725" t="s">
        <v>31</v>
      </c>
      <c r="R725" t="s">
        <v>159</v>
      </c>
      <c r="S725" t="s">
        <v>29</v>
      </c>
      <c r="T725" t="s">
        <v>29</v>
      </c>
      <c r="U725" t="s">
        <v>29</v>
      </c>
      <c r="V725" s="6" t="s">
        <v>163</v>
      </c>
      <c r="W725" t="s">
        <v>260</v>
      </c>
      <c r="X725" t="s">
        <v>48</v>
      </c>
      <c r="Y725" s="6" t="s">
        <v>49</v>
      </c>
    </row>
    <row r="726" spans="2:25" x14ac:dyDescent="0.3">
      <c r="B726" s="5" t="s">
        <v>65</v>
      </c>
      <c r="C726" s="5" t="str">
        <f>VLOOKUP(B726,[1]물질정보!B:C,2,0)</f>
        <v>141-32-2</v>
      </c>
      <c r="D726" t="str">
        <f>VLOOKUP(B726,[1]물질정보!B:D,3,0)</f>
        <v>butyl acrylate</v>
      </c>
      <c r="E726" t="str">
        <f>VLOOKUP(B726,[1]물질정보!B:E,4,0)</f>
        <v>C7H12O2</v>
      </c>
      <c r="F726" t="str">
        <f>VLOOKUP(B726,[1]물질정보!B:F,5,0)</f>
        <v>128.169 g/mol</v>
      </c>
      <c r="G726" s="5" t="str">
        <f>VLOOKUP(B726,[1]물질정보!B:G,6,0)</f>
        <v>CCCCOC(=O)C=C</v>
      </c>
      <c r="H726" t="s">
        <v>26</v>
      </c>
      <c r="I726" t="s">
        <v>51</v>
      </c>
      <c r="J726" t="s">
        <v>29</v>
      </c>
      <c r="K726">
        <v>22</v>
      </c>
      <c r="L726" t="s">
        <v>39</v>
      </c>
      <c r="M726" t="s">
        <v>268</v>
      </c>
      <c r="N726" t="s">
        <v>29</v>
      </c>
      <c r="O726" t="s">
        <v>29</v>
      </c>
      <c r="P726">
        <v>72</v>
      </c>
      <c r="Q726" t="s">
        <v>31</v>
      </c>
      <c r="R726" t="s">
        <v>159</v>
      </c>
      <c r="S726" t="s">
        <v>29</v>
      </c>
      <c r="T726" t="s">
        <v>29</v>
      </c>
      <c r="U726" t="s">
        <v>29</v>
      </c>
      <c r="V726" s="6" t="s">
        <v>163</v>
      </c>
      <c r="W726" t="s">
        <v>260</v>
      </c>
      <c r="X726" t="s">
        <v>44</v>
      </c>
    </row>
    <row r="727" spans="2:25" x14ac:dyDescent="0.3">
      <c r="B727" s="5" t="s">
        <v>65</v>
      </c>
      <c r="C727" s="5" t="str">
        <f>VLOOKUP(B727,[1]물질정보!B:C,2,0)</f>
        <v>141-32-2</v>
      </c>
      <c r="D727" t="str">
        <f>VLOOKUP(B727,[1]물질정보!B:D,3,0)</f>
        <v>butyl acrylate</v>
      </c>
      <c r="E727" t="str">
        <f>VLOOKUP(B727,[1]물질정보!B:E,4,0)</f>
        <v>C7H12O2</v>
      </c>
      <c r="F727" t="str">
        <f>VLOOKUP(B727,[1]물질정보!B:F,5,0)</f>
        <v>128.169 g/mol</v>
      </c>
      <c r="G727" s="5" t="str">
        <f>VLOOKUP(B727,[1]물질정보!B:G,6,0)</f>
        <v>CCCCOC(=O)C=C</v>
      </c>
      <c r="H727" t="s">
        <v>26</v>
      </c>
      <c r="I727" t="s">
        <v>51</v>
      </c>
      <c r="J727" t="s">
        <v>49</v>
      </c>
      <c r="K727">
        <v>22</v>
      </c>
      <c r="L727" t="s">
        <v>39</v>
      </c>
      <c r="M727" t="s">
        <v>268</v>
      </c>
      <c r="N727" t="s">
        <v>29</v>
      </c>
      <c r="O727" t="s">
        <v>29</v>
      </c>
      <c r="P727">
        <v>96</v>
      </c>
      <c r="Q727" t="s">
        <v>31</v>
      </c>
      <c r="R727" t="s">
        <v>159</v>
      </c>
      <c r="S727" t="s">
        <v>29</v>
      </c>
      <c r="T727" t="s">
        <v>29</v>
      </c>
      <c r="U727" t="s">
        <v>29</v>
      </c>
      <c r="V727" s="6" t="s">
        <v>163</v>
      </c>
      <c r="W727" t="s">
        <v>260</v>
      </c>
      <c r="X727" t="s">
        <v>37</v>
      </c>
      <c r="Y727" s="6" t="s">
        <v>49</v>
      </c>
    </row>
    <row r="728" spans="2:25" x14ac:dyDescent="0.3">
      <c r="B728" s="5" t="s">
        <v>65</v>
      </c>
      <c r="C728" s="5" t="str">
        <f>VLOOKUP(B728,[1]물질정보!B:C,2,0)</f>
        <v>141-32-2</v>
      </c>
      <c r="D728" t="str">
        <f>VLOOKUP(B728,[1]물질정보!B:D,3,0)</f>
        <v>butyl acrylate</v>
      </c>
      <c r="E728" t="str">
        <f>VLOOKUP(B728,[1]물질정보!B:E,4,0)</f>
        <v>C7H12O2</v>
      </c>
      <c r="F728" t="str">
        <f>VLOOKUP(B728,[1]물질정보!B:F,5,0)</f>
        <v>128.169 g/mol</v>
      </c>
      <c r="G728" s="5" t="str">
        <f>VLOOKUP(B728,[1]물질정보!B:G,6,0)</f>
        <v>CCCCOC(=O)C=C</v>
      </c>
      <c r="H728" t="s">
        <v>26</v>
      </c>
      <c r="I728" t="s">
        <v>51</v>
      </c>
      <c r="J728" t="s">
        <v>49</v>
      </c>
      <c r="K728">
        <v>5.2</v>
      </c>
      <c r="L728" t="s">
        <v>39</v>
      </c>
      <c r="M728" t="s">
        <v>258</v>
      </c>
      <c r="N728" t="s">
        <v>29</v>
      </c>
      <c r="O728" t="s">
        <v>29</v>
      </c>
      <c r="P728">
        <v>96</v>
      </c>
      <c r="Q728" t="s">
        <v>31</v>
      </c>
      <c r="R728" t="s">
        <v>159</v>
      </c>
      <c r="S728" t="s">
        <v>29</v>
      </c>
      <c r="T728" t="s">
        <v>29</v>
      </c>
      <c r="U728" t="s">
        <v>29</v>
      </c>
      <c r="V728" s="6" t="s">
        <v>168</v>
      </c>
      <c r="W728" t="s">
        <v>244</v>
      </c>
      <c r="X728" t="s">
        <v>37</v>
      </c>
      <c r="Y728" s="6" t="s">
        <v>49</v>
      </c>
    </row>
    <row r="729" spans="2:25" x14ac:dyDescent="0.3">
      <c r="B729" s="5" t="s">
        <v>65</v>
      </c>
      <c r="C729" s="5" t="str">
        <f>VLOOKUP(B729,[1]물질정보!B:C,2,0)</f>
        <v>141-32-2</v>
      </c>
      <c r="D729" t="str">
        <f>VLOOKUP(B729,[1]물질정보!B:D,3,0)</f>
        <v>butyl acrylate</v>
      </c>
      <c r="E729" t="str">
        <f>VLOOKUP(B729,[1]물질정보!B:E,4,0)</f>
        <v>C7H12O2</v>
      </c>
      <c r="F729" t="str">
        <f>VLOOKUP(B729,[1]물질정보!B:F,5,0)</f>
        <v>128.169 g/mol</v>
      </c>
      <c r="G729" s="5" t="str">
        <f>VLOOKUP(B729,[1]물질정보!B:G,6,0)</f>
        <v>CCCCOC(=O)C=C</v>
      </c>
      <c r="H729" t="s">
        <v>26</v>
      </c>
      <c r="I729" t="s">
        <v>51</v>
      </c>
      <c r="J729" t="s">
        <v>49</v>
      </c>
      <c r="K729">
        <v>2.1</v>
      </c>
      <c r="L729" t="s">
        <v>39</v>
      </c>
      <c r="M729" t="s">
        <v>271</v>
      </c>
      <c r="N729" t="s">
        <v>29</v>
      </c>
      <c r="O729" t="s">
        <v>29</v>
      </c>
      <c r="P729">
        <v>96</v>
      </c>
      <c r="Q729" t="s">
        <v>31</v>
      </c>
      <c r="R729" t="s">
        <v>159</v>
      </c>
      <c r="S729" t="s">
        <v>29</v>
      </c>
      <c r="T729" t="s">
        <v>29</v>
      </c>
      <c r="U729" t="s">
        <v>29</v>
      </c>
      <c r="V729" s="6" t="s">
        <v>168</v>
      </c>
      <c r="W729" t="s">
        <v>256</v>
      </c>
      <c r="X729" t="s">
        <v>37</v>
      </c>
      <c r="Y729" s="6" t="s">
        <v>49</v>
      </c>
    </row>
    <row r="730" spans="2:25" x14ac:dyDescent="0.3">
      <c r="B730" s="5" t="s">
        <v>65</v>
      </c>
      <c r="C730" s="5" t="str">
        <f>VLOOKUP(B730,[1]물질정보!B:C,2,0)</f>
        <v>141-32-2</v>
      </c>
      <c r="D730" t="str">
        <f>VLOOKUP(B730,[1]물질정보!B:D,3,0)</f>
        <v>butyl acrylate</v>
      </c>
      <c r="E730" t="str">
        <f>VLOOKUP(B730,[1]물질정보!B:E,4,0)</f>
        <v>C7H12O2</v>
      </c>
      <c r="F730" t="str">
        <f>VLOOKUP(B730,[1]물질정보!B:F,5,0)</f>
        <v>128.169 g/mol</v>
      </c>
      <c r="G730" s="5" t="str">
        <f>VLOOKUP(B730,[1]물질정보!B:G,6,0)</f>
        <v>CCCCOC(=O)C=C</v>
      </c>
      <c r="H730" t="s">
        <v>26</v>
      </c>
      <c r="I730" t="s">
        <v>51</v>
      </c>
      <c r="J730" t="s">
        <v>49</v>
      </c>
      <c r="K730">
        <v>2.1</v>
      </c>
      <c r="L730" t="s">
        <v>39</v>
      </c>
      <c r="M730" t="s">
        <v>271</v>
      </c>
      <c r="N730" t="s">
        <v>29</v>
      </c>
      <c r="O730" t="s">
        <v>29</v>
      </c>
      <c r="P730">
        <v>96</v>
      </c>
      <c r="Q730" t="s">
        <v>31</v>
      </c>
      <c r="R730" t="s">
        <v>159</v>
      </c>
      <c r="S730" t="s">
        <v>29</v>
      </c>
      <c r="T730" t="s">
        <v>29</v>
      </c>
      <c r="U730" t="s">
        <v>29</v>
      </c>
      <c r="V730" s="6" t="s">
        <v>169</v>
      </c>
      <c r="W730" t="s">
        <v>256</v>
      </c>
      <c r="X730" t="s">
        <v>37</v>
      </c>
      <c r="Y730" s="6" t="s">
        <v>49</v>
      </c>
    </row>
    <row r="731" spans="2:25" x14ac:dyDescent="0.3">
      <c r="B731" s="5" t="s">
        <v>64</v>
      </c>
      <c r="C731" s="5" t="str">
        <f>VLOOKUP(B731,[1]물질정보!B:C,2,0)</f>
        <v>2478-10-6</v>
      </c>
      <c r="D731" t="str">
        <f>VLOOKUP(B731,[1]물질정보!B:D,3,0)</f>
        <v>4-hydroxybutyl acrylate</v>
      </c>
      <c r="E731" t="str">
        <f>VLOOKUP(B731,[1]물질정보!B:E,4,0)</f>
        <v>C7H12O3</v>
      </c>
      <c r="F731" t="str">
        <f>VLOOKUP(B731,[1]물질정보!B:F,5,0)</f>
        <v>144.17 g/mol</v>
      </c>
      <c r="G731" s="5" t="str">
        <f>VLOOKUP(B731,[1]물질정보!B:G,6,0)</f>
        <v>C=CC(=O)OCCCCO</v>
      </c>
      <c r="H731" t="s">
        <v>26</v>
      </c>
      <c r="I731" t="s">
        <v>51</v>
      </c>
      <c r="J731" t="s">
        <v>49</v>
      </c>
      <c r="K731">
        <v>14.66</v>
      </c>
      <c r="L731" t="s">
        <v>39</v>
      </c>
      <c r="M731" t="s">
        <v>260</v>
      </c>
      <c r="N731" t="s">
        <v>29</v>
      </c>
      <c r="O731" t="s">
        <v>29</v>
      </c>
      <c r="P731">
        <v>96</v>
      </c>
      <c r="Q731" t="s">
        <v>31</v>
      </c>
      <c r="R731" t="s">
        <v>159</v>
      </c>
      <c r="S731" t="s">
        <v>261</v>
      </c>
      <c r="T731" t="s">
        <v>29</v>
      </c>
      <c r="U731" t="s">
        <v>29</v>
      </c>
      <c r="V731" s="6" t="s">
        <v>160</v>
      </c>
      <c r="W731" t="s">
        <v>262</v>
      </c>
      <c r="X731" t="s">
        <v>37</v>
      </c>
      <c r="Y731" s="6" t="s">
        <v>49</v>
      </c>
    </row>
    <row r="732" spans="2:25" x14ac:dyDescent="0.3">
      <c r="B732" s="5" t="s">
        <v>64</v>
      </c>
      <c r="C732" s="5" t="str">
        <f>VLOOKUP(B732,[1]물질정보!B:C,2,0)</f>
        <v>2478-10-6</v>
      </c>
      <c r="D732" t="str">
        <f>VLOOKUP(B732,[1]물질정보!B:D,3,0)</f>
        <v>4-hydroxybutyl acrylate</v>
      </c>
      <c r="E732" t="str">
        <f>VLOOKUP(B732,[1]물질정보!B:E,4,0)</f>
        <v>C7H12O3</v>
      </c>
      <c r="F732" t="str">
        <f>VLOOKUP(B732,[1]물질정보!B:F,5,0)</f>
        <v>144.17 g/mol</v>
      </c>
      <c r="G732" s="5" t="str">
        <f>VLOOKUP(B732,[1]물질정보!B:G,6,0)</f>
        <v>C=CC(=O)OCCCCO</v>
      </c>
      <c r="H732" t="s">
        <v>26</v>
      </c>
      <c r="I732" t="s">
        <v>51</v>
      </c>
      <c r="J732" t="s">
        <v>248</v>
      </c>
      <c r="K732">
        <v>21.5</v>
      </c>
      <c r="L732" t="s">
        <v>39</v>
      </c>
      <c r="M732" t="s">
        <v>260</v>
      </c>
      <c r="N732" t="s">
        <v>29</v>
      </c>
      <c r="O732" t="s">
        <v>29</v>
      </c>
      <c r="P732">
        <v>96</v>
      </c>
      <c r="Q732" t="s">
        <v>31</v>
      </c>
      <c r="R732" t="s">
        <v>159</v>
      </c>
      <c r="S732" t="s">
        <v>261</v>
      </c>
      <c r="T732" t="s">
        <v>29</v>
      </c>
      <c r="U732" t="s">
        <v>29</v>
      </c>
      <c r="V732" s="6" t="s">
        <v>160</v>
      </c>
      <c r="W732" t="s">
        <v>262</v>
      </c>
      <c r="X732" t="s">
        <v>37</v>
      </c>
      <c r="Y732" s="6" t="s">
        <v>248</v>
      </c>
    </row>
    <row r="733" spans="2:25" x14ac:dyDescent="0.3">
      <c r="B733" s="5" t="s">
        <v>64</v>
      </c>
      <c r="C733" s="5" t="str">
        <f>VLOOKUP(B733,[1]물질정보!B:C,2,0)</f>
        <v>2478-10-6</v>
      </c>
      <c r="D733" t="str">
        <f>VLOOKUP(B733,[1]물질정보!B:D,3,0)</f>
        <v>4-hydroxybutyl acrylate</v>
      </c>
      <c r="E733" t="str">
        <f>VLOOKUP(B733,[1]물질정보!B:E,4,0)</f>
        <v>C7H12O3</v>
      </c>
      <c r="F733" t="str">
        <f>VLOOKUP(B733,[1]물질정보!B:F,5,0)</f>
        <v>144.17 g/mol</v>
      </c>
      <c r="G733" s="5" t="str">
        <f>VLOOKUP(B733,[1]물질정보!B:G,6,0)</f>
        <v>C=CC(=O)OCCCCO</v>
      </c>
      <c r="H733" t="s">
        <v>26</v>
      </c>
      <c r="I733" t="s">
        <v>51</v>
      </c>
      <c r="J733" t="s">
        <v>241</v>
      </c>
      <c r="K733">
        <v>10</v>
      </c>
      <c r="L733" t="s">
        <v>39</v>
      </c>
      <c r="M733" t="s">
        <v>260</v>
      </c>
      <c r="N733" t="s">
        <v>29</v>
      </c>
      <c r="O733" t="s">
        <v>29</v>
      </c>
      <c r="P733">
        <v>96</v>
      </c>
      <c r="Q733" t="s">
        <v>31</v>
      </c>
      <c r="R733" t="s">
        <v>159</v>
      </c>
      <c r="S733" t="s">
        <v>261</v>
      </c>
      <c r="T733" t="s">
        <v>29</v>
      </c>
      <c r="U733" t="s">
        <v>29</v>
      </c>
      <c r="V733" s="6" t="s">
        <v>160</v>
      </c>
      <c r="W733" t="s">
        <v>262</v>
      </c>
      <c r="X733" t="s">
        <v>37</v>
      </c>
      <c r="Y733" s="6" t="s">
        <v>241</v>
      </c>
    </row>
    <row r="734" spans="2:25" x14ac:dyDescent="0.3">
      <c r="B734" s="5" t="s">
        <v>64</v>
      </c>
      <c r="C734" s="5" t="str">
        <f>VLOOKUP(B734,[1]물질정보!B:C,2,0)</f>
        <v>2478-10-6</v>
      </c>
      <c r="D734" t="str">
        <f>VLOOKUP(B734,[1]물질정보!B:D,3,0)</f>
        <v>4-hydroxybutyl acrylate</v>
      </c>
      <c r="E734" t="str">
        <f>VLOOKUP(B734,[1]물질정보!B:E,4,0)</f>
        <v>C7H12O3</v>
      </c>
      <c r="F734" t="str">
        <f>VLOOKUP(B734,[1]물질정보!B:F,5,0)</f>
        <v>144.17 g/mol</v>
      </c>
      <c r="G734" s="5" t="str">
        <f>VLOOKUP(B734,[1]물질정보!B:G,6,0)</f>
        <v>C=CC(=O)OCCCCO</v>
      </c>
      <c r="H734" t="s">
        <v>26</v>
      </c>
      <c r="I734" t="s">
        <v>51</v>
      </c>
      <c r="J734" t="s">
        <v>181</v>
      </c>
      <c r="K734">
        <v>10</v>
      </c>
      <c r="L734" t="s">
        <v>39</v>
      </c>
      <c r="M734" t="s">
        <v>260</v>
      </c>
      <c r="N734" t="s">
        <v>29</v>
      </c>
      <c r="O734" t="s">
        <v>29</v>
      </c>
      <c r="P734">
        <v>96</v>
      </c>
      <c r="Q734" t="s">
        <v>31</v>
      </c>
      <c r="R734" t="s">
        <v>159</v>
      </c>
      <c r="S734" t="s">
        <v>261</v>
      </c>
      <c r="T734" t="s">
        <v>29</v>
      </c>
      <c r="U734" t="s">
        <v>29</v>
      </c>
      <c r="V734" s="6" t="s">
        <v>160</v>
      </c>
      <c r="W734" t="s">
        <v>262</v>
      </c>
      <c r="X734" t="s">
        <v>37</v>
      </c>
      <c r="Y734" s="6" t="s">
        <v>181</v>
      </c>
    </row>
    <row r="735" spans="2:25" x14ac:dyDescent="0.3">
      <c r="B735" s="5" t="s">
        <v>59</v>
      </c>
      <c r="C735" s="5" t="str">
        <f>VLOOKUP(B735,[1]물질정보!B:C,2,0)</f>
        <v>2499-95-8</v>
      </c>
      <c r="D735" t="str">
        <f>VLOOKUP(B735,[1]물질정보!B:D,3,0)</f>
        <v>hexyl acrylate</v>
      </c>
      <c r="E735" t="str">
        <f>VLOOKUP(B735,[1]물질정보!B:E,4,0)</f>
        <v>C9H16O2</v>
      </c>
      <c r="F735" t="str">
        <f>VLOOKUP(B735,[1]물질정보!B:F,5,0)</f>
        <v>156.22 g/mol</v>
      </c>
      <c r="G735" s="5" t="str">
        <f>VLOOKUP(B735,[1]물질정보!B:G,6,0)</f>
        <v>CCCCCCOC(=O)C=C</v>
      </c>
      <c r="H735" t="s">
        <v>26</v>
      </c>
      <c r="I735" t="s">
        <v>51</v>
      </c>
      <c r="J735" t="s">
        <v>49</v>
      </c>
      <c r="K735">
        <v>1.0900000000000001</v>
      </c>
      <c r="L735" t="s">
        <v>39</v>
      </c>
      <c r="M735" t="s">
        <v>246</v>
      </c>
      <c r="N735" t="s">
        <v>29</v>
      </c>
      <c r="O735" t="s">
        <v>29</v>
      </c>
      <c r="P735">
        <v>96</v>
      </c>
      <c r="Q735" t="s">
        <v>31</v>
      </c>
      <c r="R735" t="s">
        <v>159</v>
      </c>
      <c r="S735" t="s">
        <v>243</v>
      </c>
      <c r="T735" t="s">
        <v>29</v>
      </c>
      <c r="U735" t="s">
        <v>29</v>
      </c>
      <c r="V735" s="6" t="s">
        <v>160</v>
      </c>
      <c r="W735" t="s">
        <v>53</v>
      </c>
      <c r="X735" t="s">
        <v>37</v>
      </c>
      <c r="Y735" s="6" t="s">
        <v>49</v>
      </c>
    </row>
    <row r="736" spans="2:25" x14ac:dyDescent="0.3">
      <c r="B736" s="5" t="s">
        <v>59</v>
      </c>
      <c r="C736" s="5" t="str">
        <f>VLOOKUP(B736,[1]물질정보!B:C,2,0)</f>
        <v>2499-95-8</v>
      </c>
      <c r="D736" t="str">
        <f>VLOOKUP(B736,[1]물질정보!B:D,3,0)</f>
        <v>hexyl acrylate</v>
      </c>
      <c r="E736" t="str">
        <f>VLOOKUP(B736,[1]물질정보!B:E,4,0)</f>
        <v>C9H16O2</v>
      </c>
      <c r="F736" t="str">
        <f>VLOOKUP(B736,[1]물질정보!B:F,5,0)</f>
        <v>156.22 g/mol</v>
      </c>
      <c r="G736" s="5" t="str">
        <f>VLOOKUP(B736,[1]물질정보!B:G,6,0)</f>
        <v>CCCCCCOC(=O)C=C</v>
      </c>
      <c r="H736" t="s">
        <v>26</v>
      </c>
      <c r="I736" t="s">
        <v>51</v>
      </c>
      <c r="J736" t="s">
        <v>49</v>
      </c>
      <c r="K736">
        <v>1.0900000000000001</v>
      </c>
      <c r="L736" t="s">
        <v>39</v>
      </c>
      <c r="M736" t="s">
        <v>246</v>
      </c>
      <c r="N736" t="s">
        <v>29</v>
      </c>
      <c r="O736" t="s">
        <v>29</v>
      </c>
      <c r="P736">
        <v>96</v>
      </c>
      <c r="Q736" t="s">
        <v>31</v>
      </c>
      <c r="R736" t="s">
        <v>159</v>
      </c>
      <c r="S736" t="s">
        <v>272</v>
      </c>
      <c r="T736" t="s">
        <v>29</v>
      </c>
      <c r="U736" t="s">
        <v>29</v>
      </c>
      <c r="V736" s="6" t="s">
        <v>160</v>
      </c>
      <c r="W736" t="s">
        <v>53</v>
      </c>
      <c r="X736" t="s">
        <v>37</v>
      </c>
      <c r="Y736" s="6" t="s">
        <v>49</v>
      </c>
    </row>
    <row r="737" spans="2:25" x14ac:dyDescent="0.3">
      <c r="B737" s="5" t="s">
        <v>71</v>
      </c>
      <c r="C737" s="5" t="str">
        <f>VLOOKUP(B737,[1]물질정보!B:C,2,0)</f>
        <v>97-63-2</v>
      </c>
      <c r="D737" t="str">
        <f>VLOOKUP(B737,[1]물질정보!B:D,3,0)</f>
        <v>ethyl methacrylate</v>
      </c>
      <c r="E737" t="str">
        <f>VLOOKUP(B737,[1]물질정보!B:E,4,0)</f>
        <v>C6H10O2</v>
      </c>
      <c r="F737" t="str">
        <f>VLOOKUP(B737,[1]물질정보!B:F,5,0)</f>
        <v>114.14 g/mol</v>
      </c>
      <c r="G737" s="5" t="str">
        <f>VLOOKUP(B737,[1]물질정보!B:G,6,0)</f>
        <v>CCOC(=O)C(=C)C</v>
      </c>
      <c r="H737" t="s">
        <v>26</v>
      </c>
      <c r="I737" t="s">
        <v>45</v>
      </c>
      <c r="J737" t="s">
        <v>241</v>
      </c>
      <c r="K737">
        <v>41</v>
      </c>
      <c r="L737" t="s">
        <v>39</v>
      </c>
      <c r="M737" t="s">
        <v>47</v>
      </c>
      <c r="N737" t="s">
        <v>29</v>
      </c>
      <c r="O737" t="s">
        <v>29</v>
      </c>
      <c r="P737">
        <v>48</v>
      </c>
      <c r="Q737" t="s">
        <v>31</v>
      </c>
      <c r="R737" t="s">
        <v>159</v>
      </c>
      <c r="S737" t="s">
        <v>273</v>
      </c>
      <c r="T737" t="s">
        <v>29</v>
      </c>
      <c r="U737" t="s">
        <v>29</v>
      </c>
      <c r="V737" s="6" t="s">
        <v>160</v>
      </c>
      <c r="W737" t="s">
        <v>47</v>
      </c>
      <c r="X737" t="s">
        <v>48</v>
      </c>
      <c r="Y737" s="6" t="s">
        <v>241</v>
      </c>
    </row>
    <row r="738" spans="2:25" x14ac:dyDescent="0.3">
      <c r="B738" s="5" t="s">
        <v>71</v>
      </c>
      <c r="C738" s="5" t="str">
        <f>VLOOKUP(B738,[1]물질정보!B:C,2,0)</f>
        <v>97-63-2</v>
      </c>
      <c r="D738" t="str">
        <f>VLOOKUP(B738,[1]물질정보!B:D,3,0)</f>
        <v>ethyl methacrylate</v>
      </c>
      <c r="E738" t="str">
        <f>VLOOKUP(B738,[1]물질정보!B:E,4,0)</f>
        <v>C6H10O2</v>
      </c>
      <c r="F738" t="str">
        <f>VLOOKUP(B738,[1]물질정보!B:F,5,0)</f>
        <v>114.14 g/mol</v>
      </c>
      <c r="G738" s="5" t="str">
        <f>VLOOKUP(B738,[1]물질정보!B:G,6,0)</f>
        <v>CCOC(=O)C(=C)C</v>
      </c>
      <c r="H738" t="s">
        <v>26</v>
      </c>
      <c r="I738" t="s">
        <v>45</v>
      </c>
      <c r="J738" t="s">
        <v>28</v>
      </c>
      <c r="K738">
        <v>66</v>
      </c>
      <c r="L738" t="s">
        <v>39</v>
      </c>
      <c r="M738" t="s">
        <v>47</v>
      </c>
      <c r="N738" t="s">
        <v>29</v>
      </c>
      <c r="O738" t="s">
        <v>29</v>
      </c>
      <c r="P738">
        <v>48</v>
      </c>
      <c r="Q738" t="s">
        <v>31</v>
      </c>
      <c r="R738" t="s">
        <v>159</v>
      </c>
      <c r="S738" t="s">
        <v>273</v>
      </c>
      <c r="T738" t="s">
        <v>29</v>
      </c>
      <c r="U738" t="s">
        <v>29</v>
      </c>
      <c r="V738" s="6" t="s">
        <v>160</v>
      </c>
      <c r="W738" t="s">
        <v>47</v>
      </c>
      <c r="X738" t="s">
        <v>48</v>
      </c>
      <c r="Y738" s="6" t="s">
        <v>28</v>
      </c>
    </row>
    <row r="739" spans="2:25" x14ac:dyDescent="0.3">
      <c r="B739" s="5" t="s">
        <v>71</v>
      </c>
      <c r="C739" s="5" t="str">
        <f>VLOOKUP(B739,[1]물질정보!B:C,2,0)</f>
        <v>97-63-2</v>
      </c>
      <c r="D739" t="str">
        <f>VLOOKUP(B739,[1]물질정보!B:D,3,0)</f>
        <v>ethyl methacrylate</v>
      </c>
      <c r="E739" t="str">
        <f>VLOOKUP(B739,[1]물질정보!B:E,4,0)</f>
        <v>C6H10O2</v>
      </c>
      <c r="F739" t="str">
        <f>VLOOKUP(B739,[1]물질정보!B:F,5,0)</f>
        <v>114.14 g/mol</v>
      </c>
      <c r="G739" s="5" t="str">
        <f>VLOOKUP(B739,[1]물질정보!B:G,6,0)</f>
        <v>CCOC(=O)C(=C)C</v>
      </c>
      <c r="H739" t="s">
        <v>26</v>
      </c>
      <c r="I739" t="s">
        <v>45</v>
      </c>
      <c r="J739" t="s">
        <v>28</v>
      </c>
      <c r="K739">
        <v>66</v>
      </c>
      <c r="L739" t="s">
        <v>39</v>
      </c>
      <c r="M739" t="s">
        <v>274</v>
      </c>
      <c r="N739" t="s">
        <v>29</v>
      </c>
      <c r="O739" t="s">
        <v>29</v>
      </c>
      <c r="P739">
        <v>48</v>
      </c>
      <c r="Q739" t="s">
        <v>31</v>
      </c>
      <c r="R739" t="s">
        <v>159</v>
      </c>
      <c r="S739" t="s">
        <v>29</v>
      </c>
      <c r="T739" t="s">
        <v>29</v>
      </c>
      <c r="U739" t="s">
        <v>29</v>
      </c>
      <c r="V739" s="6" t="s">
        <v>163</v>
      </c>
      <c r="W739" t="s">
        <v>47</v>
      </c>
      <c r="X739" t="s">
        <v>48</v>
      </c>
      <c r="Y739" s="6" t="s">
        <v>28</v>
      </c>
    </row>
    <row r="740" spans="2:25" x14ac:dyDescent="0.3">
      <c r="B740" s="5" t="s">
        <v>25</v>
      </c>
      <c r="C740" s="5" t="str">
        <f>VLOOKUP(B740,[1]물질정보!B:C,2,0)</f>
        <v>97-88-1</v>
      </c>
      <c r="D740" t="str">
        <f>VLOOKUP(B740,[1]물질정보!B:D,3,0)</f>
        <v>butyl methacrylate</v>
      </c>
      <c r="E740" t="str">
        <f>VLOOKUP(B740,[1]물질정보!B:E,4,0)</f>
        <v>C8H14O2</v>
      </c>
      <c r="F740" t="str">
        <f>VLOOKUP(B740,[1]물질정보!B:F,5,0)</f>
        <v>142.2 g/mol</v>
      </c>
      <c r="G740" s="5" t="str">
        <f>VLOOKUP(B740,[1]물질정보!B:G,6,0)</f>
        <v>CCCCOC(=O)C(=C)C</v>
      </c>
      <c r="H740" t="s">
        <v>26</v>
      </c>
      <c r="I740" t="s">
        <v>45</v>
      </c>
      <c r="J740" t="s">
        <v>241</v>
      </c>
      <c r="K740">
        <v>10</v>
      </c>
      <c r="L740" t="s">
        <v>39</v>
      </c>
      <c r="M740" t="s">
        <v>47</v>
      </c>
      <c r="N740" t="s">
        <v>29</v>
      </c>
      <c r="O740" t="s">
        <v>29</v>
      </c>
      <c r="P740">
        <v>48</v>
      </c>
      <c r="Q740" t="s">
        <v>31</v>
      </c>
      <c r="R740" t="s">
        <v>159</v>
      </c>
      <c r="S740" t="s">
        <v>273</v>
      </c>
      <c r="T740" t="s">
        <v>29</v>
      </c>
      <c r="U740" t="s">
        <v>29</v>
      </c>
      <c r="V740" s="6" t="s">
        <v>160</v>
      </c>
      <c r="W740" t="s">
        <v>47</v>
      </c>
      <c r="X740" t="s">
        <v>48</v>
      </c>
      <c r="Y740" s="6" t="s">
        <v>241</v>
      </c>
    </row>
    <row r="741" spans="2:25" x14ac:dyDescent="0.3">
      <c r="B741" s="5" t="s">
        <v>25</v>
      </c>
      <c r="C741" s="5" t="str">
        <f>VLOOKUP(B741,[1]물질정보!B:C,2,0)</f>
        <v>97-88-1</v>
      </c>
      <c r="D741" t="str">
        <f>VLOOKUP(B741,[1]물질정보!B:D,3,0)</f>
        <v>butyl methacrylate</v>
      </c>
      <c r="E741" t="str">
        <f>VLOOKUP(B741,[1]물질정보!B:E,4,0)</f>
        <v>C8H14O2</v>
      </c>
      <c r="F741" t="str">
        <f>VLOOKUP(B741,[1]물질정보!B:F,5,0)</f>
        <v>142.2 g/mol</v>
      </c>
      <c r="G741" s="5" t="str">
        <f>VLOOKUP(B741,[1]물질정보!B:G,6,0)</f>
        <v>CCCCOC(=O)C(=C)C</v>
      </c>
      <c r="H741" t="s">
        <v>26</v>
      </c>
      <c r="I741" t="s">
        <v>45</v>
      </c>
      <c r="J741" t="s">
        <v>28</v>
      </c>
      <c r="K741">
        <v>25.4</v>
      </c>
      <c r="L741" t="s">
        <v>39</v>
      </c>
      <c r="M741" t="s">
        <v>47</v>
      </c>
      <c r="N741" t="s">
        <v>29</v>
      </c>
      <c r="O741" t="s">
        <v>29</v>
      </c>
      <c r="P741">
        <v>48</v>
      </c>
      <c r="Q741" t="s">
        <v>31</v>
      </c>
      <c r="R741" t="s">
        <v>159</v>
      </c>
      <c r="S741" t="s">
        <v>273</v>
      </c>
      <c r="T741" t="s">
        <v>29</v>
      </c>
      <c r="U741" t="s">
        <v>29</v>
      </c>
      <c r="V741" s="6" t="s">
        <v>160</v>
      </c>
      <c r="W741" t="s">
        <v>47</v>
      </c>
      <c r="X741" t="s">
        <v>48</v>
      </c>
      <c r="Y741" s="6" t="s">
        <v>28</v>
      </c>
    </row>
    <row r="742" spans="2:25" x14ac:dyDescent="0.3">
      <c r="B742" s="5" t="s">
        <v>25</v>
      </c>
      <c r="C742" s="5" t="str">
        <f>VLOOKUP(B742,[1]물질정보!B:C,2,0)</f>
        <v>97-88-1</v>
      </c>
      <c r="D742" t="str">
        <f>VLOOKUP(B742,[1]물질정보!B:D,3,0)</f>
        <v>butyl methacrylate</v>
      </c>
      <c r="E742" t="str">
        <f>VLOOKUP(B742,[1]물질정보!B:E,4,0)</f>
        <v>C8H14O2</v>
      </c>
      <c r="F742" t="str">
        <f>VLOOKUP(B742,[1]물질정보!B:F,5,0)</f>
        <v>142.2 g/mol</v>
      </c>
      <c r="G742" s="5" t="str">
        <f>VLOOKUP(B742,[1]물질정보!B:G,6,0)</f>
        <v>CCCCOC(=O)C(=C)C</v>
      </c>
      <c r="H742" t="s">
        <v>26</v>
      </c>
      <c r="I742" t="s">
        <v>45</v>
      </c>
      <c r="J742" t="s">
        <v>241</v>
      </c>
      <c r="K742">
        <v>23</v>
      </c>
      <c r="L742" t="s">
        <v>39</v>
      </c>
      <c r="M742" t="s">
        <v>47</v>
      </c>
      <c r="N742" t="s">
        <v>29</v>
      </c>
      <c r="O742" t="s">
        <v>29</v>
      </c>
      <c r="P742">
        <v>48</v>
      </c>
      <c r="Q742" t="s">
        <v>31</v>
      </c>
      <c r="R742" t="s">
        <v>159</v>
      </c>
      <c r="S742" t="s">
        <v>273</v>
      </c>
      <c r="T742" t="s">
        <v>29</v>
      </c>
      <c r="U742" t="s">
        <v>29</v>
      </c>
      <c r="V742" s="6" t="s">
        <v>160</v>
      </c>
      <c r="W742" t="s">
        <v>47</v>
      </c>
      <c r="X742" t="s">
        <v>48</v>
      </c>
      <c r="Y742" s="6" t="s">
        <v>241</v>
      </c>
    </row>
    <row r="743" spans="2:25" x14ac:dyDescent="0.3">
      <c r="B743" s="5" t="s">
        <v>25</v>
      </c>
      <c r="C743" s="5" t="str">
        <f>VLOOKUP(B743,[1]물질정보!B:C,2,0)</f>
        <v>97-88-1</v>
      </c>
      <c r="D743" t="str">
        <f>VLOOKUP(B743,[1]물질정보!B:D,3,0)</f>
        <v>butyl methacrylate</v>
      </c>
      <c r="E743" t="str">
        <f>VLOOKUP(B743,[1]물질정보!B:E,4,0)</f>
        <v>C8H14O2</v>
      </c>
      <c r="F743" t="str">
        <f>VLOOKUP(B743,[1]물질정보!B:F,5,0)</f>
        <v>142.2 g/mol</v>
      </c>
      <c r="G743" s="5" t="str">
        <f>VLOOKUP(B743,[1]물질정보!B:G,6,0)</f>
        <v>CCCCOC(=O)C(=C)C</v>
      </c>
      <c r="H743" t="s">
        <v>26</v>
      </c>
      <c r="I743" t="s">
        <v>45</v>
      </c>
      <c r="J743" t="s">
        <v>28</v>
      </c>
      <c r="K743">
        <v>32</v>
      </c>
      <c r="L743" t="s">
        <v>39</v>
      </c>
      <c r="M743" t="s">
        <v>47</v>
      </c>
      <c r="N743" t="s">
        <v>29</v>
      </c>
      <c r="O743" t="s">
        <v>29</v>
      </c>
      <c r="P743">
        <v>48</v>
      </c>
      <c r="Q743" t="s">
        <v>31</v>
      </c>
      <c r="R743" t="s">
        <v>159</v>
      </c>
      <c r="S743" t="s">
        <v>273</v>
      </c>
      <c r="T743" t="s">
        <v>29</v>
      </c>
      <c r="U743" t="s">
        <v>29</v>
      </c>
      <c r="V743" s="6" t="s">
        <v>160</v>
      </c>
      <c r="W743" t="s">
        <v>47</v>
      </c>
      <c r="X743" t="s">
        <v>48</v>
      </c>
      <c r="Y743" s="6" t="s">
        <v>28</v>
      </c>
    </row>
    <row r="744" spans="2:25" x14ac:dyDescent="0.3">
      <c r="B744" s="5" t="s">
        <v>25</v>
      </c>
      <c r="C744" s="5" t="str">
        <f>VLOOKUP(B744,[1]물질정보!B:C,2,0)</f>
        <v>97-88-1</v>
      </c>
      <c r="D744" t="str">
        <f>VLOOKUP(B744,[1]물질정보!B:D,3,0)</f>
        <v>butyl methacrylate</v>
      </c>
      <c r="E744" t="str">
        <f>VLOOKUP(B744,[1]물질정보!B:E,4,0)</f>
        <v>C8H14O2</v>
      </c>
      <c r="F744" t="str">
        <f>VLOOKUP(B744,[1]물질정보!B:F,5,0)</f>
        <v>142.2 g/mol</v>
      </c>
      <c r="G744" s="5" t="str">
        <f>VLOOKUP(B744,[1]물질정보!B:G,6,0)</f>
        <v>CCCCOC(=O)C(=C)C</v>
      </c>
      <c r="H744" t="s">
        <v>26</v>
      </c>
      <c r="I744" t="s">
        <v>45</v>
      </c>
      <c r="J744" t="s">
        <v>275</v>
      </c>
      <c r="K744">
        <v>75</v>
      </c>
      <c r="L744" t="s">
        <v>39</v>
      </c>
      <c r="M744" t="s">
        <v>47</v>
      </c>
      <c r="N744" t="s">
        <v>29</v>
      </c>
      <c r="O744" t="s">
        <v>29</v>
      </c>
      <c r="P744">
        <v>48</v>
      </c>
      <c r="Q744" t="s">
        <v>31</v>
      </c>
      <c r="R744" t="s">
        <v>159</v>
      </c>
      <c r="S744" t="s">
        <v>273</v>
      </c>
      <c r="T744" t="s">
        <v>29</v>
      </c>
      <c r="U744" t="s">
        <v>29</v>
      </c>
      <c r="V744" s="6" t="s">
        <v>160</v>
      </c>
      <c r="W744" t="s">
        <v>47</v>
      </c>
      <c r="X744" t="s">
        <v>48</v>
      </c>
      <c r="Y744" s="6" t="s">
        <v>275</v>
      </c>
    </row>
    <row r="745" spans="2:25" x14ac:dyDescent="0.3">
      <c r="B745" s="5" t="s">
        <v>25</v>
      </c>
      <c r="C745" s="5" t="str">
        <f>VLOOKUP(B745,[1]물질정보!B:C,2,0)</f>
        <v>97-88-1</v>
      </c>
      <c r="D745" t="str">
        <f>VLOOKUP(B745,[1]물질정보!B:D,3,0)</f>
        <v>butyl methacrylate</v>
      </c>
      <c r="E745" t="str">
        <f>VLOOKUP(B745,[1]물질정보!B:E,4,0)</f>
        <v>C8H14O2</v>
      </c>
      <c r="F745" t="str">
        <f>VLOOKUP(B745,[1]물질정보!B:F,5,0)</f>
        <v>142.2 g/mol</v>
      </c>
      <c r="G745" s="5" t="str">
        <f>VLOOKUP(B745,[1]물질정보!B:G,6,0)</f>
        <v>CCCCOC(=O)C(=C)C</v>
      </c>
      <c r="H745" t="s">
        <v>26</v>
      </c>
      <c r="I745" t="s">
        <v>45</v>
      </c>
      <c r="J745" t="s">
        <v>241</v>
      </c>
      <c r="K745">
        <v>23</v>
      </c>
      <c r="L745" t="s">
        <v>39</v>
      </c>
      <c r="M745" t="s">
        <v>47</v>
      </c>
      <c r="N745" t="s">
        <v>29</v>
      </c>
      <c r="O745" t="s">
        <v>29</v>
      </c>
      <c r="P745">
        <v>48</v>
      </c>
      <c r="Q745" t="s">
        <v>31</v>
      </c>
      <c r="R745" t="s">
        <v>159</v>
      </c>
      <c r="S745" t="s">
        <v>276</v>
      </c>
      <c r="T745" t="s">
        <v>29</v>
      </c>
      <c r="U745" t="s">
        <v>29</v>
      </c>
      <c r="V745" s="6" t="s">
        <v>160</v>
      </c>
      <c r="W745" t="s">
        <v>47</v>
      </c>
      <c r="X745" t="s">
        <v>48</v>
      </c>
      <c r="Y745" s="6" t="s">
        <v>241</v>
      </c>
    </row>
    <row r="746" spans="2:25" x14ac:dyDescent="0.3">
      <c r="B746" s="5" t="s">
        <v>25</v>
      </c>
      <c r="C746" s="5" t="str">
        <f>VLOOKUP(B746,[1]물질정보!B:C,2,0)</f>
        <v>97-88-1</v>
      </c>
      <c r="D746" t="str">
        <f>VLOOKUP(B746,[1]물질정보!B:D,3,0)</f>
        <v>butyl methacrylate</v>
      </c>
      <c r="E746" t="str">
        <f>VLOOKUP(B746,[1]물질정보!B:E,4,0)</f>
        <v>C8H14O2</v>
      </c>
      <c r="F746" t="str">
        <f>VLOOKUP(B746,[1]물질정보!B:F,5,0)</f>
        <v>142.2 g/mol</v>
      </c>
      <c r="G746" s="5" t="str">
        <f>VLOOKUP(B746,[1]물질정보!B:G,6,0)</f>
        <v>CCCCOC(=O)C(=C)C</v>
      </c>
      <c r="H746" t="s">
        <v>26</v>
      </c>
      <c r="I746" t="s">
        <v>45</v>
      </c>
      <c r="J746" t="s">
        <v>28</v>
      </c>
      <c r="K746">
        <v>32</v>
      </c>
      <c r="L746" t="s">
        <v>39</v>
      </c>
      <c r="M746" t="s">
        <v>47</v>
      </c>
      <c r="N746" t="s">
        <v>29</v>
      </c>
      <c r="O746" t="s">
        <v>29</v>
      </c>
      <c r="P746">
        <v>48</v>
      </c>
      <c r="Q746" t="s">
        <v>31</v>
      </c>
      <c r="R746" t="s">
        <v>159</v>
      </c>
      <c r="S746" t="s">
        <v>276</v>
      </c>
      <c r="T746" t="s">
        <v>29</v>
      </c>
      <c r="U746" t="s">
        <v>29</v>
      </c>
      <c r="V746" s="6" t="s">
        <v>160</v>
      </c>
      <c r="W746" t="s">
        <v>47</v>
      </c>
      <c r="X746" t="s">
        <v>48</v>
      </c>
      <c r="Y746" s="6" t="s">
        <v>28</v>
      </c>
    </row>
    <row r="747" spans="2:25" x14ac:dyDescent="0.3">
      <c r="B747" s="5" t="s">
        <v>25</v>
      </c>
      <c r="C747" s="5" t="str">
        <f>VLOOKUP(B747,[1]물질정보!B:C,2,0)</f>
        <v>97-88-1</v>
      </c>
      <c r="D747" t="str">
        <f>VLOOKUP(B747,[1]물질정보!B:D,3,0)</f>
        <v>butyl methacrylate</v>
      </c>
      <c r="E747" t="str">
        <f>VLOOKUP(B747,[1]물질정보!B:E,4,0)</f>
        <v>C8H14O2</v>
      </c>
      <c r="F747" t="str">
        <f>VLOOKUP(B747,[1]물질정보!B:F,5,0)</f>
        <v>142.2 g/mol</v>
      </c>
      <c r="G747" s="5" t="str">
        <f>VLOOKUP(B747,[1]물질정보!B:G,6,0)</f>
        <v>CCCCOC(=O)C(=C)C</v>
      </c>
      <c r="H747" t="s">
        <v>26</v>
      </c>
      <c r="I747" t="s">
        <v>45</v>
      </c>
      <c r="J747" t="s">
        <v>275</v>
      </c>
      <c r="K747">
        <v>75</v>
      </c>
      <c r="L747" t="s">
        <v>39</v>
      </c>
      <c r="M747" t="s">
        <v>47</v>
      </c>
      <c r="N747" t="s">
        <v>29</v>
      </c>
      <c r="O747" t="s">
        <v>29</v>
      </c>
      <c r="P747">
        <v>48</v>
      </c>
      <c r="Q747" t="s">
        <v>31</v>
      </c>
      <c r="R747" t="s">
        <v>159</v>
      </c>
      <c r="S747" t="s">
        <v>276</v>
      </c>
      <c r="T747" t="s">
        <v>29</v>
      </c>
      <c r="U747" t="s">
        <v>29</v>
      </c>
      <c r="V747" s="6" t="s">
        <v>160</v>
      </c>
      <c r="W747" t="s">
        <v>47</v>
      </c>
      <c r="X747" t="s">
        <v>48</v>
      </c>
      <c r="Y747" s="6" t="s">
        <v>275</v>
      </c>
    </row>
    <row r="748" spans="2:25" x14ac:dyDescent="0.3">
      <c r="B748" s="5" t="s">
        <v>25</v>
      </c>
      <c r="C748" s="5" t="str">
        <f>VLOOKUP(B748,[1]물질정보!B:C,2,0)</f>
        <v>97-88-1</v>
      </c>
      <c r="D748" t="str">
        <f>VLOOKUP(B748,[1]물질정보!B:D,3,0)</f>
        <v>butyl methacrylate</v>
      </c>
      <c r="E748" t="str">
        <f>VLOOKUP(B748,[1]물질정보!B:E,4,0)</f>
        <v>C8H14O2</v>
      </c>
      <c r="F748" t="str">
        <f>VLOOKUP(B748,[1]물질정보!B:F,5,0)</f>
        <v>142.2 g/mol</v>
      </c>
      <c r="G748" s="5" t="str">
        <f>VLOOKUP(B748,[1]물질정보!B:G,6,0)</f>
        <v>CCCCOC(=O)C(=C)C</v>
      </c>
      <c r="H748" t="s">
        <v>26</v>
      </c>
      <c r="I748" t="s">
        <v>45</v>
      </c>
      <c r="J748" t="s">
        <v>28</v>
      </c>
      <c r="K748">
        <v>32</v>
      </c>
      <c r="L748" t="s">
        <v>39</v>
      </c>
      <c r="M748" t="s">
        <v>274</v>
      </c>
      <c r="N748" t="s">
        <v>29</v>
      </c>
      <c r="O748" t="s">
        <v>29</v>
      </c>
      <c r="P748">
        <v>48</v>
      </c>
      <c r="Q748" t="s">
        <v>31</v>
      </c>
      <c r="R748" t="s">
        <v>159</v>
      </c>
      <c r="S748" t="s">
        <v>29</v>
      </c>
      <c r="T748" t="s">
        <v>29</v>
      </c>
      <c r="U748" t="s">
        <v>29</v>
      </c>
      <c r="V748" s="6" t="s">
        <v>163</v>
      </c>
      <c r="W748" t="s">
        <v>47</v>
      </c>
      <c r="X748" t="s">
        <v>48</v>
      </c>
      <c r="Y748" s="6" t="s">
        <v>28</v>
      </c>
    </row>
    <row r="749" spans="2:25" x14ac:dyDescent="0.3">
      <c r="B749" s="5" t="s">
        <v>25</v>
      </c>
      <c r="C749" s="5" t="str">
        <f>VLOOKUP(B749,[1]물질정보!B:C,2,0)</f>
        <v>97-88-1</v>
      </c>
      <c r="D749" t="str">
        <f>VLOOKUP(B749,[1]물질정보!B:D,3,0)</f>
        <v>butyl methacrylate</v>
      </c>
      <c r="E749" t="str">
        <f>VLOOKUP(B749,[1]물질정보!B:E,4,0)</f>
        <v>C8H14O2</v>
      </c>
      <c r="F749" t="str">
        <f>VLOOKUP(B749,[1]물질정보!B:F,5,0)</f>
        <v>142.2 g/mol</v>
      </c>
      <c r="G749" s="5" t="str">
        <f>VLOOKUP(B749,[1]물질정보!B:G,6,0)</f>
        <v>CCCCOC(=O)C(=C)C</v>
      </c>
      <c r="H749" t="s">
        <v>26</v>
      </c>
      <c r="I749" t="s">
        <v>45</v>
      </c>
      <c r="J749" t="s">
        <v>28</v>
      </c>
      <c r="K749">
        <v>25.4</v>
      </c>
      <c r="L749" t="s">
        <v>39</v>
      </c>
      <c r="M749" t="s">
        <v>274</v>
      </c>
      <c r="N749" t="s">
        <v>29</v>
      </c>
      <c r="O749" t="s">
        <v>29</v>
      </c>
      <c r="P749">
        <v>48</v>
      </c>
      <c r="Q749" t="s">
        <v>31</v>
      </c>
      <c r="R749" t="s">
        <v>159</v>
      </c>
      <c r="S749" t="s">
        <v>29</v>
      </c>
      <c r="T749" t="s">
        <v>29</v>
      </c>
      <c r="U749" t="s">
        <v>29</v>
      </c>
      <c r="V749" s="6" t="s">
        <v>163</v>
      </c>
      <c r="W749" t="s">
        <v>47</v>
      </c>
      <c r="X749" t="s">
        <v>48</v>
      </c>
      <c r="Y749" s="6" t="s">
        <v>28</v>
      </c>
    </row>
    <row r="750" spans="2:25" x14ac:dyDescent="0.3">
      <c r="B750" s="5" t="s">
        <v>25</v>
      </c>
      <c r="C750" s="5" t="str">
        <f>VLOOKUP(B750,[1]물질정보!B:C,2,0)</f>
        <v>97-88-1</v>
      </c>
      <c r="D750" t="str">
        <f>VLOOKUP(B750,[1]물질정보!B:D,3,0)</f>
        <v>butyl methacrylate</v>
      </c>
      <c r="E750" t="str">
        <f>VLOOKUP(B750,[1]물질정보!B:E,4,0)</f>
        <v>C8H14O2</v>
      </c>
      <c r="F750" t="str">
        <f>VLOOKUP(B750,[1]물질정보!B:F,5,0)</f>
        <v>142.2 g/mol</v>
      </c>
      <c r="G750" s="5" t="str">
        <f>VLOOKUP(B750,[1]물질정보!B:G,6,0)</f>
        <v>CCCCOC(=O)C(=C)C</v>
      </c>
      <c r="H750" t="s">
        <v>26</v>
      </c>
      <c r="I750" t="s">
        <v>45</v>
      </c>
      <c r="J750" t="s">
        <v>28</v>
      </c>
      <c r="K750">
        <v>25.4</v>
      </c>
      <c r="L750" t="s">
        <v>39</v>
      </c>
      <c r="M750" t="s">
        <v>277</v>
      </c>
      <c r="N750" t="s">
        <v>29</v>
      </c>
      <c r="O750" t="s">
        <v>29</v>
      </c>
      <c r="P750">
        <v>48</v>
      </c>
      <c r="Q750" t="s">
        <v>31</v>
      </c>
      <c r="R750" t="s">
        <v>159</v>
      </c>
      <c r="S750" t="s">
        <v>29</v>
      </c>
      <c r="T750" t="s">
        <v>29</v>
      </c>
      <c r="U750" t="s">
        <v>29</v>
      </c>
      <c r="V750" s="6" t="s">
        <v>168</v>
      </c>
      <c r="W750" t="s">
        <v>47</v>
      </c>
      <c r="X750" t="s">
        <v>48</v>
      </c>
      <c r="Y750" s="6" t="s">
        <v>28</v>
      </c>
    </row>
    <row r="751" spans="2:25" x14ac:dyDescent="0.3">
      <c r="B751" s="5" t="s">
        <v>25</v>
      </c>
      <c r="C751" s="5" t="str">
        <f>VLOOKUP(B751,[1]물질정보!B:C,2,0)</f>
        <v>97-88-1</v>
      </c>
      <c r="D751" t="str">
        <f>VLOOKUP(B751,[1]물질정보!B:D,3,0)</f>
        <v>butyl methacrylate</v>
      </c>
      <c r="E751" t="str">
        <f>VLOOKUP(B751,[1]물질정보!B:E,4,0)</f>
        <v>C8H14O2</v>
      </c>
      <c r="F751" t="str">
        <f>VLOOKUP(B751,[1]물질정보!B:F,5,0)</f>
        <v>142.2 g/mol</v>
      </c>
      <c r="G751" s="5" t="str">
        <f>VLOOKUP(B751,[1]물질정보!B:G,6,0)</f>
        <v>CCCCOC(=O)C(=C)C</v>
      </c>
      <c r="H751" t="s">
        <v>26</v>
      </c>
      <c r="I751" t="s">
        <v>45</v>
      </c>
      <c r="J751" t="s">
        <v>28</v>
      </c>
      <c r="K751">
        <v>25.4</v>
      </c>
      <c r="L751" t="s">
        <v>39</v>
      </c>
      <c r="M751" t="s">
        <v>277</v>
      </c>
      <c r="N751" t="s">
        <v>29</v>
      </c>
      <c r="O751" t="s">
        <v>29</v>
      </c>
      <c r="P751">
        <v>48</v>
      </c>
      <c r="Q751" t="s">
        <v>31</v>
      </c>
      <c r="R751" t="s">
        <v>159</v>
      </c>
      <c r="S751" t="s">
        <v>29</v>
      </c>
      <c r="T751" t="s">
        <v>29</v>
      </c>
      <c r="U751" t="s">
        <v>29</v>
      </c>
      <c r="V751" s="6" t="s">
        <v>169</v>
      </c>
      <c r="W751" t="s">
        <v>47</v>
      </c>
      <c r="X751" t="s">
        <v>48</v>
      </c>
      <c r="Y751" s="6" t="s">
        <v>28</v>
      </c>
    </row>
    <row r="752" spans="2:25" x14ac:dyDescent="0.3">
      <c r="B752" s="5" t="s">
        <v>77</v>
      </c>
      <c r="C752" s="5" t="str">
        <f>VLOOKUP(B752,[1]물질정보!B:C,2,0)</f>
        <v>140-88-5</v>
      </c>
      <c r="D752" t="str">
        <f>VLOOKUP(B752,[1]물질정보!B:D,3,0)</f>
        <v>ethyl acrylate</v>
      </c>
      <c r="E752" t="str">
        <f>VLOOKUP(B752,[1]물질정보!B:E,4,0)</f>
        <v>C5H8O2</v>
      </c>
      <c r="F752" t="str">
        <f>VLOOKUP(B752,[1]물질정보!B:F,5,0)</f>
        <v>100.12 g/mol</v>
      </c>
      <c r="G752" s="5" t="str">
        <f>VLOOKUP(B752,[1]물질정보!B:G,6,0)</f>
        <v>CCOC(=O)C=C</v>
      </c>
      <c r="H752" t="s">
        <v>26</v>
      </c>
      <c r="I752" t="s">
        <v>45</v>
      </c>
      <c r="J752" t="s">
        <v>241</v>
      </c>
      <c r="K752">
        <v>3.4</v>
      </c>
      <c r="L752" t="s">
        <v>39</v>
      </c>
      <c r="M752" t="s">
        <v>47</v>
      </c>
      <c r="N752" t="s">
        <v>29</v>
      </c>
      <c r="O752" t="s">
        <v>29</v>
      </c>
      <c r="P752">
        <v>48</v>
      </c>
      <c r="Q752" t="s">
        <v>31</v>
      </c>
      <c r="R752" t="s">
        <v>159</v>
      </c>
      <c r="S752" t="s">
        <v>276</v>
      </c>
      <c r="T752" t="s">
        <v>29</v>
      </c>
      <c r="U752" t="s">
        <v>29</v>
      </c>
      <c r="V752" s="6" t="s">
        <v>160</v>
      </c>
      <c r="W752" t="s">
        <v>47</v>
      </c>
      <c r="X752" t="s">
        <v>48</v>
      </c>
      <c r="Y752" s="6" t="s">
        <v>241</v>
      </c>
    </row>
    <row r="753" spans="2:25" x14ac:dyDescent="0.3">
      <c r="B753" s="5" t="s">
        <v>77</v>
      </c>
      <c r="C753" s="5" t="str">
        <f>VLOOKUP(B753,[1]물질정보!B:C,2,0)</f>
        <v>140-88-5</v>
      </c>
      <c r="D753" t="str">
        <f>VLOOKUP(B753,[1]물질정보!B:D,3,0)</f>
        <v>ethyl acrylate</v>
      </c>
      <c r="E753" t="str">
        <f>VLOOKUP(B753,[1]물질정보!B:E,4,0)</f>
        <v>C5H8O2</v>
      </c>
      <c r="F753" t="str">
        <f>VLOOKUP(B753,[1]물질정보!B:F,5,0)</f>
        <v>100.12 g/mol</v>
      </c>
      <c r="G753" s="5" t="str">
        <f>VLOOKUP(B753,[1]물질정보!B:G,6,0)</f>
        <v>CCOC(=O)C=C</v>
      </c>
      <c r="H753" t="s">
        <v>26</v>
      </c>
      <c r="I753" t="s">
        <v>45</v>
      </c>
      <c r="J753" t="s">
        <v>28</v>
      </c>
      <c r="K753">
        <v>7.9</v>
      </c>
      <c r="L753" t="s">
        <v>39</v>
      </c>
      <c r="M753" t="s">
        <v>47</v>
      </c>
      <c r="N753" t="s">
        <v>29</v>
      </c>
      <c r="O753" t="s">
        <v>29</v>
      </c>
      <c r="P753">
        <v>48</v>
      </c>
      <c r="Q753" t="s">
        <v>31</v>
      </c>
      <c r="R753" t="s">
        <v>159</v>
      </c>
      <c r="S753" t="s">
        <v>276</v>
      </c>
      <c r="T753" t="s">
        <v>29</v>
      </c>
      <c r="U753" t="s">
        <v>29</v>
      </c>
      <c r="V753" s="6" t="s">
        <v>160</v>
      </c>
      <c r="W753" t="s">
        <v>47</v>
      </c>
      <c r="X753" t="s">
        <v>48</v>
      </c>
      <c r="Y753" s="6" t="s">
        <v>28</v>
      </c>
    </row>
    <row r="754" spans="2:25" x14ac:dyDescent="0.3">
      <c r="B754" s="5" t="s">
        <v>77</v>
      </c>
      <c r="C754" s="5" t="str">
        <f>VLOOKUP(B754,[1]물질정보!B:C,2,0)</f>
        <v>140-88-5</v>
      </c>
      <c r="D754" t="str">
        <f>VLOOKUP(B754,[1]물질정보!B:D,3,0)</f>
        <v>ethyl acrylate</v>
      </c>
      <c r="E754" t="str">
        <f>VLOOKUP(B754,[1]물질정보!B:E,4,0)</f>
        <v>C5H8O2</v>
      </c>
      <c r="F754" t="str">
        <f>VLOOKUP(B754,[1]물질정보!B:F,5,0)</f>
        <v>100.12 g/mol</v>
      </c>
      <c r="G754" s="5" t="str">
        <f>VLOOKUP(B754,[1]물질정보!B:G,6,0)</f>
        <v>CCOC(=O)C=C</v>
      </c>
      <c r="H754" t="s">
        <v>26</v>
      </c>
      <c r="I754" t="s">
        <v>45</v>
      </c>
      <c r="J754" t="s">
        <v>28</v>
      </c>
      <c r="K754">
        <v>4.41</v>
      </c>
      <c r="L754" t="s">
        <v>39</v>
      </c>
      <c r="M754" t="s">
        <v>47</v>
      </c>
      <c r="N754" t="s">
        <v>29</v>
      </c>
      <c r="O754" t="s">
        <v>29</v>
      </c>
      <c r="P754">
        <v>48</v>
      </c>
      <c r="Q754" t="s">
        <v>31</v>
      </c>
      <c r="R754" t="s">
        <v>159</v>
      </c>
      <c r="S754" t="s">
        <v>278</v>
      </c>
      <c r="T754" t="s">
        <v>29</v>
      </c>
      <c r="U754" t="s">
        <v>29</v>
      </c>
      <c r="V754" s="6" t="s">
        <v>160</v>
      </c>
      <c r="W754" t="s">
        <v>47</v>
      </c>
      <c r="X754" t="s">
        <v>48</v>
      </c>
      <c r="Y754" s="6" t="s">
        <v>28</v>
      </c>
    </row>
    <row r="755" spans="2:25" x14ac:dyDescent="0.3">
      <c r="B755" s="5" t="s">
        <v>77</v>
      </c>
      <c r="C755" s="5" t="str">
        <f>VLOOKUP(B755,[1]물질정보!B:C,2,0)</f>
        <v>140-88-5</v>
      </c>
      <c r="D755" t="str">
        <f>VLOOKUP(B755,[1]물질정보!B:D,3,0)</f>
        <v>ethyl acrylate</v>
      </c>
      <c r="E755" t="str">
        <f>VLOOKUP(B755,[1]물질정보!B:E,4,0)</f>
        <v>C5H8O2</v>
      </c>
      <c r="F755" t="str">
        <f>VLOOKUP(B755,[1]물질정보!B:F,5,0)</f>
        <v>100.12 g/mol</v>
      </c>
      <c r="G755" s="5" t="str">
        <f>VLOOKUP(B755,[1]물질정보!B:G,6,0)</f>
        <v>CCOC(=O)C=C</v>
      </c>
      <c r="H755" t="s">
        <v>26</v>
      </c>
      <c r="I755" t="s">
        <v>45</v>
      </c>
      <c r="J755" t="s">
        <v>279</v>
      </c>
      <c r="K755">
        <v>3.12</v>
      </c>
      <c r="L755" t="s">
        <v>39</v>
      </c>
      <c r="M755" t="s">
        <v>47</v>
      </c>
      <c r="N755" t="s">
        <v>29</v>
      </c>
      <c r="O755" t="s">
        <v>29</v>
      </c>
      <c r="P755">
        <v>48</v>
      </c>
      <c r="Q755" t="s">
        <v>31</v>
      </c>
      <c r="R755" t="s">
        <v>159</v>
      </c>
      <c r="S755" t="s">
        <v>278</v>
      </c>
      <c r="T755" t="s">
        <v>29</v>
      </c>
      <c r="U755" t="s">
        <v>29</v>
      </c>
      <c r="V755" s="6" t="s">
        <v>160</v>
      </c>
      <c r="W755" t="s">
        <v>47</v>
      </c>
      <c r="X755" t="s">
        <v>48</v>
      </c>
      <c r="Y755" s="6" t="s">
        <v>279</v>
      </c>
    </row>
    <row r="756" spans="2:25" x14ac:dyDescent="0.3">
      <c r="B756" s="5" t="s">
        <v>77</v>
      </c>
      <c r="C756" s="5" t="str">
        <f>VLOOKUP(B756,[1]물질정보!B:C,2,0)</f>
        <v>140-88-5</v>
      </c>
      <c r="D756" t="str">
        <f>VLOOKUP(B756,[1]물질정보!B:D,3,0)</f>
        <v>ethyl acrylate</v>
      </c>
      <c r="E756" t="str">
        <f>VLOOKUP(B756,[1]물질정보!B:E,4,0)</f>
        <v>C5H8O2</v>
      </c>
      <c r="F756" t="str">
        <f>VLOOKUP(B756,[1]물질정보!B:F,5,0)</f>
        <v>100.12 g/mol</v>
      </c>
      <c r="G756" s="5" t="str">
        <f>VLOOKUP(B756,[1]물질정보!B:G,6,0)</f>
        <v>CCOC(=O)C=C</v>
      </c>
      <c r="H756" t="s">
        <v>26</v>
      </c>
      <c r="I756" t="s">
        <v>45</v>
      </c>
      <c r="J756" t="s">
        <v>275</v>
      </c>
      <c r="K756">
        <v>6.25</v>
      </c>
      <c r="L756" t="s">
        <v>39</v>
      </c>
      <c r="M756" t="s">
        <v>47</v>
      </c>
      <c r="N756" t="s">
        <v>29</v>
      </c>
      <c r="O756" t="s">
        <v>29</v>
      </c>
      <c r="P756">
        <v>48</v>
      </c>
      <c r="Q756" t="s">
        <v>31</v>
      </c>
      <c r="R756" t="s">
        <v>159</v>
      </c>
      <c r="S756" t="s">
        <v>278</v>
      </c>
      <c r="T756" t="s">
        <v>29</v>
      </c>
      <c r="U756" t="s">
        <v>29</v>
      </c>
      <c r="V756" s="6" t="s">
        <v>160</v>
      </c>
      <c r="W756" t="s">
        <v>47</v>
      </c>
      <c r="X756" t="s">
        <v>48</v>
      </c>
      <c r="Y756" s="6" t="s">
        <v>275</v>
      </c>
    </row>
    <row r="757" spans="2:25" x14ac:dyDescent="0.3">
      <c r="B757" s="5" t="s">
        <v>77</v>
      </c>
      <c r="C757" s="5" t="str">
        <f>VLOOKUP(B757,[1]물질정보!B:C,2,0)</f>
        <v>140-88-5</v>
      </c>
      <c r="D757" t="str">
        <f>VLOOKUP(B757,[1]물질정보!B:D,3,0)</f>
        <v>ethyl acrylate</v>
      </c>
      <c r="E757" t="str">
        <f>VLOOKUP(B757,[1]물질정보!B:E,4,0)</f>
        <v>C5H8O2</v>
      </c>
      <c r="F757" t="str">
        <f>VLOOKUP(B757,[1]물질정보!B:F,5,0)</f>
        <v>100.12 g/mol</v>
      </c>
      <c r="G757" s="5" t="str">
        <f>VLOOKUP(B757,[1]물질정보!B:G,6,0)</f>
        <v>CCOC(=O)C=C</v>
      </c>
      <c r="H757" t="s">
        <v>26</v>
      </c>
      <c r="I757" t="s">
        <v>45</v>
      </c>
      <c r="J757" t="s">
        <v>28</v>
      </c>
      <c r="K757">
        <v>3.6</v>
      </c>
      <c r="L757" t="s">
        <v>39</v>
      </c>
      <c r="M757" t="s">
        <v>277</v>
      </c>
      <c r="N757" t="s">
        <v>29</v>
      </c>
      <c r="O757" t="s">
        <v>29</v>
      </c>
      <c r="P757">
        <v>48</v>
      </c>
      <c r="Q757" t="s">
        <v>31</v>
      </c>
      <c r="R757" t="s">
        <v>159</v>
      </c>
      <c r="S757" t="s">
        <v>29</v>
      </c>
      <c r="T757" t="s">
        <v>29</v>
      </c>
      <c r="U757" t="s">
        <v>29</v>
      </c>
      <c r="V757" s="6" t="s">
        <v>168</v>
      </c>
      <c r="W757" t="s">
        <v>47</v>
      </c>
      <c r="X757" t="s">
        <v>48</v>
      </c>
      <c r="Y757" s="6" t="s">
        <v>28</v>
      </c>
    </row>
    <row r="758" spans="2:25" x14ac:dyDescent="0.3">
      <c r="B758" s="5" t="s">
        <v>77</v>
      </c>
      <c r="C758" s="5" t="str">
        <f>VLOOKUP(B758,[1]물질정보!B:C,2,0)</f>
        <v>140-88-5</v>
      </c>
      <c r="D758" t="str">
        <f>VLOOKUP(B758,[1]물질정보!B:D,3,0)</f>
        <v>ethyl acrylate</v>
      </c>
      <c r="E758" t="str">
        <f>VLOOKUP(B758,[1]물질정보!B:E,4,0)</f>
        <v>C5H8O2</v>
      </c>
      <c r="F758" t="str">
        <f>VLOOKUP(B758,[1]물질정보!B:F,5,0)</f>
        <v>100.12 g/mol</v>
      </c>
      <c r="G758" s="5" t="str">
        <f>VLOOKUP(B758,[1]물질정보!B:G,6,0)</f>
        <v>CCOC(=O)C=C</v>
      </c>
      <c r="H758" t="s">
        <v>26</v>
      </c>
      <c r="I758" t="s">
        <v>45</v>
      </c>
      <c r="J758" t="s">
        <v>28</v>
      </c>
      <c r="K758">
        <v>7.9</v>
      </c>
      <c r="L758" t="s">
        <v>39</v>
      </c>
      <c r="M758" t="s">
        <v>277</v>
      </c>
      <c r="N758" t="s">
        <v>29</v>
      </c>
      <c r="O758" t="s">
        <v>29</v>
      </c>
      <c r="P758">
        <v>48</v>
      </c>
      <c r="Q758" t="s">
        <v>31</v>
      </c>
      <c r="R758" t="s">
        <v>159</v>
      </c>
      <c r="S758" t="s">
        <v>29</v>
      </c>
      <c r="T758" t="s">
        <v>29</v>
      </c>
      <c r="U758" t="s">
        <v>29</v>
      </c>
      <c r="V758" s="6" t="s">
        <v>168</v>
      </c>
      <c r="W758" t="s">
        <v>47</v>
      </c>
      <c r="X758" t="s">
        <v>48</v>
      </c>
      <c r="Y758" s="6" t="s">
        <v>28</v>
      </c>
    </row>
    <row r="759" spans="2:25" x14ac:dyDescent="0.3">
      <c r="B759" s="5" t="s">
        <v>77</v>
      </c>
      <c r="C759" s="5" t="str">
        <f>VLOOKUP(B759,[1]물질정보!B:C,2,0)</f>
        <v>140-88-5</v>
      </c>
      <c r="D759" t="str">
        <f>VLOOKUP(B759,[1]물질정보!B:D,3,0)</f>
        <v>ethyl acrylate</v>
      </c>
      <c r="E759" t="str">
        <f>VLOOKUP(B759,[1]물질정보!B:E,4,0)</f>
        <v>C5H8O2</v>
      </c>
      <c r="F759" t="str">
        <f>VLOOKUP(B759,[1]물질정보!B:F,5,0)</f>
        <v>100.12 g/mol</v>
      </c>
      <c r="G759" s="5" t="str">
        <f>VLOOKUP(B759,[1]물질정보!B:G,6,0)</f>
        <v>CCOC(=O)C=C</v>
      </c>
      <c r="H759" t="s">
        <v>26</v>
      </c>
      <c r="I759" t="s">
        <v>45</v>
      </c>
      <c r="J759" t="s">
        <v>28</v>
      </c>
      <c r="K759">
        <v>3.6</v>
      </c>
      <c r="L759" t="s">
        <v>39</v>
      </c>
      <c r="M759" t="s">
        <v>277</v>
      </c>
      <c r="N759" t="s">
        <v>29</v>
      </c>
      <c r="O759" t="s">
        <v>29</v>
      </c>
      <c r="P759">
        <v>48</v>
      </c>
      <c r="Q759" t="s">
        <v>31</v>
      </c>
      <c r="R759" t="s">
        <v>159</v>
      </c>
      <c r="S759" t="s">
        <v>29</v>
      </c>
      <c r="T759" t="s">
        <v>29</v>
      </c>
      <c r="U759" t="s">
        <v>29</v>
      </c>
      <c r="V759" s="6" t="s">
        <v>169</v>
      </c>
      <c r="W759" t="s">
        <v>47</v>
      </c>
      <c r="X759" t="s">
        <v>48</v>
      </c>
      <c r="Y759" s="6" t="s">
        <v>28</v>
      </c>
    </row>
    <row r="760" spans="2:25" x14ac:dyDescent="0.3">
      <c r="B760" s="5" t="s">
        <v>77</v>
      </c>
      <c r="C760" s="5" t="str">
        <f>VLOOKUP(B760,[1]물질정보!B:C,2,0)</f>
        <v>140-88-5</v>
      </c>
      <c r="D760" t="str">
        <f>VLOOKUP(B760,[1]물질정보!B:D,3,0)</f>
        <v>ethyl acrylate</v>
      </c>
      <c r="E760" t="str">
        <f>VLOOKUP(B760,[1]물질정보!B:E,4,0)</f>
        <v>C5H8O2</v>
      </c>
      <c r="F760" t="str">
        <f>VLOOKUP(B760,[1]물질정보!B:F,5,0)</f>
        <v>100.12 g/mol</v>
      </c>
      <c r="G760" s="5" t="str">
        <f>VLOOKUP(B760,[1]물질정보!B:G,6,0)</f>
        <v>CCOC(=O)C=C</v>
      </c>
      <c r="H760" t="s">
        <v>26</v>
      </c>
      <c r="I760" t="s">
        <v>45</v>
      </c>
      <c r="J760" t="s">
        <v>28</v>
      </c>
      <c r="K760">
        <v>7.9</v>
      </c>
      <c r="L760" t="s">
        <v>39</v>
      </c>
      <c r="M760" t="s">
        <v>277</v>
      </c>
      <c r="N760" t="s">
        <v>29</v>
      </c>
      <c r="O760" t="s">
        <v>29</v>
      </c>
      <c r="P760">
        <v>48</v>
      </c>
      <c r="Q760" t="s">
        <v>31</v>
      </c>
      <c r="R760" t="s">
        <v>159</v>
      </c>
      <c r="S760" t="s">
        <v>29</v>
      </c>
      <c r="T760" t="s">
        <v>29</v>
      </c>
      <c r="U760" t="s">
        <v>29</v>
      </c>
      <c r="V760" s="6" t="s">
        <v>169</v>
      </c>
      <c r="W760" t="s">
        <v>47</v>
      </c>
      <c r="X760" t="s">
        <v>48</v>
      </c>
      <c r="Y760" s="6" t="s">
        <v>28</v>
      </c>
    </row>
    <row r="761" spans="2:25" x14ac:dyDescent="0.3">
      <c r="B761" s="5" t="s">
        <v>67</v>
      </c>
      <c r="C761" s="5" t="str">
        <f>VLOOKUP(B761,[1]물질정보!B:C,2,0)</f>
        <v>818-61-1</v>
      </c>
      <c r="D761" t="str">
        <f>VLOOKUP(B761,[1]물질정보!B:D,3,0)</f>
        <v>2-hydroxyethyl acrylate</v>
      </c>
      <c r="E761" t="str">
        <f>VLOOKUP(B761,[1]물질정보!B:E,4,0)</f>
        <v>C5H8O3</v>
      </c>
      <c r="F761" t="str">
        <f>VLOOKUP(B761,[1]물질정보!B:F,5,0)</f>
        <v>116.11 g/mol</v>
      </c>
      <c r="G761" s="5" t="str">
        <f>VLOOKUP(B761,[1]물질정보!B:G,6,0)</f>
        <v>C=CC(=O)OCCO</v>
      </c>
      <c r="H761" t="s">
        <v>26</v>
      </c>
      <c r="I761" t="s">
        <v>45</v>
      </c>
      <c r="J761" t="s">
        <v>49</v>
      </c>
      <c r="K761">
        <v>5.2</v>
      </c>
      <c r="L761" t="s">
        <v>39</v>
      </c>
      <c r="M761" t="s">
        <v>47</v>
      </c>
      <c r="N761" t="s">
        <v>29</v>
      </c>
      <c r="O761" t="s">
        <v>29</v>
      </c>
      <c r="P761">
        <v>48</v>
      </c>
      <c r="Q761" t="s">
        <v>31</v>
      </c>
      <c r="R761" t="s">
        <v>159</v>
      </c>
      <c r="S761" t="s">
        <v>273</v>
      </c>
      <c r="T761" t="s">
        <v>29</v>
      </c>
      <c r="U761" t="s">
        <v>29</v>
      </c>
      <c r="V761" s="6" t="s">
        <v>160</v>
      </c>
      <c r="W761" t="s">
        <v>47</v>
      </c>
      <c r="X761" t="s">
        <v>48</v>
      </c>
      <c r="Y761" s="6" t="s">
        <v>49</v>
      </c>
    </row>
    <row r="762" spans="2:25" x14ac:dyDescent="0.3">
      <c r="B762" s="5" t="s">
        <v>67</v>
      </c>
      <c r="C762" s="5" t="str">
        <f>VLOOKUP(B762,[1]물질정보!B:C,2,0)</f>
        <v>818-61-1</v>
      </c>
      <c r="D762" t="str">
        <f>VLOOKUP(B762,[1]물질정보!B:D,3,0)</f>
        <v>2-hydroxyethyl acrylate</v>
      </c>
      <c r="E762" t="str">
        <f>VLOOKUP(B762,[1]물질정보!B:E,4,0)</f>
        <v>C5H8O3</v>
      </c>
      <c r="F762" t="str">
        <f>VLOOKUP(B762,[1]물질정보!B:F,5,0)</f>
        <v>116.11 g/mol</v>
      </c>
      <c r="G762" s="5" t="str">
        <f>VLOOKUP(B762,[1]물질정보!B:G,6,0)</f>
        <v>C=CC(=O)OCCO</v>
      </c>
      <c r="H762" t="s">
        <v>26</v>
      </c>
      <c r="I762" t="s">
        <v>45</v>
      </c>
      <c r="J762" t="s">
        <v>28</v>
      </c>
      <c r="K762">
        <v>24</v>
      </c>
      <c r="L762" t="s">
        <v>39</v>
      </c>
      <c r="M762" t="s">
        <v>47</v>
      </c>
      <c r="N762" t="s">
        <v>29</v>
      </c>
      <c r="O762" t="s">
        <v>29</v>
      </c>
      <c r="P762">
        <v>48</v>
      </c>
      <c r="Q762" t="s">
        <v>31</v>
      </c>
      <c r="R762" t="s">
        <v>159</v>
      </c>
      <c r="S762" t="s">
        <v>273</v>
      </c>
      <c r="T762" t="s">
        <v>29</v>
      </c>
      <c r="U762" t="s">
        <v>29</v>
      </c>
      <c r="V762" s="6" t="s">
        <v>160</v>
      </c>
      <c r="W762" t="s">
        <v>47</v>
      </c>
      <c r="X762" t="s">
        <v>48</v>
      </c>
      <c r="Y762" s="6" t="s">
        <v>28</v>
      </c>
    </row>
    <row r="763" spans="2:25" x14ac:dyDescent="0.3">
      <c r="B763" s="5" t="s">
        <v>67</v>
      </c>
      <c r="C763" s="5" t="str">
        <f>VLOOKUP(B763,[1]물질정보!B:C,2,0)</f>
        <v>818-61-1</v>
      </c>
      <c r="D763" t="str">
        <f>VLOOKUP(B763,[1]물질정보!B:D,3,0)</f>
        <v>2-hydroxyethyl acrylate</v>
      </c>
      <c r="E763" t="str">
        <f>VLOOKUP(B763,[1]물질정보!B:E,4,0)</f>
        <v>C5H8O3</v>
      </c>
      <c r="F763" t="str">
        <f>VLOOKUP(B763,[1]물질정보!B:F,5,0)</f>
        <v>116.11 g/mol</v>
      </c>
      <c r="G763" s="5" t="str">
        <f>VLOOKUP(B763,[1]물질정보!B:G,6,0)</f>
        <v>C=CC(=O)OCCO</v>
      </c>
      <c r="H763" t="s">
        <v>26</v>
      </c>
      <c r="I763" t="s">
        <v>45</v>
      </c>
      <c r="J763" t="s">
        <v>279</v>
      </c>
      <c r="K763">
        <v>10</v>
      </c>
      <c r="L763" t="s">
        <v>39</v>
      </c>
      <c r="M763" t="s">
        <v>47</v>
      </c>
      <c r="N763" t="s">
        <v>29</v>
      </c>
      <c r="O763" t="s">
        <v>29</v>
      </c>
      <c r="P763">
        <v>48</v>
      </c>
      <c r="Q763" t="s">
        <v>31</v>
      </c>
      <c r="R763" t="s">
        <v>159</v>
      </c>
      <c r="S763" t="s">
        <v>273</v>
      </c>
      <c r="T763" t="s">
        <v>29</v>
      </c>
      <c r="U763" t="s">
        <v>29</v>
      </c>
      <c r="V763" s="6" t="s">
        <v>160</v>
      </c>
      <c r="W763" t="s">
        <v>47</v>
      </c>
      <c r="X763" t="s">
        <v>48</v>
      </c>
      <c r="Y763" s="6" t="s">
        <v>279</v>
      </c>
    </row>
    <row r="764" spans="2:25" x14ac:dyDescent="0.3">
      <c r="B764" s="5" t="s">
        <v>67</v>
      </c>
      <c r="C764" s="5" t="str">
        <f>VLOOKUP(B764,[1]물질정보!B:C,2,0)</f>
        <v>818-61-1</v>
      </c>
      <c r="D764" t="str">
        <f>VLOOKUP(B764,[1]물질정보!B:D,3,0)</f>
        <v>2-hydroxyethyl acrylate</v>
      </c>
      <c r="E764" t="str">
        <f>VLOOKUP(B764,[1]물질정보!B:E,4,0)</f>
        <v>C5H8O3</v>
      </c>
      <c r="F764" t="str">
        <f>VLOOKUP(B764,[1]물질정보!B:F,5,0)</f>
        <v>116.11 g/mol</v>
      </c>
      <c r="G764" s="5" t="str">
        <f>VLOOKUP(B764,[1]물질정보!B:G,6,0)</f>
        <v>C=CC(=O)OCCO</v>
      </c>
      <c r="H764" t="s">
        <v>26</v>
      </c>
      <c r="I764" t="s">
        <v>45</v>
      </c>
      <c r="J764" t="s">
        <v>275</v>
      </c>
      <c r="K764">
        <v>56</v>
      </c>
      <c r="L764" t="s">
        <v>39</v>
      </c>
      <c r="M764" t="s">
        <v>47</v>
      </c>
      <c r="N764" t="s">
        <v>29</v>
      </c>
      <c r="O764" t="s">
        <v>29</v>
      </c>
      <c r="P764">
        <v>48</v>
      </c>
      <c r="Q764" t="s">
        <v>31</v>
      </c>
      <c r="R764" t="s">
        <v>159</v>
      </c>
      <c r="S764" t="s">
        <v>273</v>
      </c>
      <c r="T764" t="s">
        <v>29</v>
      </c>
      <c r="U764" t="s">
        <v>29</v>
      </c>
      <c r="V764" s="6" t="s">
        <v>160</v>
      </c>
      <c r="W764" t="s">
        <v>47</v>
      </c>
      <c r="X764" t="s">
        <v>48</v>
      </c>
      <c r="Y764" s="6" t="s">
        <v>275</v>
      </c>
    </row>
    <row r="765" spans="2:25" x14ac:dyDescent="0.3">
      <c r="B765" s="5" t="s">
        <v>67</v>
      </c>
      <c r="C765" s="5" t="str">
        <f>VLOOKUP(B765,[1]물질정보!B:C,2,0)</f>
        <v>818-61-1</v>
      </c>
      <c r="D765" t="str">
        <f>VLOOKUP(B765,[1]물질정보!B:D,3,0)</f>
        <v>2-hydroxyethyl acrylate</v>
      </c>
      <c r="E765" t="str">
        <f>VLOOKUP(B765,[1]물질정보!B:E,4,0)</f>
        <v>C5H8O3</v>
      </c>
      <c r="F765" t="str">
        <f>VLOOKUP(B765,[1]물질정보!B:F,5,0)</f>
        <v>116.11 g/mol</v>
      </c>
      <c r="G765" s="5" t="str">
        <f>VLOOKUP(B765,[1]물질정보!B:G,6,0)</f>
        <v>C=CC(=O)OCCO</v>
      </c>
      <c r="H765" t="s">
        <v>26</v>
      </c>
      <c r="I765" t="s">
        <v>45</v>
      </c>
      <c r="J765" t="s">
        <v>241</v>
      </c>
      <c r="K765">
        <v>10</v>
      </c>
      <c r="L765" t="s">
        <v>39</v>
      </c>
      <c r="M765" t="s">
        <v>47</v>
      </c>
      <c r="N765" t="s">
        <v>29</v>
      </c>
      <c r="O765" t="s">
        <v>29</v>
      </c>
      <c r="P765">
        <v>48</v>
      </c>
      <c r="Q765" t="s">
        <v>31</v>
      </c>
      <c r="R765" t="s">
        <v>159</v>
      </c>
      <c r="S765" t="s">
        <v>273</v>
      </c>
      <c r="T765" t="s">
        <v>29</v>
      </c>
      <c r="U765" t="s">
        <v>29</v>
      </c>
      <c r="V765" s="6" t="s">
        <v>160</v>
      </c>
      <c r="W765" t="s">
        <v>47</v>
      </c>
      <c r="X765" t="s">
        <v>48</v>
      </c>
      <c r="Y765" s="6" t="s">
        <v>241</v>
      </c>
    </row>
    <row r="766" spans="2:25" x14ac:dyDescent="0.3">
      <c r="B766" s="5" t="s">
        <v>67</v>
      </c>
      <c r="C766" s="5" t="str">
        <f>VLOOKUP(B766,[1]물질정보!B:C,2,0)</f>
        <v>818-61-1</v>
      </c>
      <c r="D766" t="str">
        <f>VLOOKUP(B766,[1]물질정보!B:D,3,0)</f>
        <v>2-hydroxyethyl acrylate</v>
      </c>
      <c r="E766" t="str">
        <f>VLOOKUP(B766,[1]물질정보!B:E,4,0)</f>
        <v>C5H8O3</v>
      </c>
      <c r="F766" t="str">
        <f>VLOOKUP(B766,[1]물질정보!B:F,5,0)</f>
        <v>116.11 g/mol</v>
      </c>
      <c r="G766" s="5" t="str">
        <f>VLOOKUP(B766,[1]물질정보!B:G,6,0)</f>
        <v>C=CC(=O)OCCO</v>
      </c>
      <c r="H766" t="s">
        <v>26</v>
      </c>
      <c r="I766" t="s">
        <v>45</v>
      </c>
      <c r="J766" t="s">
        <v>28</v>
      </c>
      <c r="K766">
        <v>9.3000000000000007</v>
      </c>
      <c r="L766" t="s">
        <v>39</v>
      </c>
      <c r="M766" t="s">
        <v>47</v>
      </c>
      <c r="N766" t="s">
        <v>29</v>
      </c>
      <c r="O766" t="s">
        <v>29</v>
      </c>
      <c r="P766">
        <v>48</v>
      </c>
      <c r="Q766" t="s">
        <v>31</v>
      </c>
      <c r="R766" t="s">
        <v>159</v>
      </c>
      <c r="S766" t="s">
        <v>273</v>
      </c>
      <c r="T766" t="s">
        <v>29</v>
      </c>
      <c r="U766" t="s">
        <v>29</v>
      </c>
      <c r="V766" s="6" t="s">
        <v>160</v>
      </c>
      <c r="W766" t="s">
        <v>47</v>
      </c>
      <c r="X766" t="s">
        <v>48</v>
      </c>
      <c r="Y766" s="6" t="s">
        <v>28</v>
      </c>
    </row>
    <row r="767" spans="2:25" x14ac:dyDescent="0.3">
      <c r="B767" s="5" t="s">
        <v>67</v>
      </c>
      <c r="C767" s="5" t="str">
        <f>VLOOKUP(B767,[1]물질정보!B:C,2,0)</f>
        <v>818-61-1</v>
      </c>
      <c r="D767" t="str">
        <f>VLOOKUP(B767,[1]물질정보!B:D,3,0)</f>
        <v>2-hydroxyethyl acrylate</v>
      </c>
      <c r="E767" t="str">
        <f>VLOOKUP(B767,[1]물질정보!B:E,4,0)</f>
        <v>C5H8O3</v>
      </c>
      <c r="F767" t="str">
        <f>VLOOKUP(B767,[1]물질정보!B:F,5,0)</f>
        <v>116.11 g/mol</v>
      </c>
      <c r="G767" s="5" t="str">
        <f>VLOOKUP(B767,[1]물질정보!B:G,6,0)</f>
        <v>C=CC(=O)OCCO</v>
      </c>
      <c r="H767" t="s">
        <v>26</v>
      </c>
      <c r="I767" t="s">
        <v>45</v>
      </c>
      <c r="J767" t="s">
        <v>28</v>
      </c>
      <c r="K767">
        <v>9.3000000000000007</v>
      </c>
      <c r="L767" t="s">
        <v>39</v>
      </c>
      <c r="M767" t="s">
        <v>47</v>
      </c>
      <c r="N767" t="s">
        <v>29</v>
      </c>
      <c r="O767" t="s">
        <v>29</v>
      </c>
      <c r="P767">
        <v>48</v>
      </c>
      <c r="Q767" t="s">
        <v>31</v>
      </c>
      <c r="R767" t="s">
        <v>159</v>
      </c>
      <c r="S767" t="s">
        <v>280</v>
      </c>
      <c r="T767" t="s">
        <v>29</v>
      </c>
      <c r="U767" t="s">
        <v>29</v>
      </c>
      <c r="V767" s="6" t="s">
        <v>160</v>
      </c>
      <c r="W767" t="s">
        <v>47</v>
      </c>
      <c r="X767" t="s">
        <v>48</v>
      </c>
      <c r="Y767" s="6" t="s">
        <v>28</v>
      </c>
    </row>
    <row r="768" spans="2:25" x14ac:dyDescent="0.3">
      <c r="B768" s="5" t="s">
        <v>67</v>
      </c>
      <c r="C768" s="5" t="str">
        <f>VLOOKUP(B768,[1]물질정보!B:C,2,0)</f>
        <v>818-61-1</v>
      </c>
      <c r="D768" t="str">
        <f>VLOOKUP(B768,[1]물질정보!B:D,3,0)</f>
        <v>2-hydroxyethyl acrylate</v>
      </c>
      <c r="E768" t="str">
        <f>VLOOKUP(B768,[1]물질정보!B:E,4,0)</f>
        <v>C5H8O3</v>
      </c>
      <c r="F768" t="str">
        <f>VLOOKUP(B768,[1]물질정보!B:F,5,0)</f>
        <v>116.11 g/mol</v>
      </c>
      <c r="G768" s="5" t="str">
        <f>VLOOKUP(B768,[1]물질정보!B:G,6,0)</f>
        <v>C=CC(=O)OCCO</v>
      </c>
      <c r="H768" t="s">
        <v>26</v>
      </c>
      <c r="I768" t="s">
        <v>45</v>
      </c>
      <c r="J768" t="s">
        <v>28</v>
      </c>
      <c r="K768">
        <v>9.3000000000000007</v>
      </c>
      <c r="L768" t="s">
        <v>39</v>
      </c>
      <c r="M768" t="s">
        <v>47</v>
      </c>
      <c r="N768" t="s">
        <v>29</v>
      </c>
      <c r="O768" t="s">
        <v>29</v>
      </c>
      <c r="P768">
        <v>48</v>
      </c>
      <c r="Q768" t="s">
        <v>31</v>
      </c>
      <c r="R768" t="s">
        <v>159</v>
      </c>
      <c r="S768" t="s">
        <v>281</v>
      </c>
      <c r="T768" t="s">
        <v>29</v>
      </c>
      <c r="U768" t="s">
        <v>29</v>
      </c>
      <c r="V768" s="6" t="s">
        <v>160</v>
      </c>
      <c r="W768" t="s">
        <v>47</v>
      </c>
      <c r="X768" t="s">
        <v>48</v>
      </c>
      <c r="Y768" s="6" t="s">
        <v>28</v>
      </c>
    </row>
    <row r="769" spans="2:25" x14ac:dyDescent="0.3">
      <c r="B769" s="5" t="s">
        <v>67</v>
      </c>
      <c r="C769" s="5" t="str">
        <f>VLOOKUP(B769,[1]물질정보!B:C,2,0)</f>
        <v>818-61-1</v>
      </c>
      <c r="D769" t="str">
        <f>VLOOKUP(B769,[1]물질정보!B:D,3,0)</f>
        <v>2-hydroxyethyl acrylate</v>
      </c>
      <c r="E769" t="str">
        <f>VLOOKUP(B769,[1]물질정보!B:E,4,0)</f>
        <v>C5H8O3</v>
      </c>
      <c r="F769" t="str">
        <f>VLOOKUP(B769,[1]물질정보!B:F,5,0)</f>
        <v>116.11 g/mol</v>
      </c>
      <c r="G769" s="5" t="str">
        <f>VLOOKUP(B769,[1]물질정보!B:G,6,0)</f>
        <v>C=CC(=O)OCCO</v>
      </c>
      <c r="H769" t="s">
        <v>26</v>
      </c>
      <c r="I769" t="s">
        <v>45</v>
      </c>
      <c r="J769" t="s">
        <v>241</v>
      </c>
      <c r="K769">
        <v>3.4</v>
      </c>
      <c r="L769" t="s">
        <v>39</v>
      </c>
      <c r="M769" t="s">
        <v>47</v>
      </c>
      <c r="N769" t="s">
        <v>29</v>
      </c>
      <c r="O769" t="s">
        <v>29</v>
      </c>
      <c r="P769">
        <v>48</v>
      </c>
      <c r="Q769" t="s">
        <v>31</v>
      </c>
      <c r="R769" t="s">
        <v>159</v>
      </c>
      <c r="S769" t="s">
        <v>273</v>
      </c>
      <c r="T769" t="s">
        <v>29</v>
      </c>
      <c r="U769" t="s">
        <v>29</v>
      </c>
      <c r="V769" s="6" t="s">
        <v>160</v>
      </c>
      <c r="W769" t="s">
        <v>47</v>
      </c>
      <c r="X769" t="s">
        <v>48</v>
      </c>
      <c r="Y769" s="6" t="s">
        <v>241</v>
      </c>
    </row>
    <row r="770" spans="2:25" x14ac:dyDescent="0.3">
      <c r="B770" s="5" t="s">
        <v>67</v>
      </c>
      <c r="C770" s="5" t="str">
        <f>VLOOKUP(B770,[1]물질정보!B:C,2,0)</f>
        <v>818-61-1</v>
      </c>
      <c r="D770" t="str">
        <f>VLOOKUP(B770,[1]물질정보!B:D,3,0)</f>
        <v>2-hydroxyethyl acrylate</v>
      </c>
      <c r="E770" t="str">
        <f>VLOOKUP(B770,[1]물질정보!B:E,4,0)</f>
        <v>C5H8O3</v>
      </c>
      <c r="F770" t="str">
        <f>VLOOKUP(B770,[1]물질정보!B:F,5,0)</f>
        <v>116.11 g/mol</v>
      </c>
      <c r="G770" s="5" t="str">
        <f>VLOOKUP(B770,[1]물질정보!B:G,6,0)</f>
        <v>C=CC(=O)OCCO</v>
      </c>
      <c r="H770" t="s">
        <v>26</v>
      </c>
      <c r="I770" t="s">
        <v>45</v>
      </c>
      <c r="J770" t="s">
        <v>241</v>
      </c>
      <c r="K770">
        <v>3.4</v>
      </c>
      <c r="L770" t="s">
        <v>39</v>
      </c>
      <c r="M770" t="s">
        <v>47</v>
      </c>
      <c r="N770" t="s">
        <v>29</v>
      </c>
      <c r="O770" t="s">
        <v>29</v>
      </c>
      <c r="P770">
        <v>48</v>
      </c>
      <c r="Q770" t="s">
        <v>31</v>
      </c>
      <c r="R770" t="s">
        <v>159</v>
      </c>
      <c r="S770" t="s">
        <v>280</v>
      </c>
      <c r="T770" t="s">
        <v>29</v>
      </c>
      <c r="U770" t="s">
        <v>29</v>
      </c>
      <c r="V770" s="6" t="s">
        <v>160</v>
      </c>
      <c r="W770" t="s">
        <v>47</v>
      </c>
      <c r="X770" t="s">
        <v>48</v>
      </c>
      <c r="Y770" s="6" t="s">
        <v>241</v>
      </c>
    </row>
    <row r="771" spans="2:25" x14ac:dyDescent="0.3">
      <c r="B771" s="5" t="s">
        <v>67</v>
      </c>
      <c r="C771" s="5" t="str">
        <f>VLOOKUP(B771,[1]물질정보!B:C,2,0)</f>
        <v>818-61-1</v>
      </c>
      <c r="D771" t="str">
        <f>VLOOKUP(B771,[1]물질정보!B:D,3,0)</f>
        <v>2-hydroxyethyl acrylate</v>
      </c>
      <c r="E771" t="str">
        <f>VLOOKUP(B771,[1]물질정보!B:E,4,0)</f>
        <v>C5H8O3</v>
      </c>
      <c r="F771" t="str">
        <f>VLOOKUP(B771,[1]물질정보!B:F,5,0)</f>
        <v>116.11 g/mol</v>
      </c>
      <c r="G771" s="5" t="str">
        <f>VLOOKUP(B771,[1]물질정보!B:G,6,0)</f>
        <v>C=CC(=O)OCCO</v>
      </c>
      <c r="H771" t="s">
        <v>26</v>
      </c>
      <c r="I771" t="s">
        <v>45</v>
      </c>
      <c r="J771" t="s">
        <v>241</v>
      </c>
      <c r="K771">
        <v>3.4</v>
      </c>
      <c r="L771" t="s">
        <v>39</v>
      </c>
      <c r="M771" t="s">
        <v>47</v>
      </c>
      <c r="N771" t="s">
        <v>29</v>
      </c>
      <c r="O771" t="s">
        <v>29</v>
      </c>
      <c r="P771">
        <v>48</v>
      </c>
      <c r="Q771" t="s">
        <v>31</v>
      </c>
      <c r="R771" t="s">
        <v>159</v>
      </c>
      <c r="S771" t="s">
        <v>281</v>
      </c>
      <c r="T771" t="s">
        <v>29</v>
      </c>
      <c r="U771" t="s">
        <v>29</v>
      </c>
      <c r="V771" s="6" t="s">
        <v>160</v>
      </c>
      <c r="W771" t="s">
        <v>47</v>
      </c>
      <c r="X771" t="s">
        <v>48</v>
      </c>
      <c r="Y771" s="6" t="s">
        <v>241</v>
      </c>
    </row>
    <row r="772" spans="2:25" x14ac:dyDescent="0.3">
      <c r="B772" s="5" t="s">
        <v>67</v>
      </c>
      <c r="C772" s="5" t="str">
        <f>VLOOKUP(B772,[1]물질정보!B:C,2,0)</f>
        <v>818-61-1</v>
      </c>
      <c r="D772" t="str">
        <f>VLOOKUP(B772,[1]물질정보!B:D,3,0)</f>
        <v>2-hydroxyethyl acrylate</v>
      </c>
      <c r="E772" t="str">
        <f>VLOOKUP(B772,[1]물질정보!B:E,4,0)</f>
        <v>C5H8O3</v>
      </c>
      <c r="F772" t="str">
        <f>VLOOKUP(B772,[1]물질정보!B:F,5,0)</f>
        <v>116.11 g/mol</v>
      </c>
      <c r="G772" s="5" t="str">
        <f>VLOOKUP(B772,[1]물질정보!B:G,6,0)</f>
        <v>C=CC(=O)OCCO</v>
      </c>
      <c r="H772" t="s">
        <v>26</v>
      </c>
      <c r="I772" t="s">
        <v>45</v>
      </c>
      <c r="J772" t="s">
        <v>28</v>
      </c>
      <c r="K772">
        <v>0.78</v>
      </c>
      <c r="L772" t="s">
        <v>39</v>
      </c>
      <c r="M772" t="s">
        <v>274</v>
      </c>
      <c r="N772" t="s">
        <v>29</v>
      </c>
      <c r="O772" t="s">
        <v>29</v>
      </c>
      <c r="P772">
        <v>48</v>
      </c>
      <c r="Q772" t="s">
        <v>31</v>
      </c>
      <c r="R772" t="s">
        <v>159</v>
      </c>
      <c r="S772" t="s">
        <v>282</v>
      </c>
      <c r="T772" t="s">
        <v>29</v>
      </c>
      <c r="U772" t="s">
        <v>29</v>
      </c>
      <c r="V772" s="6" t="s">
        <v>163</v>
      </c>
      <c r="W772" t="s">
        <v>47</v>
      </c>
      <c r="X772" t="s">
        <v>48</v>
      </c>
      <c r="Y772" s="6" t="s">
        <v>28</v>
      </c>
    </row>
    <row r="773" spans="2:25" x14ac:dyDescent="0.3">
      <c r="B773" s="5" t="s">
        <v>67</v>
      </c>
      <c r="C773" s="5" t="str">
        <f>VLOOKUP(B773,[1]물질정보!B:C,2,0)</f>
        <v>818-61-1</v>
      </c>
      <c r="D773" t="str">
        <f>VLOOKUP(B773,[1]물질정보!B:D,3,0)</f>
        <v>2-hydroxyethyl acrylate</v>
      </c>
      <c r="E773" t="str">
        <f>VLOOKUP(B773,[1]물질정보!B:E,4,0)</f>
        <v>C5H8O3</v>
      </c>
      <c r="F773" t="str">
        <f>VLOOKUP(B773,[1]물질정보!B:F,5,0)</f>
        <v>116.11 g/mol</v>
      </c>
      <c r="G773" s="5" t="str">
        <f>VLOOKUP(B773,[1]물질정보!B:G,6,0)</f>
        <v>C=CC(=O)OCCO</v>
      </c>
      <c r="H773" t="s">
        <v>26</v>
      </c>
      <c r="I773" t="s">
        <v>45</v>
      </c>
      <c r="J773" t="s">
        <v>28</v>
      </c>
      <c r="K773">
        <v>0.78</v>
      </c>
      <c r="L773" t="s">
        <v>39</v>
      </c>
      <c r="M773" t="s">
        <v>277</v>
      </c>
      <c r="N773" t="s">
        <v>29</v>
      </c>
      <c r="O773" t="s">
        <v>29</v>
      </c>
      <c r="P773">
        <v>48</v>
      </c>
      <c r="Q773" t="s">
        <v>31</v>
      </c>
      <c r="R773" t="s">
        <v>159</v>
      </c>
      <c r="S773" t="s">
        <v>29</v>
      </c>
      <c r="T773" t="s">
        <v>29</v>
      </c>
      <c r="U773" t="s">
        <v>29</v>
      </c>
      <c r="V773" s="6" t="s">
        <v>168</v>
      </c>
      <c r="W773" t="s">
        <v>47</v>
      </c>
      <c r="X773" t="s">
        <v>48</v>
      </c>
      <c r="Y773" s="6" t="s">
        <v>28</v>
      </c>
    </row>
    <row r="774" spans="2:25" x14ac:dyDescent="0.3">
      <c r="B774" s="5" t="s">
        <v>67</v>
      </c>
      <c r="C774" s="5" t="str">
        <f>VLOOKUP(B774,[1]물질정보!B:C,2,0)</f>
        <v>818-61-1</v>
      </c>
      <c r="D774" t="str">
        <f>VLOOKUP(B774,[1]물질정보!B:D,3,0)</f>
        <v>2-hydroxyethyl acrylate</v>
      </c>
      <c r="E774" t="str">
        <f>VLOOKUP(B774,[1]물질정보!B:E,4,0)</f>
        <v>C5H8O3</v>
      </c>
      <c r="F774" t="str">
        <f>VLOOKUP(B774,[1]물질정보!B:F,5,0)</f>
        <v>116.11 g/mol</v>
      </c>
      <c r="G774" s="5" t="str">
        <f>VLOOKUP(B774,[1]물질정보!B:G,6,0)</f>
        <v>C=CC(=O)OCCO</v>
      </c>
      <c r="H774" t="s">
        <v>26</v>
      </c>
      <c r="I774" t="s">
        <v>45</v>
      </c>
      <c r="J774" t="s">
        <v>28</v>
      </c>
      <c r="K774">
        <v>0.78</v>
      </c>
      <c r="L774" t="s">
        <v>39</v>
      </c>
      <c r="M774" t="s">
        <v>277</v>
      </c>
      <c r="N774" t="s">
        <v>29</v>
      </c>
      <c r="O774" t="s">
        <v>29</v>
      </c>
      <c r="P774">
        <v>48</v>
      </c>
      <c r="Q774" t="s">
        <v>31</v>
      </c>
      <c r="R774" t="s">
        <v>159</v>
      </c>
      <c r="S774" t="s">
        <v>29</v>
      </c>
      <c r="T774" t="s">
        <v>29</v>
      </c>
      <c r="U774" t="s">
        <v>29</v>
      </c>
      <c r="V774" s="6" t="s">
        <v>169</v>
      </c>
      <c r="W774" t="s">
        <v>47</v>
      </c>
      <c r="X774" t="s">
        <v>48</v>
      </c>
      <c r="Y774" s="6" t="s">
        <v>28</v>
      </c>
    </row>
    <row r="775" spans="2:25" x14ac:dyDescent="0.3">
      <c r="B775" s="5" t="s">
        <v>65</v>
      </c>
      <c r="C775" s="5" t="str">
        <f>VLOOKUP(B775,[1]물질정보!B:C,2,0)</f>
        <v>141-32-2</v>
      </c>
      <c r="D775" t="str">
        <f>VLOOKUP(B775,[1]물질정보!B:D,3,0)</f>
        <v>butyl acrylate</v>
      </c>
      <c r="E775" t="str">
        <f>VLOOKUP(B775,[1]물질정보!B:E,4,0)</f>
        <v>C7H12O2</v>
      </c>
      <c r="F775" t="str">
        <f>VLOOKUP(B775,[1]물질정보!B:F,5,0)</f>
        <v>128.169 g/mol</v>
      </c>
      <c r="G775" s="5" t="str">
        <f>VLOOKUP(B775,[1]물질정보!B:G,6,0)</f>
        <v>CCCCOC(=O)C=C</v>
      </c>
      <c r="H775" t="s">
        <v>26</v>
      </c>
      <c r="I775" t="s">
        <v>45</v>
      </c>
      <c r="J775" t="s">
        <v>279</v>
      </c>
      <c r="K775">
        <v>2.4</v>
      </c>
      <c r="L775" t="s">
        <v>39</v>
      </c>
      <c r="M775" t="s">
        <v>47</v>
      </c>
      <c r="N775" t="s">
        <v>29</v>
      </c>
      <c r="O775" t="s">
        <v>29</v>
      </c>
      <c r="P775">
        <v>48</v>
      </c>
      <c r="Q775" t="s">
        <v>31</v>
      </c>
      <c r="R775" t="s">
        <v>159</v>
      </c>
      <c r="S775" t="s">
        <v>276</v>
      </c>
      <c r="T775" t="s">
        <v>29</v>
      </c>
      <c r="U775" t="s">
        <v>29</v>
      </c>
      <c r="V775" s="6" t="s">
        <v>160</v>
      </c>
      <c r="W775" t="s">
        <v>47</v>
      </c>
      <c r="X775" t="s">
        <v>48</v>
      </c>
      <c r="Y775" s="6" t="s">
        <v>279</v>
      </c>
    </row>
    <row r="776" spans="2:25" x14ac:dyDescent="0.3">
      <c r="B776" s="5" t="s">
        <v>65</v>
      </c>
      <c r="C776" s="5" t="str">
        <f>VLOOKUP(B776,[1]물질정보!B:C,2,0)</f>
        <v>141-32-2</v>
      </c>
      <c r="D776" t="str">
        <f>VLOOKUP(B776,[1]물질정보!B:D,3,0)</f>
        <v>butyl acrylate</v>
      </c>
      <c r="E776" t="str">
        <f>VLOOKUP(B776,[1]물질정보!B:E,4,0)</f>
        <v>C7H12O2</v>
      </c>
      <c r="F776" t="str">
        <f>VLOOKUP(B776,[1]물질정보!B:F,5,0)</f>
        <v>128.169 g/mol</v>
      </c>
      <c r="G776" s="5" t="str">
        <f>VLOOKUP(B776,[1]물질정보!B:G,6,0)</f>
        <v>CCCCOC(=O)C=C</v>
      </c>
      <c r="H776" t="s">
        <v>26</v>
      </c>
      <c r="I776" t="s">
        <v>45</v>
      </c>
      <c r="J776" t="s">
        <v>283</v>
      </c>
      <c r="K776">
        <v>4.5999999999999996</v>
      </c>
      <c r="L776" t="s">
        <v>39</v>
      </c>
      <c r="M776" t="s">
        <v>47</v>
      </c>
      <c r="N776" t="s">
        <v>29</v>
      </c>
      <c r="O776" t="s">
        <v>29</v>
      </c>
      <c r="P776">
        <v>48</v>
      </c>
      <c r="Q776" t="s">
        <v>31</v>
      </c>
      <c r="R776" t="s">
        <v>159</v>
      </c>
      <c r="S776" t="s">
        <v>276</v>
      </c>
      <c r="T776" t="s">
        <v>29</v>
      </c>
      <c r="U776" t="s">
        <v>29</v>
      </c>
      <c r="V776" s="6" t="s">
        <v>160</v>
      </c>
      <c r="W776" t="s">
        <v>47</v>
      </c>
      <c r="X776" t="s">
        <v>48</v>
      </c>
      <c r="Y776" s="6" t="s">
        <v>283</v>
      </c>
    </row>
    <row r="777" spans="2:25" x14ac:dyDescent="0.3">
      <c r="B777" s="5" t="s">
        <v>65</v>
      </c>
      <c r="C777" s="5" t="str">
        <f>VLOOKUP(B777,[1]물질정보!B:C,2,0)</f>
        <v>141-32-2</v>
      </c>
      <c r="D777" t="str">
        <f>VLOOKUP(B777,[1]물질정보!B:D,3,0)</f>
        <v>butyl acrylate</v>
      </c>
      <c r="E777" t="str">
        <f>VLOOKUP(B777,[1]물질정보!B:E,4,0)</f>
        <v>C7H12O2</v>
      </c>
      <c r="F777" t="str">
        <f>VLOOKUP(B777,[1]물질정보!B:F,5,0)</f>
        <v>128.169 g/mol</v>
      </c>
      <c r="G777" s="5" t="str">
        <f>VLOOKUP(B777,[1]물질정보!B:G,6,0)</f>
        <v>CCCCOC(=O)C=C</v>
      </c>
      <c r="H777" t="s">
        <v>26</v>
      </c>
      <c r="I777" t="s">
        <v>45</v>
      </c>
      <c r="J777" t="s">
        <v>28</v>
      </c>
      <c r="K777">
        <v>8.1999999999999993</v>
      </c>
      <c r="L777" t="s">
        <v>39</v>
      </c>
      <c r="M777" t="s">
        <v>47</v>
      </c>
      <c r="N777" t="s">
        <v>29</v>
      </c>
      <c r="O777" t="s">
        <v>29</v>
      </c>
      <c r="P777">
        <v>48</v>
      </c>
      <c r="Q777" t="s">
        <v>31</v>
      </c>
      <c r="R777" t="s">
        <v>159</v>
      </c>
      <c r="S777" t="s">
        <v>276</v>
      </c>
      <c r="T777" t="s">
        <v>29</v>
      </c>
      <c r="U777" t="s">
        <v>29</v>
      </c>
      <c r="V777" s="6" t="s">
        <v>160</v>
      </c>
      <c r="W777" t="s">
        <v>47</v>
      </c>
      <c r="X777" t="s">
        <v>48</v>
      </c>
      <c r="Y777" s="6" t="s">
        <v>28</v>
      </c>
    </row>
    <row r="778" spans="2:25" x14ac:dyDescent="0.3">
      <c r="B778" s="5" t="s">
        <v>65</v>
      </c>
      <c r="C778" s="5" t="str">
        <f>VLOOKUP(B778,[1]물질정보!B:C,2,0)</f>
        <v>141-32-2</v>
      </c>
      <c r="D778" t="str">
        <f>VLOOKUP(B778,[1]물질정보!B:D,3,0)</f>
        <v>butyl acrylate</v>
      </c>
      <c r="E778" t="str">
        <f>VLOOKUP(B778,[1]물질정보!B:E,4,0)</f>
        <v>C7H12O2</v>
      </c>
      <c r="F778" t="str">
        <f>VLOOKUP(B778,[1]물질정보!B:F,5,0)</f>
        <v>128.169 g/mol</v>
      </c>
      <c r="G778" s="5" t="str">
        <f>VLOOKUP(B778,[1]물질정보!B:G,6,0)</f>
        <v>CCCCOC(=O)C=C</v>
      </c>
      <c r="H778" t="s">
        <v>26</v>
      </c>
      <c r="I778" t="s">
        <v>45</v>
      </c>
      <c r="J778" t="s">
        <v>275</v>
      </c>
      <c r="K778">
        <v>17</v>
      </c>
      <c r="L778" t="s">
        <v>39</v>
      </c>
      <c r="M778" t="s">
        <v>47</v>
      </c>
      <c r="N778" t="s">
        <v>29</v>
      </c>
      <c r="O778" t="s">
        <v>29</v>
      </c>
      <c r="P778">
        <v>48</v>
      </c>
      <c r="Q778" t="s">
        <v>31</v>
      </c>
      <c r="R778" t="s">
        <v>159</v>
      </c>
      <c r="S778" t="s">
        <v>276</v>
      </c>
      <c r="T778" t="s">
        <v>29</v>
      </c>
      <c r="U778" t="s">
        <v>29</v>
      </c>
      <c r="V778" s="6" t="s">
        <v>160</v>
      </c>
      <c r="W778" t="s">
        <v>47</v>
      </c>
      <c r="X778" t="s">
        <v>48</v>
      </c>
      <c r="Y778" s="6" t="s">
        <v>275</v>
      </c>
    </row>
    <row r="779" spans="2:25" x14ac:dyDescent="0.3">
      <c r="B779" s="5" t="s">
        <v>65</v>
      </c>
      <c r="C779" s="5" t="str">
        <f>VLOOKUP(B779,[1]물질정보!B:C,2,0)</f>
        <v>141-32-2</v>
      </c>
      <c r="D779" t="str">
        <f>VLOOKUP(B779,[1]물질정보!B:D,3,0)</f>
        <v>butyl acrylate</v>
      </c>
      <c r="E779" t="str">
        <f>VLOOKUP(B779,[1]물질정보!B:E,4,0)</f>
        <v>C7H12O2</v>
      </c>
      <c r="F779" t="str">
        <f>VLOOKUP(B779,[1]물질정보!B:F,5,0)</f>
        <v>128.169 g/mol</v>
      </c>
      <c r="G779" s="5" t="str">
        <f>VLOOKUP(B779,[1]물질정보!B:G,6,0)</f>
        <v>CCCCOC(=O)C=C</v>
      </c>
      <c r="H779" t="s">
        <v>26</v>
      </c>
      <c r="I779" t="s">
        <v>45</v>
      </c>
      <c r="J779" t="s">
        <v>241</v>
      </c>
      <c r="K779">
        <v>2.4</v>
      </c>
      <c r="L779" t="s">
        <v>39</v>
      </c>
      <c r="M779" t="s">
        <v>47</v>
      </c>
      <c r="N779" t="s">
        <v>29</v>
      </c>
      <c r="O779" t="s">
        <v>29</v>
      </c>
      <c r="P779">
        <v>48</v>
      </c>
      <c r="Q779" t="s">
        <v>31</v>
      </c>
      <c r="R779" t="s">
        <v>159</v>
      </c>
      <c r="S779" t="s">
        <v>276</v>
      </c>
      <c r="T779" t="s">
        <v>29</v>
      </c>
      <c r="U779" t="s">
        <v>29</v>
      </c>
      <c r="V779" s="6" t="s">
        <v>160</v>
      </c>
      <c r="W779" t="s">
        <v>47</v>
      </c>
      <c r="X779" t="s">
        <v>48</v>
      </c>
      <c r="Y779" s="6" t="s">
        <v>241</v>
      </c>
    </row>
    <row r="780" spans="2:25" x14ac:dyDescent="0.3">
      <c r="B780" s="5" t="s">
        <v>65</v>
      </c>
      <c r="C780" s="5" t="str">
        <f>VLOOKUP(B780,[1]물질정보!B:C,2,0)</f>
        <v>141-32-2</v>
      </c>
      <c r="D780" t="str">
        <f>VLOOKUP(B780,[1]물질정보!B:D,3,0)</f>
        <v>butyl acrylate</v>
      </c>
      <c r="E780" t="str">
        <f>VLOOKUP(B780,[1]물질정보!B:E,4,0)</f>
        <v>C7H12O2</v>
      </c>
      <c r="F780" t="str">
        <f>VLOOKUP(B780,[1]물질정보!B:F,5,0)</f>
        <v>128.169 g/mol</v>
      </c>
      <c r="G780" s="5" t="str">
        <f>VLOOKUP(B780,[1]물질정보!B:G,6,0)</f>
        <v>CCCCOC(=O)C=C</v>
      </c>
      <c r="H780" t="s">
        <v>26</v>
      </c>
      <c r="I780" t="s">
        <v>45</v>
      </c>
      <c r="J780" t="s">
        <v>279</v>
      </c>
      <c r="K780">
        <v>7.8</v>
      </c>
      <c r="L780" t="s">
        <v>39</v>
      </c>
      <c r="M780" t="s">
        <v>47</v>
      </c>
      <c r="N780" t="s">
        <v>29</v>
      </c>
      <c r="O780" t="s">
        <v>29</v>
      </c>
      <c r="P780">
        <v>24</v>
      </c>
      <c r="Q780" t="s">
        <v>31</v>
      </c>
      <c r="R780" t="s">
        <v>159</v>
      </c>
      <c r="S780" t="s">
        <v>284</v>
      </c>
      <c r="T780" t="s">
        <v>29</v>
      </c>
      <c r="U780" t="s">
        <v>29</v>
      </c>
      <c r="V780" s="6" t="s">
        <v>160</v>
      </c>
      <c r="W780" t="s">
        <v>47</v>
      </c>
      <c r="X780" t="s">
        <v>251</v>
      </c>
      <c r="Y780" s="6" t="s">
        <v>279</v>
      </c>
    </row>
    <row r="781" spans="2:25" x14ac:dyDescent="0.3">
      <c r="B781" s="5" t="s">
        <v>65</v>
      </c>
      <c r="C781" s="5" t="str">
        <f>VLOOKUP(B781,[1]물질정보!B:C,2,0)</f>
        <v>141-32-2</v>
      </c>
      <c r="D781" t="str">
        <f>VLOOKUP(B781,[1]물질정보!B:D,3,0)</f>
        <v>butyl acrylate</v>
      </c>
      <c r="E781" t="str">
        <f>VLOOKUP(B781,[1]물질정보!B:E,4,0)</f>
        <v>C7H12O2</v>
      </c>
      <c r="F781" t="str">
        <f>VLOOKUP(B781,[1]물질정보!B:F,5,0)</f>
        <v>128.169 g/mol</v>
      </c>
      <c r="G781" s="5" t="str">
        <f>VLOOKUP(B781,[1]물질정보!B:G,6,0)</f>
        <v>CCCCOC(=O)C=C</v>
      </c>
      <c r="H781" t="s">
        <v>26</v>
      </c>
      <c r="I781" t="s">
        <v>45</v>
      </c>
      <c r="J781" t="s">
        <v>28</v>
      </c>
      <c r="K781">
        <v>42</v>
      </c>
      <c r="L781" t="s">
        <v>39</v>
      </c>
      <c r="M781" t="s">
        <v>47</v>
      </c>
      <c r="N781" t="s">
        <v>29</v>
      </c>
      <c r="O781" t="s">
        <v>29</v>
      </c>
      <c r="P781">
        <v>24</v>
      </c>
      <c r="Q781" t="s">
        <v>31</v>
      </c>
      <c r="R781" t="s">
        <v>159</v>
      </c>
      <c r="S781" t="s">
        <v>284</v>
      </c>
      <c r="T781" t="s">
        <v>29</v>
      </c>
      <c r="U781" t="s">
        <v>29</v>
      </c>
      <c r="V781" s="6" t="s">
        <v>160</v>
      </c>
      <c r="W781" t="s">
        <v>47</v>
      </c>
      <c r="X781" t="s">
        <v>251</v>
      </c>
      <c r="Y781" s="6" t="s">
        <v>28</v>
      </c>
    </row>
    <row r="782" spans="2:25" x14ac:dyDescent="0.3">
      <c r="B782" s="5" t="s">
        <v>65</v>
      </c>
      <c r="C782" s="5" t="str">
        <f>VLOOKUP(B782,[1]물질정보!B:C,2,0)</f>
        <v>141-32-2</v>
      </c>
      <c r="D782" t="str">
        <f>VLOOKUP(B782,[1]물질정보!B:D,3,0)</f>
        <v>butyl acrylate</v>
      </c>
      <c r="E782" t="str">
        <f>VLOOKUP(B782,[1]물질정보!B:E,4,0)</f>
        <v>C7H12O2</v>
      </c>
      <c r="F782" t="str">
        <f>VLOOKUP(B782,[1]물질정보!B:F,5,0)</f>
        <v>128.169 g/mol</v>
      </c>
      <c r="G782" s="5" t="str">
        <f>VLOOKUP(B782,[1]물질정보!B:G,6,0)</f>
        <v>CCCCOC(=O)C=C</v>
      </c>
      <c r="H782" t="s">
        <v>26</v>
      </c>
      <c r="I782" t="s">
        <v>45</v>
      </c>
      <c r="J782" t="s">
        <v>275</v>
      </c>
      <c r="K782">
        <v>125</v>
      </c>
      <c r="L782" t="s">
        <v>39</v>
      </c>
      <c r="M782" t="s">
        <v>47</v>
      </c>
      <c r="N782" t="s">
        <v>29</v>
      </c>
      <c r="O782" t="s">
        <v>29</v>
      </c>
      <c r="P782">
        <v>24</v>
      </c>
      <c r="Q782" t="s">
        <v>31</v>
      </c>
      <c r="R782" t="s">
        <v>159</v>
      </c>
      <c r="S782" t="s">
        <v>284</v>
      </c>
      <c r="T782" t="s">
        <v>29</v>
      </c>
      <c r="U782" t="s">
        <v>29</v>
      </c>
      <c r="V782" s="6" t="s">
        <v>160</v>
      </c>
      <c r="W782" t="s">
        <v>47</v>
      </c>
      <c r="X782" t="s">
        <v>251</v>
      </c>
      <c r="Y782" s="6" t="s">
        <v>275</v>
      </c>
    </row>
    <row r="783" spans="2:25" x14ac:dyDescent="0.3">
      <c r="B783" s="5" t="s">
        <v>65</v>
      </c>
      <c r="C783" s="5" t="str">
        <f>VLOOKUP(B783,[1]물질정보!B:C,2,0)</f>
        <v>141-32-2</v>
      </c>
      <c r="D783" t="str">
        <f>VLOOKUP(B783,[1]물질정보!B:D,3,0)</f>
        <v>butyl acrylate</v>
      </c>
      <c r="E783" t="str">
        <f>VLOOKUP(B783,[1]물질정보!B:E,4,0)</f>
        <v>C7H12O2</v>
      </c>
      <c r="F783" t="str">
        <f>VLOOKUP(B783,[1]물질정보!B:F,5,0)</f>
        <v>128.169 g/mol</v>
      </c>
      <c r="G783" s="5" t="str">
        <f>VLOOKUP(B783,[1]물질정보!B:G,6,0)</f>
        <v>CCCCOC(=O)C=C</v>
      </c>
      <c r="H783" t="s">
        <v>26</v>
      </c>
      <c r="I783" t="s">
        <v>45</v>
      </c>
      <c r="J783" t="s">
        <v>279</v>
      </c>
      <c r="K783">
        <v>0.7</v>
      </c>
      <c r="L783" t="s">
        <v>39</v>
      </c>
      <c r="M783" t="s">
        <v>47</v>
      </c>
      <c r="N783" t="s">
        <v>29</v>
      </c>
      <c r="O783" t="s">
        <v>29</v>
      </c>
      <c r="P783">
        <v>48</v>
      </c>
      <c r="Q783" t="s">
        <v>31</v>
      </c>
      <c r="R783" t="s">
        <v>159</v>
      </c>
      <c r="S783" t="s">
        <v>273</v>
      </c>
      <c r="T783" t="s">
        <v>29</v>
      </c>
      <c r="U783" t="s">
        <v>29</v>
      </c>
      <c r="V783" s="6" t="s">
        <v>160</v>
      </c>
      <c r="W783" t="s">
        <v>47</v>
      </c>
      <c r="X783" t="s">
        <v>48</v>
      </c>
      <c r="Y783" s="6" t="s">
        <v>279</v>
      </c>
    </row>
    <row r="784" spans="2:25" x14ac:dyDescent="0.3">
      <c r="B784" s="5" t="s">
        <v>65</v>
      </c>
      <c r="C784" s="5" t="str">
        <f>VLOOKUP(B784,[1]물질정보!B:C,2,0)</f>
        <v>141-32-2</v>
      </c>
      <c r="D784" t="str">
        <f>VLOOKUP(B784,[1]물질정보!B:D,3,0)</f>
        <v>butyl acrylate</v>
      </c>
      <c r="E784" t="str">
        <f>VLOOKUP(B784,[1]물질정보!B:E,4,0)</f>
        <v>C7H12O2</v>
      </c>
      <c r="F784" t="str">
        <f>VLOOKUP(B784,[1]물질정보!B:F,5,0)</f>
        <v>128.169 g/mol</v>
      </c>
      <c r="G784" s="5" t="str">
        <f>VLOOKUP(B784,[1]물질정보!B:G,6,0)</f>
        <v>CCCCOC(=O)C=C</v>
      </c>
      <c r="H784" t="s">
        <v>26</v>
      </c>
      <c r="I784" t="s">
        <v>45</v>
      </c>
      <c r="J784" t="s">
        <v>275</v>
      </c>
      <c r="K784">
        <v>2.8</v>
      </c>
      <c r="L784" t="s">
        <v>39</v>
      </c>
      <c r="M784" t="s">
        <v>47</v>
      </c>
      <c r="N784" t="s">
        <v>29</v>
      </c>
      <c r="O784" t="s">
        <v>29</v>
      </c>
      <c r="P784">
        <v>48</v>
      </c>
      <c r="Q784" t="s">
        <v>31</v>
      </c>
      <c r="R784" t="s">
        <v>159</v>
      </c>
      <c r="S784" t="s">
        <v>273</v>
      </c>
      <c r="T784" t="s">
        <v>29</v>
      </c>
      <c r="U784" t="s">
        <v>29</v>
      </c>
      <c r="V784" s="6" t="s">
        <v>160</v>
      </c>
      <c r="W784" t="s">
        <v>47</v>
      </c>
      <c r="X784" t="s">
        <v>48</v>
      </c>
      <c r="Y784" s="6" t="s">
        <v>275</v>
      </c>
    </row>
    <row r="785" spans="2:25" x14ac:dyDescent="0.3">
      <c r="B785" s="5" t="s">
        <v>65</v>
      </c>
      <c r="C785" s="5" t="str">
        <f>VLOOKUP(B785,[1]물질정보!B:C,2,0)</f>
        <v>141-32-2</v>
      </c>
      <c r="D785" t="str">
        <f>VLOOKUP(B785,[1]물질정보!B:D,3,0)</f>
        <v>butyl acrylate</v>
      </c>
      <c r="E785" t="str">
        <f>VLOOKUP(B785,[1]물질정보!B:E,4,0)</f>
        <v>C7H12O2</v>
      </c>
      <c r="F785" t="str">
        <f>VLOOKUP(B785,[1]물질정보!B:F,5,0)</f>
        <v>128.169 g/mol</v>
      </c>
      <c r="G785" s="5" t="str">
        <f>VLOOKUP(B785,[1]물질정보!B:G,6,0)</f>
        <v>CCCCOC(=O)C=C</v>
      </c>
      <c r="H785" t="s">
        <v>26</v>
      </c>
      <c r="I785" t="s">
        <v>45</v>
      </c>
      <c r="J785" t="s">
        <v>28</v>
      </c>
      <c r="K785">
        <v>1.3</v>
      </c>
      <c r="L785" t="s">
        <v>39</v>
      </c>
      <c r="M785" t="s">
        <v>47</v>
      </c>
      <c r="N785" t="s">
        <v>29</v>
      </c>
      <c r="O785" t="s">
        <v>29</v>
      </c>
      <c r="P785">
        <v>48</v>
      </c>
      <c r="Q785" t="s">
        <v>31</v>
      </c>
      <c r="R785" t="s">
        <v>159</v>
      </c>
      <c r="S785" t="s">
        <v>273</v>
      </c>
      <c r="T785" t="s">
        <v>29</v>
      </c>
      <c r="U785" t="s">
        <v>29</v>
      </c>
      <c r="V785" s="6" t="s">
        <v>160</v>
      </c>
      <c r="W785" t="s">
        <v>47</v>
      </c>
      <c r="X785" t="s">
        <v>48</v>
      </c>
      <c r="Y785" s="6" t="s">
        <v>28</v>
      </c>
    </row>
    <row r="786" spans="2:25" x14ac:dyDescent="0.3">
      <c r="B786" s="5" t="s">
        <v>65</v>
      </c>
      <c r="C786" s="5" t="str">
        <f>VLOOKUP(B786,[1]물질정보!B:C,2,0)</f>
        <v>141-32-2</v>
      </c>
      <c r="D786" t="str">
        <f>VLOOKUP(B786,[1]물질정보!B:D,3,0)</f>
        <v>butyl acrylate</v>
      </c>
      <c r="E786" t="str">
        <f>VLOOKUP(B786,[1]물질정보!B:E,4,0)</f>
        <v>C7H12O2</v>
      </c>
      <c r="F786" t="str">
        <f>VLOOKUP(B786,[1]물질정보!B:F,5,0)</f>
        <v>128.169 g/mol</v>
      </c>
      <c r="G786" s="5" t="str">
        <f>VLOOKUP(B786,[1]물질정보!B:G,6,0)</f>
        <v>CCCCOC(=O)C=C</v>
      </c>
      <c r="H786" t="s">
        <v>26</v>
      </c>
      <c r="I786" t="s">
        <v>45</v>
      </c>
      <c r="J786" t="s">
        <v>279</v>
      </c>
      <c r="K786">
        <v>0.88</v>
      </c>
      <c r="L786" t="s">
        <v>39</v>
      </c>
      <c r="M786" t="s">
        <v>47</v>
      </c>
      <c r="N786" t="s">
        <v>29</v>
      </c>
      <c r="O786" t="s">
        <v>29</v>
      </c>
      <c r="P786">
        <v>48</v>
      </c>
      <c r="Q786" t="s">
        <v>31</v>
      </c>
      <c r="R786" t="s">
        <v>159</v>
      </c>
      <c r="S786" t="s">
        <v>273</v>
      </c>
      <c r="T786" t="s">
        <v>29</v>
      </c>
      <c r="U786" t="s">
        <v>29</v>
      </c>
      <c r="V786" s="6" t="s">
        <v>160</v>
      </c>
      <c r="W786" t="s">
        <v>47</v>
      </c>
      <c r="X786" t="s">
        <v>48</v>
      </c>
      <c r="Y786" s="6" t="s">
        <v>279</v>
      </c>
    </row>
    <row r="787" spans="2:25" x14ac:dyDescent="0.3">
      <c r="B787" s="5" t="s">
        <v>65</v>
      </c>
      <c r="C787" s="5" t="str">
        <f>VLOOKUP(B787,[1]물질정보!B:C,2,0)</f>
        <v>141-32-2</v>
      </c>
      <c r="D787" t="str">
        <f>VLOOKUP(B787,[1]물질정보!B:D,3,0)</f>
        <v>butyl acrylate</v>
      </c>
      <c r="E787" t="str">
        <f>VLOOKUP(B787,[1]물질정보!B:E,4,0)</f>
        <v>C7H12O2</v>
      </c>
      <c r="F787" t="str">
        <f>VLOOKUP(B787,[1]물질정보!B:F,5,0)</f>
        <v>128.169 g/mol</v>
      </c>
      <c r="G787" s="5" t="str">
        <f>VLOOKUP(B787,[1]물질정보!B:G,6,0)</f>
        <v>CCCCOC(=O)C=C</v>
      </c>
      <c r="H787" t="s">
        <v>26</v>
      </c>
      <c r="I787" t="s">
        <v>45</v>
      </c>
      <c r="J787" t="s">
        <v>28</v>
      </c>
      <c r="K787">
        <v>2.6</v>
      </c>
      <c r="L787" t="s">
        <v>39</v>
      </c>
      <c r="M787" t="s">
        <v>47</v>
      </c>
      <c r="N787" t="s">
        <v>29</v>
      </c>
      <c r="O787" t="s">
        <v>29</v>
      </c>
      <c r="P787">
        <v>48</v>
      </c>
      <c r="Q787" t="s">
        <v>31</v>
      </c>
      <c r="R787" t="s">
        <v>159</v>
      </c>
      <c r="S787" t="s">
        <v>273</v>
      </c>
      <c r="T787" t="s">
        <v>29</v>
      </c>
      <c r="U787" t="s">
        <v>29</v>
      </c>
      <c r="V787" s="6" t="s">
        <v>160</v>
      </c>
      <c r="W787" t="s">
        <v>47</v>
      </c>
      <c r="X787" t="s">
        <v>48</v>
      </c>
      <c r="Y787" s="6" t="s">
        <v>28</v>
      </c>
    </row>
    <row r="788" spans="2:25" x14ac:dyDescent="0.3">
      <c r="B788" s="5" t="s">
        <v>65</v>
      </c>
      <c r="C788" s="5" t="str">
        <f>VLOOKUP(B788,[1]물질정보!B:C,2,0)</f>
        <v>141-32-2</v>
      </c>
      <c r="D788" t="str">
        <f>VLOOKUP(B788,[1]물질정보!B:D,3,0)</f>
        <v>butyl acrylate</v>
      </c>
      <c r="E788" t="str">
        <f>VLOOKUP(B788,[1]물질정보!B:E,4,0)</f>
        <v>C7H12O2</v>
      </c>
      <c r="F788" t="str">
        <f>VLOOKUP(B788,[1]물질정보!B:F,5,0)</f>
        <v>128.169 g/mol</v>
      </c>
      <c r="G788" s="5" t="str">
        <f>VLOOKUP(B788,[1]물질정보!B:G,6,0)</f>
        <v>CCCCOC(=O)C=C</v>
      </c>
      <c r="H788" t="s">
        <v>26</v>
      </c>
      <c r="I788" t="s">
        <v>45</v>
      </c>
      <c r="J788" t="s">
        <v>275</v>
      </c>
      <c r="K788">
        <v>6.4</v>
      </c>
      <c r="L788" t="s">
        <v>39</v>
      </c>
      <c r="M788" t="s">
        <v>47</v>
      </c>
      <c r="N788" t="s">
        <v>29</v>
      </c>
      <c r="O788" t="s">
        <v>29</v>
      </c>
      <c r="P788">
        <v>48</v>
      </c>
      <c r="Q788" t="s">
        <v>31</v>
      </c>
      <c r="R788" t="s">
        <v>159</v>
      </c>
      <c r="S788" t="s">
        <v>273</v>
      </c>
      <c r="T788" t="s">
        <v>29</v>
      </c>
      <c r="U788" t="s">
        <v>29</v>
      </c>
      <c r="V788" s="6" t="s">
        <v>160</v>
      </c>
      <c r="W788" t="s">
        <v>47</v>
      </c>
      <c r="X788" t="s">
        <v>48</v>
      </c>
      <c r="Y788" s="6" t="s">
        <v>275</v>
      </c>
    </row>
    <row r="789" spans="2:25" x14ac:dyDescent="0.3">
      <c r="B789" s="5" t="s">
        <v>65</v>
      </c>
      <c r="C789" s="5" t="str">
        <f>VLOOKUP(B789,[1]물질정보!B:C,2,0)</f>
        <v>141-32-2</v>
      </c>
      <c r="D789" t="str">
        <f>VLOOKUP(B789,[1]물질정보!B:D,3,0)</f>
        <v>butyl acrylate</v>
      </c>
      <c r="E789" t="str">
        <f>VLOOKUP(B789,[1]물질정보!B:E,4,0)</f>
        <v>C7H12O2</v>
      </c>
      <c r="F789" t="str">
        <f>VLOOKUP(B789,[1]물질정보!B:F,5,0)</f>
        <v>128.169 g/mol</v>
      </c>
      <c r="G789" s="5" t="str">
        <f>VLOOKUP(B789,[1]물질정보!B:G,6,0)</f>
        <v>CCCCOC(=O)C=C</v>
      </c>
      <c r="H789" t="s">
        <v>26</v>
      </c>
      <c r="I789" t="s">
        <v>45</v>
      </c>
      <c r="J789" t="s">
        <v>241</v>
      </c>
      <c r="K789">
        <v>0.88</v>
      </c>
      <c r="L789" t="s">
        <v>39</v>
      </c>
      <c r="M789" t="s">
        <v>47</v>
      </c>
      <c r="N789" t="s">
        <v>29</v>
      </c>
      <c r="O789" t="s">
        <v>29</v>
      </c>
      <c r="P789">
        <v>48</v>
      </c>
      <c r="Q789" t="s">
        <v>31</v>
      </c>
      <c r="R789" t="s">
        <v>159</v>
      </c>
      <c r="S789" t="s">
        <v>273</v>
      </c>
      <c r="T789" t="s">
        <v>29</v>
      </c>
      <c r="U789" t="s">
        <v>29</v>
      </c>
      <c r="V789" s="6" t="s">
        <v>160</v>
      </c>
      <c r="W789" t="s">
        <v>47</v>
      </c>
      <c r="X789" t="s">
        <v>48</v>
      </c>
      <c r="Y789" s="6" t="s">
        <v>241</v>
      </c>
    </row>
    <row r="790" spans="2:25" x14ac:dyDescent="0.3">
      <c r="B790" s="5" t="s">
        <v>65</v>
      </c>
      <c r="C790" s="5" t="str">
        <f>VLOOKUP(B790,[1]물질정보!B:C,2,0)</f>
        <v>141-32-2</v>
      </c>
      <c r="D790" t="str">
        <f>VLOOKUP(B790,[1]물질정보!B:D,3,0)</f>
        <v>butyl acrylate</v>
      </c>
      <c r="E790" t="str">
        <f>VLOOKUP(B790,[1]물질정보!B:E,4,0)</f>
        <v>C7H12O2</v>
      </c>
      <c r="F790" t="str">
        <f>VLOOKUP(B790,[1]물질정보!B:F,5,0)</f>
        <v>128.169 g/mol</v>
      </c>
      <c r="G790" s="5" t="str">
        <f>VLOOKUP(B790,[1]물질정보!B:G,6,0)</f>
        <v>CCCCOC(=O)C=C</v>
      </c>
      <c r="H790" t="s">
        <v>26</v>
      </c>
      <c r="I790" t="s">
        <v>45</v>
      </c>
      <c r="J790" t="s">
        <v>28</v>
      </c>
      <c r="K790">
        <v>6.4</v>
      </c>
      <c r="L790" t="s">
        <v>39</v>
      </c>
      <c r="M790" t="s">
        <v>47</v>
      </c>
      <c r="N790" t="s">
        <v>29</v>
      </c>
      <c r="O790" t="s">
        <v>29</v>
      </c>
      <c r="P790">
        <v>48</v>
      </c>
      <c r="Q790" t="s">
        <v>31</v>
      </c>
      <c r="R790" t="s">
        <v>159</v>
      </c>
      <c r="S790" t="s">
        <v>273</v>
      </c>
      <c r="T790" t="s">
        <v>29</v>
      </c>
      <c r="U790" t="s">
        <v>29</v>
      </c>
      <c r="V790" s="6" t="s">
        <v>160</v>
      </c>
      <c r="W790" t="s">
        <v>47</v>
      </c>
      <c r="X790" t="s">
        <v>48</v>
      </c>
      <c r="Y790" s="6" t="s">
        <v>28</v>
      </c>
    </row>
    <row r="791" spans="2:25" x14ac:dyDescent="0.3">
      <c r="B791" s="5" t="s">
        <v>65</v>
      </c>
      <c r="C791" s="5" t="str">
        <f>VLOOKUP(B791,[1]물질정보!B:C,2,0)</f>
        <v>141-32-2</v>
      </c>
      <c r="D791" t="str">
        <f>VLOOKUP(B791,[1]물질정보!B:D,3,0)</f>
        <v>butyl acrylate</v>
      </c>
      <c r="E791" t="str">
        <f>VLOOKUP(B791,[1]물질정보!B:E,4,0)</f>
        <v>C7H12O2</v>
      </c>
      <c r="F791" t="str">
        <f>VLOOKUP(B791,[1]물질정보!B:F,5,0)</f>
        <v>128.169 g/mol</v>
      </c>
      <c r="G791" s="5" t="str">
        <f>VLOOKUP(B791,[1]물질정보!B:G,6,0)</f>
        <v>CCCCOC(=O)C=C</v>
      </c>
      <c r="H791" t="s">
        <v>26</v>
      </c>
      <c r="I791" t="s">
        <v>45</v>
      </c>
      <c r="J791" t="s">
        <v>241</v>
      </c>
      <c r="K791">
        <v>0.99</v>
      </c>
      <c r="L791" t="s">
        <v>39</v>
      </c>
      <c r="M791" t="s">
        <v>285</v>
      </c>
      <c r="N791" t="s">
        <v>29</v>
      </c>
      <c r="O791" t="s">
        <v>29</v>
      </c>
      <c r="P791">
        <v>96</v>
      </c>
      <c r="Q791" t="s">
        <v>31</v>
      </c>
      <c r="R791" t="s">
        <v>159</v>
      </c>
      <c r="S791" t="s">
        <v>286</v>
      </c>
      <c r="T791" t="s">
        <v>29</v>
      </c>
      <c r="U791" t="s">
        <v>29</v>
      </c>
      <c r="V791" s="6" t="s">
        <v>160</v>
      </c>
      <c r="W791" t="s">
        <v>285</v>
      </c>
      <c r="X791" t="s">
        <v>37</v>
      </c>
      <c r="Y791" s="6" t="s">
        <v>241</v>
      </c>
    </row>
    <row r="792" spans="2:25" x14ac:dyDescent="0.3">
      <c r="B792" s="5" t="s">
        <v>65</v>
      </c>
      <c r="C792" s="5" t="str">
        <f>VLOOKUP(B792,[1]물질정보!B:C,2,0)</f>
        <v>141-32-2</v>
      </c>
      <c r="D792" t="str">
        <f>VLOOKUP(B792,[1]물질정보!B:D,3,0)</f>
        <v>butyl acrylate</v>
      </c>
      <c r="E792" t="str">
        <f>VLOOKUP(B792,[1]물질정보!B:E,4,0)</f>
        <v>C7H12O2</v>
      </c>
      <c r="F792" t="str">
        <f>VLOOKUP(B792,[1]물질정보!B:F,5,0)</f>
        <v>128.169 g/mol</v>
      </c>
      <c r="G792" s="5" t="str">
        <f>VLOOKUP(B792,[1]물질정보!B:G,6,0)</f>
        <v>CCCCOC(=O)C=C</v>
      </c>
      <c r="H792" t="s">
        <v>26</v>
      </c>
      <c r="I792" t="s">
        <v>45</v>
      </c>
      <c r="J792" t="s">
        <v>49</v>
      </c>
      <c r="K792">
        <v>1.6</v>
      </c>
      <c r="L792" t="s">
        <v>39</v>
      </c>
      <c r="M792" t="s">
        <v>285</v>
      </c>
      <c r="N792" t="s">
        <v>29</v>
      </c>
      <c r="O792" t="s">
        <v>29</v>
      </c>
      <c r="P792">
        <v>96</v>
      </c>
      <c r="Q792" t="s">
        <v>31</v>
      </c>
      <c r="R792" t="s">
        <v>159</v>
      </c>
      <c r="S792" t="s">
        <v>286</v>
      </c>
      <c r="T792" t="s">
        <v>29</v>
      </c>
      <c r="U792" t="s">
        <v>29</v>
      </c>
      <c r="V792" s="6" t="s">
        <v>160</v>
      </c>
      <c r="W792" t="s">
        <v>285</v>
      </c>
      <c r="X792" t="s">
        <v>37</v>
      </c>
      <c r="Y792" s="6" t="s">
        <v>49</v>
      </c>
    </row>
    <row r="793" spans="2:25" x14ac:dyDescent="0.3">
      <c r="B793" s="5" t="s">
        <v>65</v>
      </c>
      <c r="C793" s="5" t="str">
        <f>VLOOKUP(B793,[1]물질정보!B:C,2,0)</f>
        <v>141-32-2</v>
      </c>
      <c r="D793" t="str">
        <f>VLOOKUP(B793,[1]물질정보!B:D,3,0)</f>
        <v>butyl acrylate</v>
      </c>
      <c r="E793" t="str">
        <f>VLOOKUP(B793,[1]물질정보!B:E,4,0)</f>
        <v>C7H12O2</v>
      </c>
      <c r="F793" t="str">
        <f>VLOOKUP(B793,[1]물질정보!B:F,5,0)</f>
        <v>128.169 g/mol</v>
      </c>
      <c r="G793" s="5" t="str">
        <f>VLOOKUP(B793,[1]물질정보!B:G,6,0)</f>
        <v>CCCCOC(=O)C=C</v>
      </c>
      <c r="H793" t="s">
        <v>26</v>
      </c>
      <c r="I793" t="s">
        <v>45</v>
      </c>
      <c r="J793" t="s">
        <v>181</v>
      </c>
      <c r="K793">
        <v>0.99</v>
      </c>
      <c r="L793" t="s">
        <v>39</v>
      </c>
      <c r="M793" t="s">
        <v>285</v>
      </c>
      <c r="N793" t="s">
        <v>29</v>
      </c>
      <c r="O793" t="s">
        <v>29</v>
      </c>
      <c r="P793">
        <v>96</v>
      </c>
      <c r="Q793" t="s">
        <v>31</v>
      </c>
      <c r="R793" t="s">
        <v>159</v>
      </c>
      <c r="S793" t="s">
        <v>286</v>
      </c>
      <c r="T793" t="s">
        <v>29</v>
      </c>
      <c r="U793" t="s">
        <v>29</v>
      </c>
      <c r="V793" s="6" t="s">
        <v>160</v>
      </c>
      <c r="W793" t="s">
        <v>285</v>
      </c>
      <c r="X793" t="s">
        <v>37</v>
      </c>
      <c r="Y793" s="6" t="s">
        <v>181</v>
      </c>
    </row>
    <row r="794" spans="2:25" x14ac:dyDescent="0.3">
      <c r="B794" s="5" t="s">
        <v>65</v>
      </c>
      <c r="C794" s="5" t="str">
        <f>VLOOKUP(B794,[1]물질정보!B:C,2,0)</f>
        <v>141-32-2</v>
      </c>
      <c r="D794" t="str">
        <f>VLOOKUP(B794,[1]물질정보!B:D,3,0)</f>
        <v>butyl acrylate</v>
      </c>
      <c r="E794" t="str">
        <f>VLOOKUP(B794,[1]물질정보!B:E,4,0)</f>
        <v>C7H12O2</v>
      </c>
      <c r="F794" t="str">
        <f>VLOOKUP(B794,[1]물질정보!B:F,5,0)</f>
        <v>128.169 g/mol</v>
      </c>
      <c r="G794" s="5" t="str">
        <f>VLOOKUP(B794,[1]물질정보!B:G,6,0)</f>
        <v>CCCCOC(=O)C=C</v>
      </c>
      <c r="H794" t="s">
        <v>26</v>
      </c>
      <c r="I794" t="s">
        <v>45</v>
      </c>
      <c r="J794" t="s">
        <v>241</v>
      </c>
      <c r="K794">
        <v>3.4</v>
      </c>
      <c r="L794" t="s">
        <v>39</v>
      </c>
      <c r="M794" t="s">
        <v>47</v>
      </c>
      <c r="N794" t="s">
        <v>29</v>
      </c>
      <c r="O794" t="s">
        <v>29</v>
      </c>
      <c r="P794">
        <v>48</v>
      </c>
      <c r="Q794" t="s">
        <v>31</v>
      </c>
      <c r="R794" t="s">
        <v>159</v>
      </c>
      <c r="S794" t="s">
        <v>276</v>
      </c>
      <c r="T794" t="s">
        <v>29</v>
      </c>
      <c r="U794" t="s">
        <v>29</v>
      </c>
      <c r="V794" s="6" t="s">
        <v>160</v>
      </c>
      <c r="W794" t="s">
        <v>47</v>
      </c>
      <c r="X794" t="s">
        <v>48</v>
      </c>
      <c r="Y794" s="6" t="s">
        <v>241</v>
      </c>
    </row>
    <row r="795" spans="2:25" x14ac:dyDescent="0.3">
      <c r="B795" s="5" t="s">
        <v>65</v>
      </c>
      <c r="C795" s="5" t="str">
        <f>VLOOKUP(B795,[1]물질정보!B:C,2,0)</f>
        <v>141-32-2</v>
      </c>
      <c r="D795" t="str">
        <f>VLOOKUP(B795,[1]물질정보!B:D,3,0)</f>
        <v>butyl acrylate</v>
      </c>
      <c r="E795" t="str">
        <f>VLOOKUP(B795,[1]물질정보!B:E,4,0)</f>
        <v>C7H12O2</v>
      </c>
      <c r="F795" t="str">
        <f>VLOOKUP(B795,[1]물질정보!B:F,5,0)</f>
        <v>128.169 g/mol</v>
      </c>
      <c r="G795" s="5" t="str">
        <f>VLOOKUP(B795,[1]물질정보!B:G,6,0)</f>
        <v>CCCCOC(=O)C=C</v>
      </c>
      <c r="H795" t="s">
        <v>26</v>
      </c>
      <c r="I795" t="s">
        <v>45</v>
      </c>
      <c r="J795" t="s">
        <v>28</v>
      </c>
      <c r="K795">
        <v>7.9</v>
      </c>
      <c r="L795" t="s">
        <v>39</v>
      </c>
      <c r="M795" t="s">
        <v>47</v>
      </c>
      <c r="N795" t="s">
        <v>29</v>
      </c>
      <c r="O795" t="s">
        <v>29</v>
      </c>
      <c r="P795">
        <v>48</v>
      </c>
      <c r="Q795" t="s">
        <v>31</v>
      </c>
      <c r="R795" t="s">
        <v>159</v>
      </c>
      <c r="S795" t="s">
        <v>276</v>
      </c>
      <c r="T795" t="s">
        <v>29</v>
      </c>
      <c r="U795" t="s">
        <v>29</v>
      </c>
      <c r="V795" s="6" t="s">
        <v>160</v>
      </c>
      <c r="W795" t="s">
        <v>47</v>
      </c>
      <c r="X795" t="s">
        <v>48</v>
      </c>
      <c r="Y795" s="6" t="s">
        <v>28</v>
      </c>
    </row>
    <row r="796" spans="2:25" x14ac:dyDescent="0.3">
      <c r="B796" s="5" t="s">
        <v>65</v>
      </c>
      <c r="C796" s="5" t="str">
        <f>VLOOKUP(B796,[1]물질정보!B:C,2,0)</f>
        <v>141-32-2</v>
      </c>
      <c r="D796" t="str">
        <f>VLOOKUP(B796,[1]물질정보!B:D,3,0)</f>
        <v>butyl acrylate</v>
      </c>
      <c r="E796" t="str">
        <f>VLOOKUP(B796,[1]물질정보!B:E,4,0)</f>
        <v>C7H12O2</v>
      </c>
      <c r="F796" t="str">
        <f>VLOOKUP(B796,[1]물질정보!B:F,5,0)</f>
        <v>128.169 g/mol</v>
      </c>
      <c r="G796" s="5" t="str">
        <f>VLOOKUP(B796,[1]물질정보!B:G,6,0)</f>
        <v>CCCCOC(=O)C=C</v>
      </c>
      <c r="H796" t="s">
        <v>26</v>
      </c>
      <c r="I796" t="s">
        <v>45</v>
      </c>
      <c r="J796" t="s">
        <v>279</v>
      </c>
      <c r="K796">
        <v>5.75</v>
      </c>
      <c r="L796" t="s">
        <v>39</v>
      </c>
      <c r="M796" t="s">
        <v>47</v>
      </c>
      <c r="N796" t="s">
        <v>29</v>
      </c>
      <c r="O796" t="s">
        <v>29</v>
      </c>
      <c r="P796">
        <v>48</v>
      </c>
      <c r="Q796" t="s">
        <v>31</v>
      </c>
      <c r="R796" t="s">
        <v>159</v>
      </c>
      <c r="S796" t="s">
        <v>273</v>
      </c>
      <c r="T796" t="s">
        <v>29</v>
      </c>
      <c r="U796" t="s">
        <v>29</v>
      </c>
      <c r="V796" s="6" t="s">
        <v>160</v>
      </c>
      <c r="W796" t="s">
        <v>47</v>
      </c>
      <c r="X796" t="s">
        <v>48</v>
      </c>
      <c r="Y796" s="6" t="s">
        <v>279</v>
      </c>
    </row>
    <row r="797" spans="2:25" x14ac:dyDescent="0.3">
      <c r="B797" s="5" t="s">
        <v>65</v>
      </c>
      <c r="C797" s="5" t="str">
        <f>VLOOKUP(B797,[1]물질정보!B:C,2,0)</f>
        <v>141-32-2</v>
      </c>
      <c r="D797" t="str">
        <f>VLOOKUP(B797,[1]물질정보!B:D,3,0)</f>
        <v>butyl acrylate</v>
      </c>
      <c r="E797" t="str">
        <f>VLOOKUP(B797,[1]물질정보!B:E,4,0)</f>
        <v>C7H12O2</v>
      </c>
      <c r="F797" t="str">
        <f>VLOOKUP(B797,[1]물질정보!B:F,5,0)</f>
        <v>128.169 g/mol</v>
      </c>
      <c r="G797" s="5" t="str">
        <f>VLOOKUP(B797,[1]물질정보!B:G,6,0)</f>
        <v>CCCCOC(=O)C=C</v>
      </c>
      <c r="H797" t="s">
        <v>26</v>
      </c>
      <c r="I797" t="s">
        <v>45</v>
      </c>
      <c r="J797" t="s">
        <v>28</v>
      </c>
      <c r="K797">
        <v>8.74</v>
      </c>
      <c r="L797" t="s">
        <v>39</v>
      </c>
      <c r="M797" t="s">
        <v>47</v>
      </c>
      <c r="N797" t="s">
        <v>29</v>
      </c>
      <c r="O797" t="s">
        <v>29</v>
      </c>
      <c r="P797">
        <v>48</v>
      </c>
      <c r="Q797" t="s">
        <v>31</v>
      </c>
      <c r="R797" t="s">
        <v>159</v>
      </c>
      <c r="S797" t="s">
        <v>273</v>
      </c>
      <c r="T797" t="s">
        <v>29</v>
      </c>
      <c r="U797" t="s">
        <v>29</v>
      </c>
      <c r="V797" s="6" t="s">
        <v>160</v>
      </c>
      <c r="W797" t="s">
        <v>47</v>
      </c>
      <c r="X797" t="s">
        <v>48</v>
      </c>
      <c r="Y797" s="6" t="s">
        <v>28</v>
      </c>
    </row>
    <row r="798" spans="2:25" x14ac:dyDescent="0.3">
      <c r="B798" s="5" t="s">
        <v>65</v>
      </c>
      <c r="C798" s="5" t="str">
        <f>VLOOKUP(B798,[1]물질정보!B:C,2,0)</f>
        <v>141-32-2</v>
      </c>
      <c r="D798" t="str">
        <f>VLOOKUP(B798,[1]물질정보!B:D,3,0)</f>
        <v>butyl acrylate</v>
      </c>
      <c r="E798" t="str">
        <f>VLOOKUP(B798,[1]물질정보!B:E,4,0)</f>
        <v>C7H12O2</v>
      </c>
      <c r="F798" t="str">
        <f>VLOOKUP(B798,[1]물질정보!B:F,5,0)</f>
        <v>128.169 g/mol</v>
      </c>
      <c r="G798" s="5" t="str">
        <f>VLOOKUP(B798,[1]물질정보!B:G,6,0)</f>
        <v>CCCCOC(=O)C=C</v>
      </c>
      <c r="H798" t="s">
        <v>26</v>
      </c>
      <c r="I798" t="s">
        <v>45</v>
      </c>
      <c r="J798" t="s">
        <v>275</v>
      </c>
      <c r="K798">
        <v>23</v>
      </c>
      <c r="L798" t="s">
        <v>39</v>
      </c>
      <c r="M798" t="s">
        <v>47</v>
      </c>
      <c r="N798" t="s">
        <v>29</v>
      </c>
      <c r="O798" t="s">
        <v>29</v>
      </c>
      <c r="P798">
        <v>48</v>
      </c>
      <c r="Q798" t="s">
        <v>31</v>
      </c>
      <c r="R798" t="s">
        <v>159</v>
      </c>
      <c r="S798" t="s">
        <v>273</v>
      </c>
      <c r="T798" t="s">
        <v>29</v>
      </c>
      <c r="U798" t="s">
        <v>29</v>
      </c>
      <c r="V798" s="6" t="s">
        <v>160</v>
      </c>
      <c r="W798" t="s">
        <v>47</v>
      </c>
      <c r="X798" t="s">
        <v>48</v>
      </c>
      <c r="Y798" s="6" t="s">
        <v>275</v>
      </c>
    </row>
    <row r="799" spans="2:25" x14ac:dyDescent="0.3">
      <c r="B799" s="5" t="s">
        <v>65</v>
      </c>
      <c r="C799" s="5" t="str">
        <f>VLOOKUP(B799,[1]물질정보!B:C,2,0)</f>
        <v>141-32-2</v>
      </c>
      <c r="D799" t="str">
        <f>VLOOKUP(B799,[1]물질정보!B:D,3,0)</f>
        <v>butyl acrylate</v>
      </c>
      <c r="E799" t="str">
        <f>VLOOKUP(B799,[1]물질정보!B:E,4,0)</f>
        <v>C7H12O2</v>
      </c>
      <c r="F799" t="str">
        <f>VLOOKUP(B799,[1]물질정보!B:F,5,0)</f>
        <v>128.169 g/mol</v>
      </c>
      <c r="G799" s="5" t="str">
        <f>VLOOKUP(B799,[1]물질정보!B:G,6,0)</f>
        <v>CCCCOC(=O)C=C</v>
      </c>
      <c r="H799" t="s">
        <v>26</v>
      </c>
      <c r="I799" t="s">
        <v>45</v>
      </c>
      <c r="J799" t="s">
        <v>279</v>
      </c>
      <c r="K799">
        <v>12.5</v>
      </c>
      <c r="L799" t="s">
        <v>39</v>
      </c>
      <c r="M799" t="s">
        <v>47</v>
      </c>
      <c r="N799" t="s">
        <v>29</v>
      </c>
      <c r="O799" t="s">
        <v>29</v>
      </c>
      <c r="P799">
        <v>48</v>
      </c>
      <c r="Q799" t="s">
        <v>31</v>
      </c>
      <c r="R799" t="s">
        <v>159</v>
      </c>
      <c r="S799" t="s">
        <v>273</v>
      </c>
      <c r="T799" t="s">
        <v>29</v>
      </c>
      <c r="U799" t="s">
        <v>29</v>
      </c>
      <c r="V799" s="6" t="s">
        <v>160</v>
      </c>
      <c r="W799" t="s">
        <v>47</v>
      </c>
      <c r="X799" t="s">
        <v>48</v>
      </c>
      <c r="Y799" s="6" t="s">
        <v>279</v>
      </c>
    </row>
    <row r="800" spans="2:25" x14ac:dyDescent="0.3">
      <c r="B800" s="5" t="s">
        <v>65</v>
      </c>
      <c r="C800" s="5" t="str">
        <f>VLOOKUP(B800,[1]물질정보!B:C,2,0)</f>
        <v>141-32-2</v>
      </c>
      <c r="D800" t="str">
        <f>VLOOKUP(B800,[1]물질정보!B:D,3,0)</f>
        <v>butyl acrylate</v>
      </c>
      <c r="E800" t="str">
        <f>VLOOKUP(B800,[1]물질정보!B:E,4,0)</f>
        <v>C7H12O2</v>
      </c>
      <c r="F800" t="str">
        <f>VLOOKUP(B800,[1]물질정보!B:F,5,0)</f>
        <v>128.169 g/mol</v>
      </c>
      <c r="G800" s="5" t="str">
        <f>VLOOKUP(B800,[1]물질정보!B:G,6,0)</f>
        <v>CCCCOC(=O)C=C</v>
      </c>
      <c r="H800" t="s">
        <v>26</v>
      </c>
      <c r="I800" t="s">
        <v>45</v>
      </c>
      <c r="J800" t="s">
        <v>28</v>
      </c>
      <c r="K800">
        <v>19</v>
      </c>
      <c r="L800" t="s">
        <v>39</v>
      </c>
      <c r="M800" t="s">
        <v>47</v>
      </c>
      <c r="N800" t="s">
        <v>29</v>
      </c>
      <c r="O800" t="s">
        <v>29</v>
      </c>
      <c r="P800">
        <v>48</v>
      </c>
      <c r="Q800" t="s">
        <v>31</v>
      </c>
      <c r="R800" t="s">
        <v>159</v>
      </c>
      <c r="S800" t="s">
        <v>273</v>
      </c>
      <c r="T800" t="s">
        <v>29</v>
      </c>
      <c r="U800" t="s">
        <v>29</v>
      </c>
      <c r="V800" s="6" t="s">
        <v>160</v>
      </c>
      <c r="W800" t="s">
        <v>47</v>
      </c>
      <c r="X800" t="s">
        <v>48</v>
      </c>
      <c r="Y800" s="6" t="s">
        <v>28</v>
      </c>
    </row>
    <row r="801" spans="2:25" x14ac:dyDescent="0.3">
      <c r="B801" s="5" t="s">
        <v>65</v>
      </c>
      <c r="C801" s="5" t="str">
        <f>VLOOKUP(B801,[1]물질정보!B:C,2,0)</f>
        <v>141-32-2</v>
      </c>
      <c r="D801" t="str">
        <f>VLOOKUP(B801,[1]물질정보!B:D,3,0)</f>
        <v>butyl acrylate</v>
      </c>
      <c r="E801" t="str">
        <f>VLOOKUP(B801,[1]물질정보!B:E,4,0)</f>
        <v>C7H12O2</v>
      </c>
      <c r="F801" t="str">
        <f>VLOOKUP(B801,[1]물질정보!B:F,5,0)</f>
        <v>128.169 g/mol</v>
      </c>
      <c r="G801" s="5" t="str">
        <f>VLOOKUP(B801,[1]물질정보!B:G,6,0)</f>
        <v>CCCCOC(=O)C=C</v>
      </c>
      <c r="H801" t="s">
        <v>26</v>
      </c>
      <c r="I801" t="s">
        <v>45</v>
      </c>
      <c r="J801" t="s">
        <v>275</v>
      </c>
      <c r="K801">
        <v>50</v>
      </c>
      <c r="L801" t="s">
        <v>39</v>
      </c>
      <c r="M801" t="s">
        <v>47</v>
      </c>
      <c r="N801" t="s">
        <v>29</v>
      </c>
      <c r="O801" t="s">
        <v>29</v>
      </c>
      <c r="P801">
        <v>48</v>
      </c>
      <c r="Q801" t="s">
        <v>31</v>
      </c>
      <c r="R801" t="s">
        <v>159</v>
      </c>
      <c r="S801" t="s">
        <v>273</v>
      </c>
      <c r="T801" t="s">
        <v>29</v>
      </c>
      <c r="U801" t="s">
        <v>29</v>
      </c>
      <c r="V801" s="6" t="s">
        <v>160</v>
      </c>
      <c r="W801" t="s">
        <v>47</v>
      </c>
      <c r="X801" t="s">
        <v>48</v>
      </c>
      <c r="Y801" s="6" t="s">
        <v>275</v>
      </c>
    </row>
    <row r="802" spans="2:25" x14ac:dyDescent="0.3">
      <c r="B802" s="5" t="s">
        <v>65</v>
      </c>
      <c r="C802" s="5" t="str">
        <f>VLOOKUP(B802,[1]물질정보!B:C,2,0)</f>
        <v>141-32-2</v>
      </c>
      <c r="D802" t="str">
        <f>VLOOKUP(B802,[1]물질정보!B:D,3,0)</f>
        <v>butyl acrylate</v>
      </c>
      <c r="E802" t="str">
        <f>VLOOKUP(B802,[1]물질정보!B:E,4,0)</f>
        <v>C7H12O2</v>
      </c>
      <c r="F802" t="str">
        <f>VLOOKUP(B802,[1]물질정보!B:F,5,0)</f>
        <v>128.169 g/mol</v>
      </c>
      <c r="G802" s="5" t="str">
        <f>VLOOKUP(B802,[1]물질정보!B:G,6,0)</f>
        <v>CCCCOC(=O)C=C</v>
      </c>
      <c r="H802" t="s">
        <v>26</v>
      </c>
      <c r="I802" t="s">
        <v>45</v>
      </c>
      <c r="J802" t="s">
        <v>49</v>
      </c>
      <c r="K802">
        <v>230</v>
      </c>
      <c r="L802" t="s">
        <v>39</v>
      </c>
      <c r="M802" t="s">
        <v>287</v>
      </c>
      <c r="N802" t="s">
        <v>29</v>
      </c>
      <c r="O802" t="s">
        <v>29</v>
      </c>
      <c r="P802">
        <v>24</v>
      </c>
      <c r="Q802" t="s">
        <v>31</v>
      </c>
      <c r="R802" t="s">
        <v>159</v>
      </c>
      <c r="S802" t="s">
        <v>29</v>
      </c>
      <c r="T802" t="s">
        <v>29</v>
      </c>
      <c r="U802" t="s">
        <v>29</v>
      </c>
      <c r="V802" s="6" t="s">
        <v>163</v>
      </c>
      <c r="W802" t="s">
        <v>47</v>
      </c>
      <c r="X802" t="s">
        <v>251</v>
      </c>
      <c r="Y802" s="6" t="s">
        <v>49</v>
      </c>
    </row>
    <row r="803" spans="2:25" x14ac:dyDescent="0.3">
      <c r="B803" s="5" t="s">
        <v>65</v>
      </c>
      <c r="C803" s="5" t="str">
        <f>VLOOKUP(B803,[1]물질정보!B:C,2,0)</f>
        <v>141-32-2</v>
      </c>
      <c r="D803" t="str">
        <f>VLOOKUP(B803,[1]물질정보!B:D,3,0)</f>
        <v>butyl acrylate</v>
      </c>
      <c r="E803" t="str">
        <f>VLOOKUP(B803,[1]물질정보!B:E,4,0)</f>
        <v>C7H12O2</v>
      </c>
      <c r="F803" t="str">
        <f>VLOOKUP(B803,[1]물질정보!B:F,5,0)</f>
        <v>128.169 g/mol</v>
      </c>
      <c r="G803" s="5" t="str">
        <f>VLOOKUP(B803,[1]물질정보!B:G,6,0)</f>
        <v>CCCCOC(=O)C=C</v>
      </c>
      <c r="H803" t="s">
        <v>26</v>
      </c>
      <c r="I803" t="s">
        <v>45</v>
      </c>
      <c r="J803" t="s">
        <v>28</v>
      </c>
      <c r="K803">
        <v>8.1999999999999993</v>
      </c>
      <c r="L803" t="s">
        <v>39</v>
      </c>
      <c r="M803" t="s">
        <v>277</v>
      </c>
      <c r="N803" t="s">
        <v>29</v>
      </c>
      <c r="O803" t="s">
        <v>29</v>
      </c>
      <c r="P803">
        <v>48</v>
      </c>
      <c r="Q803" t="s">
        <v>31</v>
      </c>
      <c r="R803" t="s">
        <v>159</v>
      </c>
      <c r="S803" t="s">
        <v>29</v>
      </c>
      <c r="T803" t="s">
        <v>29</v>
      </c>
      <c r="U803" t="s">
        <v>29</v>
      </c>
      <c r="V803" s="6" t="s">
        <v>168</v>
      </c>
      <c r="W803" t="s">
        <v>47</v>
      </c>
      <c r="X803" t="s">
        <v>48</v>
      </c>
      <c r="Y803" s="6" t="s">
        <v>28</v>
      </c>
    </row>
    <row r="804" spans="2:25" x14ac:dyDescent="0.3">
      <c r="B804" s="5" t="s">
        <v>65</v>
      </c>
      <c r="C804" s="5" t="str">
        <f>VLOOKUP(B804,[1]물질정보!B:C,2,0)</f>
        <v>141-32-2</v>
      </c>
      <c r="D804" t="str">
        <f>VLOOKUP(B804,[1]물질정보!B:D,3,0)</f>
        <v>butyl acrylate</v>
      </c>
      <c r="E804" t="str">
        <f>VLOOKUP(B804,[1]물질정보!B:E,4,0)</f>
        <v>C7H12O2</v>
      </c>
      <c r="F804" t="str">
        <f>VLOOKUP(B804,[1]물질정보!B:F,5,0)</f>
        <v>128.169 g/mol</v>
      </c>
      <c r="G804" s="5" t="str">
        <f>VLOOKUP(B804,[1]물질정보!B:G,6,0)</f>
        <v>CCCCOC(=O)C=C</v>
      </c>
      <c r="H804" t="s">
        <v>26</v>
      </c>
      <c r="I804" t="s">
        <v>45</v>
      </c>
      <c r="J804" t="s">
        <v>28</v>
      </c>
      <c r="K804">
        <v>8.1999999999999993</v>
      </c>
      <c r="L804" t="s">
        <v>39</v>
      </c>
      <c r="M804" t="s">
        <v>277</v>
      </c>
      <c r="N804" t="s">
        <v>29</v>
      </c>
      <c r="O804" t="s">
        <v>29</v>
      </c>
      <c r="P804">
        <v>48</v>
      </c>
      <c r="Q804" t="s">
        <v>31</v>
      </c>
      <c r="R804" t="s">
        <v>159</v>
      </c>
      <c r="S804" t="s">
        <v>29</v>
      </c>
      <c r="T804" t="s">
        <v>29</v>
      </c>
      <c r="U804" t="s">
        <v>29</v>
      </c>
      <c r="V804" s="6" t="s">
        <v>169</v>
      </c>
      <c r="W804" t="s">
        <v>47</v>
      </c>
      <c r="X804" t="s">
        <v>48</v>
      </c>
      <c r="Y804" s="6" t="s">
        <v>28</v>
      </c>
    </row>
    <row r="805" spans="2:25" x14ac:dyDescent="0.3">
      <c r="B805" s="5" t="s">
        <v>64</v>
      </c>
      <c r="C805" s="5" t="str">
        <f>VLOOKUP(B805,[1]물질정보!B:C,2,0)</f>
        <v>2478-10-6</v>
      </c>
      <c r="D805" t="str">
        <f>VLOOKUP(B805,[1]물질정보!B:D,3,0)</f>
        <v>4-hydroxybutyl acrylate</v>
      </c>
      <c r="E805" t="str">
        <f>VLOOKUP(B805,[1]물질정보!B:E,4,0)</f>
        <v>C7H12O3</v>
      </c>
      <c r="F805" t="str">
        <f>VLOOKUP(B805,[1]물질정보!B:F,5,0)</f>
        <v>144.17 g/mol</v>
      </c>
      <c r="G805" s="5" t="str">
        <f>VLOOKUP(B805,[1]물질정보!B:G,6,0)</f>
        <v>C=CC(=O)OCCCCO</v>
      </c>
      <c r="H805" t="s">
        <v>26</v>
      </c>
      <c r="I805" t="s">
        <v>45</v>
      </c>
      <c r="J805" t="s">
        <v>28</v>
      </c>
      <c r="K805">
        <v>22.53</v>
      </c>
      <c r="L805" t="s">
        <v>39</v>
      </c>
      <c r="M805" t="s">
        <v>47</v>
      </c>
      <c r="N805" t="s">
        <v>29</v>
      </c>
      <c r="O805" t="s">
        <v>29</v>
      </c>
      <c r="P805">
        <v>48</v>
      </c>
      <c r="Q805" t="s">
        <v>31</v>
      </c>
      <c r="R805" t="s">
        <v>159</v>
      </c>
      <c r="S805" t="s">
        <v>278</v>
      </c>
      <c r="T805" t="s">
        <v>29</v>
      </c>
      <c r="U805" t="s">
        <v>29</v>
      </c>
      <c r="V805" s="6" t="s">
        <v>160</v>
      </c>
      <c r="W805" t="s">
        <v>47</v>
      </c>
      <c r="X805" t="s">
        <v>48</v>
      </c>
      <c r="Y805" s="6" t="s">
        <v>28</v>
      </c>
    </row>
    <row r="806" spans="2:25" x14ac:dyDescent="0.3">
      <c r="B806" s="5" t="s">
        <v>64</v>
      </c>
      <c r="C806" s="5" t="str">
        <f>VLOOKUP(B806,[1]물질정보!B:C,2,0)</f>
        <v>2478-10-6</v>
      </c>
      <c r="D806" t="str">
        <f>VLOOKUP(B806,[1]물질정보!B:D,3,0)</f>
        <v>4-hydroxybutyl acrylate</v>
      </c>
      <c r="E806" t="str">
        <f>VLOOKUP(B806,[1]물질정보!B:E,4,0)</f>
        <v>C7H12O3</v>
      </c>
      <c r="F806" t="str">
        <f>VLOOKUP(B806,[1]물질정보!B:F,5,0)</f>
        <v>144.17 g/mol</v>
      </c>
      <c r="G806" s="5" t="str">
        <f>VLOOKUP(B806,[1]물질정보!B:G,6,0)</f>
        <v>C=CC(=O)OCCCCO</v>
      </c>
      <c r="H806" t="s">
        <v>26</v>
      </c>
      <c r="I806" t="s">
        <v>45</v>
      </c>
      <c r="J806" t="s">
        <v>279</v>
      </c>
      <c r="K806">
        <v>12.5</v>
      </c>
      <c r="L806" t="s">
        <v>39</v>
      </c>
      <c r="M806" t="s">
        <v>47</v>
      </c>
      <c r="N806" t="s">
        <v>29</v>
      </c>
      <c r="O806" t="s">
        <v>29</v>
      </c>
      <c r="P806">
        <v>48</v>
      </c>
      <c r="Q806" t="s">
        <v>31</v>
      </c>
      <c r="R806" t="s">
        <v>159</v>
      </c>
      <c r="S806" t="s">
        <v>278</v>
      </c>
      <c r="T806" t="s">
        <v>29</v>
      </c>
      <c r="U806" t="s">
        <v>29</v>
      </c>
      <c r="V806" s="6" t="s">
        <v>160</v>
      </c>
      <c r="W806" t="s">
        <v>47</v>
      </c>
      <c r="X806" t="s">
        <v>48</v>
      </c>
      <c r="Y806" s="6" t="s">
        <v>279</v>
      </c>
    </row>
    <row r="807" spans="2:25" x14ac:dyDescent="0.3">
      <c r="B807" s="5" t="s">
        <v>64</v>
      </c>
      <c r="C807" s="5" t="str">
        <f>VLOOKUP(B807,[1]물질정보!B:C,2,0)</f>
        <v>2478-10-6</v>
      </c>
      <c r="D807" t="str">
        <f>VLOOKUP(B807,[1]물질정보!B:D,3,0)</f>
        <v>4-hydroxybutyl acrylate</v>
      </c>
      <c r="E807" t="str">
        <f>VLOOKUP(B807,[1]물질정보!B:E,4,0)</f>
        <v>C7H12O3</v>
      </c>
      <c r="F807" t="str">
        <f>VLOOKUP(B807,[1]물질정보!B:F,5,0)</f>
        <v>144.17 g/mol</v>
      </c>
      <c r="G807" s="5" t="str">
        <f>VLOOKUP(B807,[1]물질정보!B:G,6,0)</f>
        <v>C=CC(=O)OCCCCO</v>
      </c>
      <c r="H807" t="s">
        <v>26</v>
      </c>
      <c r="I807" t="s">
        <v>45</v>
      </c>
      <c r="J807" t="s">
        <v>275</v>
      </c>
      <c r="K807">
        <v>50</v>
      </c>
      <c r="L807" t="s">
        <v>39</v>
      </c>
      <c r="M807" t="s">
        <v>47</v>
      </c>
      <c r="N807" t="s">
        <v>29</v>
      </c>
      <c r="O807" t="s">
        <v>29</v>
      </c>
      <c r="P807">
        <v>48</v>
      </c>
      <c r="Q807" t="s">
        <v>31</v>
      </c>
      <c r="R807" t="s">
        <v>159</v>
      </c>
      <c r="S807" t="s">
        <v>278</v>
      </c>
      <c r="T807" t="s">
        <v>29</v>
      </c>
      <c r="U807" t="s">
        <v>29</v>
      </c>
      <c r="V807" s="6" t="s">
        <v>160</v>
      </c>
      <c r="W807" t="s">
        <v>47</v>
      </c>
      <c r="X807" t="s">
        <v>48</v>
      </c>
      <c r="Y807" s="6" t="s">
        <v>275</v>
      </c>
    </row>
    <row r="808" spans="2:25" x14ac:dyDescent="0.3">
      <c r="B808" s="5" t="s">
        <v>59</v>
      </c>
      <c r="C808" s="5" t="str">
        <f>VLOOKUP(B808,[1]물질정보!B:C,2,0)</f>
        <v>2499-95-8</v>
      </c>
      <c r="D808" t="str">
        <f>VLOOKUP(B808,[1]물질정보!B:D,3,0)</f>
        <v>hexyl acrylate</v>
      </c>
      <c r="E808" t="str">
        <f>VLOOKUP(B808,[1]물질정보!B:E,4,0)</f>
        <v>C9H16O2</v>
      </c>
      <c r="F808" t="str">
        <f>VLOOKUP(B808,[1]물질정보!B:F,5,0)</f>
        <v>156.22 g/mol</v>
      </c>
      <c r="G808" s="5" t="str">
        <f>VLOOKUP(B808,[1]물질정보!B:G,6,0)</f>
        <v>CCCCCCOC(=O)C=C</v>
      </c>
      <c r="H808" t="s">
        <v>26</v>
      </c>
      <c r="I808" t="s">
        <v>45</v>
      </c>
      <c r="J808" t="s">
        <v>49</v>
      </c>
      <c r="K808">
        <v>1.82</v>
      </c>
      <c r="L808" t="s">
        <v>39</v>
      </c>
      <c r="M808" t="s">
        <v>288</v>
      </c>
      <c r="N808" t="s">
        <v>29</v>
      </c>
      <c r="O808" t="s">
        <v>29</v>
      </c>
      <c r="P808">
        <v>48</v>
      </c>
      <c r="Q808" t="s">
        <v>31</v>
      </c>
      <c r="R808" t="s">
        <v>159</v>
      </c>
      <c r="S808" t="s">
        <v>273</v>
      </c>
      <c r="T808" t="s">
        <v>29</v>
      </c>
      <c r="U808" t="s">
        <v>29</v>
      </c>
      <c r="V808" s="6" t="s">
        <v>160</v>
      </c>
      <c r="W808" t="s">
        <v>288</v>
      </c>
      <c r="X808" t="s">
        <v>48</v>
      </c>
      <c r="Y808" s="6" t="s">
        <v>49</v>
      </c>
    </row>
    <row r="809" spans="2:25" x14ac:dyDescent="0.3">
      <c r="B809" s="5" t="s">
        <v>71</v>
      </c>
      <c r="C809" s="5" t="str">
        <f>VLOOKUP(B809,[1]물질정보!B:C,2,0)</f>
        <v>97-63-2</v>
      </c>
      <c r="D809" t="str">
        <f>VLOOKUP(B809,[1]물질정보!B:D,3,0)</f>
        <v>ethyl methacrylate</v>
      </c>
      <c r="E809" t="str">
        <f>VLOOKUP(B809,[1]물질정보!B:E,4,0)</f>
        <v>C6H10O2</v>
      </c>
      <c r="F809" t="str">
        <f>VLOOKUP(B809,[1]물질정보!B:F,5,0)</f>
        <v>114.14 g/mol</v>
      </c>
      <c r="G809" s="5" t="str">
        <f>VLOOKUP(B809,[1]물질정보!B:G,6,0)</f>
        <v>CCOC(=O)C(=C)C</v>
      </c>
      <c r="H809" t="s">
        <v>26</v>
      </c>
      <c r="I809" t="s">
        <v>27</v>
      </c>
      <c r="J809" t="s">
        <v>241</v>
      </c>
      <c r="K809">
        <v>10</v>
      </c>
      <c r="L809" t="s">
        <v>39</v>
      </c>
      <c r="M809" t="s">
        <v>289</v>
      </c>
      <c r="N809" t="s">
        <v>29</v>
      </c>
      <c r="O809" t="s">
        <v>29</v>
      </c>
      <c r="P809">
        <v>72</v>
      </c>
      <c r="Q809" t="s">
        <v>31</v>
      </c>
      <c r="R809" t="s">
        <v>159</v>
      </c>
      <c r="S809" t="s">
        <v>689</v>
      </c>
      <c r="T809" t="s">
        <v>29</v>
      </c>
      <c r="U809" t="s">
        <v>29</v>
      </c>
      <c r="V809" s="6" t="s">
        <v>160</v>
      </c>
      <c r="W809" t="s">
        <v>43</v>
      </c>
      <c r="X809" t="s">
        <v>44</v>
      </c>
      <c r="Y809" s="6" t="s">
        <v>241</v>
      </c>
    </row>
    <row r="810" spans="2:25" x14ac:dyDescent="0.3">
      <c r="B810" s="5" t="s">
        <v>71</v>
      </c>
      <c r="C810" s="5" t="str">
        <f>VLOOKUP(B810,[1]물질정보!B:C,2,0)</f>
        <v>97-63-2</v>
      </c>
      <c r="D810" t="str">
        <f>VLOOKUP(B810,[1]물질정보!B:D,3,0)</f>
        <v>ethyl methacrylate</v>
      </c>
      <c r="E810" t="str">
        <f>VLOOKUP(B810,[1]물질정보!B:E,4,0)</f>
        <v>C6H10O2</v>
      </c>
      <c r="F810" t="str">
        <f>VLOOKUP(B810,[1]물질정보!B:F,5,0)</f>
        <v>114.14 g/mol</v>
      </c>
      <c r="G810" s="5" t="str">
        <f>VLOOKUP(B810,[1]물질정보!B:G,6,0)</f>
        <v>CCOC(=O)C(=C)C</v>
      </c>
      <c r="H810" t="s">
        <v>26</v>
      </c>
      <c r="I810" t="s">
        <v>27</v>
      </c>
      <c r="J810" t="s">
        <v>291</v>
      </c>
      <c r="K810">
        <v>27</v>
      </c>
      <c r="L810" t="s">
        <v>39</v>
      </c>
      <c r="M810" t="s">
        <v>289</v>
      </c>
      <c r="N810" t="s">
        <v>29</v>
      </c>
      <c r="O810" t="s">
        <v>29</v>
      </c>
      <c r="P810">
        <v>72</v>
      </c>
      <c r="Q810" t="s">
        <v>31</v>
      </c>
      <c r="R810" t="s">
        <v>159</v>
      </c>
      <c r="S810" t="s">
        <v>290</v>
      </c>
      <c r="T810" t="s">
        <v>29</v>
      </c>
      <c r="U810" t="s">
        <v>29</v>
      </c>
      <c r="V810" s="6" t="s">
        <v>160</v>
      </c>
      <c r="W810" t="s">
        <v>43</v>
      </c>
      <c r="X810" t="s">
        <v>44</v>
      </c>
      <c r="Y810" s="6" t="s">
        <v>291</v>
      </c>
    </row>
    <row r="811" spans="2:25" x14ac:dyDescent="0.3">
      <c r="B811" s="5" t="s">
        <v>71</v>
      </c>
      <c r="C811" s="5" t="str">
        <f>VLOOKUP(B811,[1]물질정보!B:C,2,0)</f>
        <v>97-63-2</v>
      </c>
      <c r="D811" t="str">
        <f>VLOOKUP(B811,[1]물질정보!B:D,3,0)</f>
        <v>ethyl methacrylate</v>
      </c>
      <c r="E811" t="str">
        <f>VLOOKUP(B811,[1]물질정보!B:E,4,0)</f>
        <v>C6H10O2</v>
      </c>
      <c r="F811" t="str">
        <f>VLOOKUP(B811,[1]물질정보!B:F,5,0)</f>
        <v>114.14 g/mol</v>
      </c>
      <c r="G811" s="5" t="str">
        <f>VLOOKUP(B811,[1]물질정보!B:G,6,0)</f>
        <v>CCOC(=O)C(=C)C</v>
      </c>
      <c r="H811" t="s">
        <v>26</v>
      </c>
      <c r="I811" t="s">
        <v>27</v>
      </c>
      <c r="J811" t="s">
        <v>28</v>
      </c>
      <c r="K811">
        <v>72</v>
      </c>
      <c r="L811" t="s">
        <v>39</v>
      </c>
      <c r="M811" t="s">
        <v>289</v>
      </c>
      <c r="N811" t="s">
        <v>29</v>
      </c>
      <c r="O811" t="s">
        <v>29</v>
      </c>
      <c r="P811">
        <v>72</v>
      </c>
      <c r="Q811" t="s">
        <v>31</v>
      </c>
      <c r="R811" t="s">
        <v>159</v>
      </c>
      <c r="S811" t="s">
        <v>290</v>
      </c>
      <c r="T811" t="s">
        <v>29</v>
      </c>
      <c r="U811" t="s">
        <v>29</v>
      </c>
      <c r="V811" s="6" t="s">
        <v>160</v>
      </c>
      <c r="W811" t="s">
        <v>43</v>
      </c>
      <c r="X811" t="s">
        <v>44</v>
      </c>
      <c r="Y811" s="6" t="s">
        <v>28</v>
      </c>
    </row>
    <row r="812" spans="2:25" x14ac:dyDescent="0.3">
      <c r="B812" s="5" t="s">
        <v>71</v>
      </c>
      <c r="C812" s="5" t="str">
        <f>VLOOKUP(B812,[1]물질정보!B:C,2,0)</f>
        <v>97-63-2</v>
      </c>
      <c r="D812" t="str">
        <f>VLOOKUP(B812,[1]물질정보!B:D,3,0)</f>
        <v>ethyl methacrylate</v>
      </c>
      <c r="E812" t="str">
        <f>VLOOKUP(B812,[1]물질정보!B:E,4,0)</f>
        <v>C6H10O2</v>
      </c>
      <c r="F812" t="str">
        <f>VLOOKUP(B812,[1]물질정보!B:F,5,0)</f>
        <v>114.14 g/mol</v>
      </c>
      <c r="G812" s="5" t="str">
        <f>VLOOKUP(B812,[1]물질정보!B:G,6,0)</f>
        <v>CCOC(=O)C(=C)C</v>
      </c>
      <c r="H812" t="s">
        <v>26</v>
      </c>
      <c r="I812" t="s">
        <v>27</v>
      </c>
      <c r="J812" t="s">
        <v>241</v>
      </c>
      <c r="K812">
        <v>110</v>
      </c>
      <c r="L812" t="s">
        <v>39</v>
      </c>
      <c r="M812" t="s">
        <v>29</v>
      </c>
      <c r="N812" t="s">
        <v>29</v>
      </c>
      <c r="O812" t="s">
        <v>29</v>
      </c>
      <c r="P812">
        <v>72</v>
      </c>
      <c r="Q812" t="s">
        <v>31</v>
      </c>
      <c r="R812" t="s">
        <v>159</v>
      </c>
      <c r="S812" t="s">
        <v>290</v>
      </c>
      <c r="T812" t="s">
        <v>29</v>
      </c>
      <c r="U812" t="s">
        <v>29</v>
      </c>
      <c r="V812" s="6" t="s">
        <v>160</v>
      </c>
      <c r="W812" t="s">
        <v>29</v>
      </c>
      <c r="X812" t="s">
        <v>44</v>
      </c>
      <c r="Y812" s="6" t="s">
        <v>241</v>
      </c>
    </row>
    <row r="813" spans="2:25" x14ac:dyDescent="0.3">
      <c r="B813" s="5" t="s">
        <v>71</v>
      </c>
      <c r="C813" s="5" t="str">
        <f>VLOOKUP(B813,[1]물질정보!B:C,2,0)</f>
        <v>97-63-2</v>
      </c>
      <c r="D813" t="str">
        <f>VLOOKUP(B813,[1]물질정보!B:D,3,0)</f>
        <v>ethyl methacrylate</v>
      </c>
      <c r="E813" t="str">
        <f>VLOOKUP(B813,[1]물질정보!B:E,4,0)</f>
        <v>C6H10O2</v>
      </c>
      <c r="F813" t="str">
        <f>VLOOKUP(B813,[1]물질정보!B:F,5,0)</f>
        <v>114.14 g/mol</v>
      </c>
      <c r="G813" s="5" t="str">
        <f>VLOOKUP(B813,[1]물질정보!B:G,6,0)</f>
        <v>CCOC(=O)C(=C)C</v>
      </c>
      <c r="H813" t="s">
        <v>26</v>
      </c>
      <c r="I813" t="s">
        <v>27</v>
      </c>
      <c r="J813" t="s">
        <v>291</v>
      </c>
      <c r="K813">
        <v>110</v>
      </c>
      <c r="L813" t="s">
        <v>39</v>
      </c>
      <c r="M813" t="s">
        <v>29</v>
      </c>
      <c r="N813" t="s">
        <v>29</v>
      </c>
      <c r="O813" t="s">
        <v>29</v>
      </c>
      <c r="P813">
        <v>72</v>
      </c>
      <c r="Q813" t="s">
        <v>31</v>
      </c>
      <c r="R813" t="s">
        <v>159</v>
      </c>
      <c r="S813" t="s">
        <v>290</v>
      </c>
      <c r="T813" t="s">
        <v>29</v>
      </c>
      <c r="U813" t="s">
        <v>29</v>
      </c>
      <c r="V813" s="6" t="s">
        <v>160</v>
      </c>
      <c r="W813" t="s">
        <v>29</v>
      </c>
      <c r="X813" t="s">
        <v>44</v>
      </c>
      <c r="Y813" s="6" t="s">
        <v>291</v>
      </c>
    </row>
    <row r="814" spans="2:25" x14ac:dyDescent="0.3">
      <c r="B814" s="5" t="s">
        <v>71</v>
      </c>
      <c r="C814" s="5" t="str">
        <f>VLOOKUP(B814,[1]물질정보!B:C,2,0)</f>
        <v>97-63-2</v>
      </c>
      <c r="D814" t="str">
        <f>VLOOKUP(B814,[1]물질정보!B:D,3,0)</f>
        <v>ethyl methacrylate</v>
      </c>
      <c r="E814" t="str">
        <f>VLOOKUP(B814,[1]물질정보!B:E,4,0)</f>
        <v>C6H10O2</v>
      </c>
      <c r="F814" t="str">
        <f>VLOOKUP(B814,[1]물질정보!B:F,5,0)</f>
        <v>114.14 g/mol</v>
      </c>
      <c r="G814" s="5" t="str">
        <f>VLOOKUP(B814,[1]물질정보!B:G,6,0)</f>
        <v>CCOC(=O)C(=C)C</v>
      </c>
      <c r="H814" t="s">
        <v>26</v>
      </c>
      <c r="I814" t="s">
        <v>27</v>
      </c>
      <c r="J814" t="s">
        <v>28</v>
      </c>
      <c r="K814">
        <v>110</v>
      </c>
      <c r="L814" t="s">
        <v>39</v>
      </c>
      <c r="M814" t="s">
        <v>29</v>
      </c>
      <c r="N814" t="s">
        <v>29</v>
      </c>
      <c r="O814" t="s">
        <v>29</v>
      </c>
      <c r="P814">
        <v>72</v>
      </c>
      <c r="Q814" t="s">
        <v>31</v>
      </c>
      <c r="R814" t="s">
        <v>159</v>
      </c>
      <c r="S814" t="s">
        <v>290</v>
      </c>
      <c r="T814" t="s">
        <v>29</v>
      </c>
      <c r="U814" t="s">
        <v>29</v>
      </c>
      <c r="V814" s="6" t="s">
        <v>160</v>
      </c>
      <c r="W814" t="s">
        <v>29</v>
      </c>
      <c r="X814" t="s">
        <v>44</v>
      </c>
      <c r="Y814" s="6" t="s">
        <v>28</v>
      </c>
    </row>
    <row r="815" spans="2:25" x14ac:dyDescent="0.3">
      <c r="B815" s="5" t="s">
        <v>71</v>
      </c>
      <c r="C815" s="5" t="str">
        <f>VLOOKUP(B815,[1]물질정보!B:C,2,0)</f>
        <v>97-63-2</v>
      </c>
      <c r="D815" t="str">
        <f>VLOOKUP(B815,[1]물질정보!B:D,3,0)</f>
        <v>ethyl methacrylate</v>
      </c>
      <c r="E815" t="str">
        <f>VLOOKUP(B815,[1]물질정보!B:E,4,0)</f>
        <v>C6H10O2</v>
      </c>
      <c r="F815" t="str">
        <f>VLOOKUP(B815,[1]물질정보!B:F,5,0)</f>
        <v>114.14 g/mol</v>
      </c>
      <c r="G815" s="5" t="str">
        <f>VLOOKUP(B815,[1]물질정보!B:G,6,0)</f>
        <v>CCOC(=O)C(=C)C</v>
      </c>
      <c r="H815" t="s">
        <v>26</v>
      </c>
      <c r="I815" t="s">
        <v>27</v>
      </c>
      <c r="J815" t="s">
        <v>28</v>
      </c>
      <c r="K815">
        <v>110</v>
      </c>
      <c r="L815" t="s">
        <v>39</v>
      </c>
      <c r="M815" t="s">
        <v>289</v>
      </c>
      <c r="N815" t="s">
        <v>29</v>
      </c>
      <c r="O815" t="s">
        <v>29</v>
      </c>
      <c r="P815">
        <v>72</v>
      </c>
      <c r="Q815" t="s">
        <v>31</v>
      </c>
      <c r="R815" t="s">
        <v>159</v>
      </c>
      <c r="S815" t="s">
        <v>29</v>
      </c>
      <c r="T815" t="s">
        <v>29</v>
      </c>
      <c r="U815" t="s">
        <v>29</v>
      </c>
      <c r="V815" s="6" t="s">
        <v>163</v>
      </c>
      <c r="W815" t="s">
        <v>43</v>
      </c>
      <c r="X815" t="s">
        <v>44</v>
      </c>
      <c r="Y815" s="6" t="s">
        <v>28</v>
      </c>
    </row>
    <row r="816" spans="2:25" x14ac:dyDescent="0.3">
      <c r="B816" s="5" t="s">
        <v>71</v>
      </c>
      <c r="C816" s="5" t="str">
        <f>VLOOKUP(B816,[1]물질정보!B:C,2,0)</f>
        <v>97-63-2</v>
      </c>
      <c r="D816" t="str">
        <f>VLOOKUP(B816,[1]물질정보!B:D,3,0)</f>
        <v>ethyl methacrylate</v>
      </c>
      <c r="E816" t="str">
        <f>VLOOKUP(B816,[1]물질정보!B:E,4,0)</f>
        <v>C6H10O2</v>
      </c>
      <c r="F816" t="str">
        <f>VLOOKUP(B816,[1]물질정보!B:F,5,0)</f>
        <v>114.14 g/mol</v>
      </c>
      <c r="G816" s="5" t="str">
        <f>VLOOKUP(B816,[1]물질정보!B:G,6,0)</f>
        <v>CCOC(=O)C(=C)C</v>
      </c>
      <c r="H816" t="s">
        <v>26</v>
      </c>
      <c r="I816" t="s">
        <v>27</v>
      </c>
      <c r="J816" t="s">
        <v>28</v>
      </c>
      <c r="K816">
        <v>72</v>
      </c>
      <c r="L816" t="s">
        <v>39</v>
      </c>
      <c r="M816" t="s">
        <v>289</v>
      </c>
      <c r="N816" t="s">
        <v>29</v>
      </c>
      <c r="O816" t="s">
        <v>29</v>
      </c>
      <c r="P816">
        <v>72</v>
      </c>
      <c r="Q816" t="s">
        <v>31</v>
      </c>
      <c r="R816" t="s">
        <v>159</v>
      </c>
      <c r="S816" t="s">
        <v>29</v>
      </c>
      <c r="T816" t="s">
        <v>29</v>
      </c>
      <c r="U816" t="s">
        <v>29</v>
      </c>
      <c r="V816" s="6" t="s">
        <v>163</v>
      </c>
      <c r="W816" t="s">
        <v>43</v>
      </c>
      <c r="X816" t="s">
        <v>44</v>
      </c>
      <c r="Y816" s="6" t="s">
        <v>28</v>
      </c>
    </row>
    <row r="817" spans="2:25" x14ac:dyDescent="0.3">
      <c r="B817" s="5" t="s">
        <v>25</v>
      </c>
      <c r="C817" s="5" t="str">
        <f>VLOOKUP(B817,[1]물질정보!B:C,2,0)</f>
        <v>97-88-1</v>
      </c>
      <c r="D817" t="str">
        <f>VLOOKUP(B817,[1]물질정보!B:D,3,0)</f>
        <v>butyl methacrylate</v>
      </c>
      <c r="E817" t="str">
        <f>VLOOKUP(B817,[1]물질정보!B:E,4,0)</f>
        <v>C8H14O2</v>
      </c>
      <c r="F817" t="str">
        <f>VLOOKUP(B817,[1]물질정보!B:F,5,0)</f>
        <v>142.2 g/mol</v>
      </c>
      <c r="G817" s="5" t="str">
        <f>VLOOKUP(B817,[1]물질정보!B:G,6,0)</f>
        <v>CCCCOC(=O)C(=C)C</v>
      </c>
      <c r="H817" t="s">
        <v>26</v>
      </c>
      <c r="I817" t="s">
        <v>27</v>
      </c>
      <c r="J817" t="s">
        <v>241</v>
      </c>
      <c r="K817">
        <v>24.8</v>
      </c>
      <c r="L817" t="s">
        <v>39</v>
      </c>
      <c r="M817" t="s">
        <v>292</v>
      </c>
      <c r="N817" t="s">
        <v>29</v>
      </c>
      <c r="O817" t="s">
        <v>29</v>
      </c>
      <c r="P817">
        <v>72</v>
      </c>
      <c r="Q817" t="s">
        <v>31</v>
      </c>
      <c r="R817" t="s">
        <v>159</v>
      </c>
      <c r="S817" t="s">
        <v>290</v>
      </c>
      <c r="T817" t="s">
        <v>29</v>
      </c>
      <c r="U817" t="s">
        <v>29</v>
      </c>
      <c r="V817" s="6" t="s">
        <v>160</v>
      </c>
      <c r="W817" t="s">
        <v>43</v>
      </c>
      <c r="X817" t="s">
        <v>44</v>
      </c>
      <c r="Y817" s="6" t="s">
        <v>241</v>
      </c>
    </row>
    <row r="818" spans="2:25" x14ac:dyDescent="0.3">
      <c r="B818" s="5" t="s">
        <v>25</v>
      </c>
      <c r="C818" s="5" t="str">
        <f>VLOOKUP(B818,[1]물질정보!B:C,2,0)</f>
        <v>97-88-1</v>
      </c>
      <c r="D818" t="str">
        <f>VLOOKUP(B818,[1]물질정보!B:D,3,0)</f>
        <v>butyl methacrylate</v>
      </c>
      <c r="E818" t="str">
        <f>VLOOKUP(B818,[1]물질정보!B:E,4,0)</f>
        <v>C8H14O2</v>
      </c>
      <c r="F818" t="str">
        <f>VLOOKUP(B818,[1]물질정보!B:F,5,0)</f>
        <v>142.2 g/mol</v>
      </c>
      <c r="G818" s="5" t="str">
        <f>VLOOKUP(B818,[1]물질정보!B:G,6,0)</f>
        <v>CCCCOC(=O)C(=C)C</v>
      </c>
      <c r="H818" t="s">
        <v>26</v>
      </c>
      <c r="I818" t="s">
        <v>27</v>
      </c>
      <c r="J818" t="s">
        <v>28</v>
      </c>
      <c r="K818">
        <v>31.2</v>
      </c>
      <c r="L818" t="s">
        <v>39</v>
      </c>
      <c r="M818" t="s">
        <v>292</v>
      </c>
      <c r="N818" t="s">
        <v>29</v>
      </c>
      <c r="O818" t="s">
        <v>29</v>
      </c>
      <c r="P818">
        <v>72</v>
      </c>
      <c r="Q818" t="s">
        <v>31</v>
      </c>
      <c r="R818" t="s">
        <v>159</v>
      </c>
      <c r="S818" t="s">
        <v>290</v>
      </c>
      <c r="T818" t="s">
        <v>29</v>
      </c>
      <c r="U818" t="s">
        <v>29</v>
      </c>
      <c r="V818" s="6" t="s">
        <v>160</v>
      </c>
      <c r="W818" t="s">
        <v>43</v>
      </c>
      <c r="X818" t="s">
        <v>44</v>
      </c>
      <c r="Y818" s="6" t="s">
        <v>28</v>
      </c>
    </row>
    <row r="819" spans="2:25" x14ac:dyDescent="0.3">
      <c r="B819" s="5" t="s">
        <v>25</v>
      </c>
      <c r="C819" s="5" t="str">
        <f>VLOOKUP(B819,[1]물질정보!B:C,2,0)</f>
        <v>97-88-1</v>
      </c>
      <c r="D819" t="str">
        <f>VLOOKUP(B819,[1]물질정보!B:D,3,0)</f>
        <v>butyl methacrylate</v>
      </c>
      <c r="E819" t="str">
        <f>VLOOKUP(B819,[1]물질정보!B:E,4,0)</f>
        <v>C8H14O2</v>
      </c>
      <c r="F819" t="str">
        <f>VLOOKUP(B819,[1]물질정보!B:F,5,0)</f>
        <v>142.2 g/mol</v>
      </c>
      <c r="G819" s="5" t="str">
        <f>VLOOKUP(B819,[1]물질정보!B:G,6,0)</f>
        <v>CCCCOC(=O)C(=C)C</v>
      </c>
      <c r="H819" t="s">
        <v>26</v>
      </c>
      <c r="I819" t="s">
        <v>27</v>
      </c>
      <c r="J819" t="s">
        <v>241</v>
      </c>
      <c r="K819">
        <v>26</v>
      </c>
      <c r="L819" t="s">
        <v>39</v>
      </c>
      <c r="M819" t="s">
        <v>292</v>
      </c>
      <c r="N819" t="s">
        <v>29</v>
      </c>
      <c r="O819" t="s">
        <v>29</v>
      </c>
      <c r="P819">
        <v>96</v>
      </c>
      <c r="Q819" t="s">
        <v>31</v>
      </c>
      <c r="R819" t="s">
        <v>159</v>
      </c>
      <c r="S819" t="s">
        <v>293</v>
      </c>
      <c r="T819" t="s">
        <v>29</v>
      </c>
      <c r="U819" t="s">
        <v>29</v>
      </c>
      <c r="V819" s="6" t="s">
        <v>160</v>
      </c>
      <c r="W819" t="s">
        <v>43</v>
      </c>
      <c r="X819" t="s">
        <v>37</v>
      </c>
      <c r="Y819" s="6" t="s">
        <v>241</v>
      </c>
    </row>
    <row r="820" spans="2:25" x14ac:dyDescent="0.3">
      <c r="B820" s="5" t="s">
        <v>25</v>
      </c>
      <c r="C820" s="5" t="str">
        <f>VLOOKUP(B820,[1]물질정보!B:C,2,0)</f>
        <v>97-88-1</v>
      </c>
      <c r="D820" t="str">
        <f>VLOOKUP(B820,[1]물질정보!B:D,3,0)</f>
        <v>butyl methacrylate</v>
      </c>
      <c r="E820" t="str">
        <f>VLOOKUP(B820,[1]물질정보!B:E,4,0)</f>
        <v>C8H14O2</v>
      </c>
      <c r="F820" t="str">
        <f>VLOOKUP(B820,[1]물질정보!B:F,5,0)</f>
        <v>142.2 g/mol</v>
      </c>
      <c r="G820" s="5" t="str">
        <f>VLOOKUP(B820,[1]물질정보!B:G,6,0)</f>
        <v>CCCCOC(=O)C(=C)C</v>
      </c>
      <c r="H820" t="s">
        <v>26</v>
      </c>
      <c r="I820" t="s">
        <v>27</v>
      </c>
      <c r="J820" t="s">
        <v>291</v>
      </c>
      <c r="K820">
        <v>54</v>
      </c>
      <c r="L820" t="s">
        <v>39</v>
      </c>
      <c r="M820" t="s">
        <v>292</v>
      </c>
      <c r="N820" t="s">
        <v>29</v>
      </c>
      <c r="O820" t="s">
        <v>29</v>
      </c>
      <c r="P820">
        <v>96</v>
      </c>
      <c r="Q820" t="s">
        <v>31</v>
      </c>
      <c r="R820" t="s">
        <v>159</v>
      </c>
      <c r="S820" t="s">
        <v>293</v>
      </c>
      <c r="T820" t="s">
        <v>29</v>
      </c>
      <c r="U820" t="s">
        <v>29</v>
      </c>
      <c r="V820" s="6" t="s">
        <v>160</v>
      </c>
      <c r="W820" t="s">
        <v>43</v>
      </c>
      <c r="X820" t="s">
        <v>37</v>
      </c>
      <c r="Y820" s="6" t="s">
        <v>291</v>
      </c>
    </row>
    <row r="821" spans="2:25" x14ac:dyDescent="0.3">
      <c r="B821" s="5" t="s">
        <v>25</v>
      </c>
      <c r="C821" s="5" t="str">
        <f>VLOOKUP(B821,[1]물질정보!B:C,2,0)</f>
        <v>97-88-1</v>
      </c>
      <c r="D821" t="str">
        <f>VLOOKUP(B821,[1]물질정보!B:D,3,0)</f>
        <v>butyl methacrylate</v>
      </c>
      <c r="E821" t="str">
        <f>VLOOKUP(B821,[1]물질정보!B:E,4,0)</f>
        <v>C8H14O2</v>
      </c>
      <c r="F821" t="str">
        <f>VLOOKUP(B821,[1]물질정보!B:F,5,0)</f>
        <v>142.2 g/mol</v>
      </c>
      <c r="G821" s="5" t="str">
        <f>VLOOKUP(B821,[1]물질정보!B:G,6,0)</f>
        <v>CCCCOC(=O)C(=C)C</v>
      </c>
      <c r="H821" t="s">
        <v>26</v>
      </c>
      <c r="I821" t="s">
        <v>27</v>
      </c>
      <c r="J821" t="s">
        <v>28</v>
      </c>
      <c r="K821">
        <v>57</v>
      </c>
      <c r="L821" t="s">
        <v>39</v>
      </c>
      <c r="M821" t="s">
        <v>292</v>
      </c>
      <c r="N821" t="s">
        <v>29</v>
      </c>
      <c r="O821" t="s">
        <v>29</v>
      </c>
      <c r="P821">
        <v>96</v>
      </c>
      <c r="Q821" t="s">
        <v>31</v>
      </c>
      <c r="R821" t="s">
        <v>159</v>
      </c>
      <c r="S821" t="s">
        <v>293</v>
      </c>
      <c r="T821" t="s">
        <v>29</v>
      </c>
      <c r="U821" t="s">
        <v>29</v>
      </c>
      <c r="V821" s="6" t="s">
        <v>160</v>
      </c>
      <c r="W821" t="s">
        <v>43</v>
      </c>
      <c r="X821" t="s">
        <v>37</v>
      </c>
      <c r="Y821" s="6" t="s">
        <v>28</v>
      </c>
    </row>
    <row r="822" spans="2:25" x14ac:dyDescent="0.3">
      <c r="B822" s="5" t="s">
        <v>25</v>
      </c>
      <c r="C822" s="5" t="str">
        <f>VLOOKUP(B822,[1]물질정보!B:C,2,0)</f>
        <v>97-88-1</v>
      </c>
      <c r="D822" t="str">
        <f>VLOOKUP(B822,[1]물질정보!B:D,3,0)</f>
        <v>butyl methacrylate</v>
      </c>
      <c r="E822" t="str">
        <f>VLOOKUP(B822,[1]물질정보!B:E,4,0)</f>
        <v>C8H14O2</v>
      </c>
      <c r="F822" t="str">
        <f>VLOOKUP(B822,[1]물질정보!B:F,5,0)</f>
        <v>142.2 g/mol</v>
      </c>
      <c r="G822" s="5" t="str">
        <f>VLOOKUP(B822,[1]물질정보!B:G,6,0)</f>
        <v>CCCCOC(=O)C(=C)C</v>
      </c>
      <c r="H822" t="s">
        <v>26</v>
      </c>
      <c r="I822" t="s">
        <v>27</v>
      </c>
      <c r="J822" t="s">
        <v>241</v>
      </c>
      <c r="K822">
        <v>26</v>
      </c>
      <c r="L822" t="s">
        <v>39</v>
      </c>
      <c r="M822" t="s">
        <v>292</v>
      </c>
      <c r="N822" t="s">
        <v>29</v>
      </c>
      <c r="O822" t="s">
        <v>29</v>
      </c>
      <c r="P822">
        <v>96</v>
      </c>
      <c r="Q822" t="s">
        <v>31</v>
      </c>
      <c r="R822" t="s">
        <v>159</v>
      </c>
      <c r="S822" t="s">
        <v>293</v>
      </c>
      <c r="T822" t="s">
        <v>29</v>
      </c>
      <c r="U822" t="s">
        <v>29</v>
      </c>
      <c r="V822" s="6" t="s">
        <v>160</v>
      </c>
      <c r="W822" t="s">
        <v>43</v>
      </c>
      <c r="X822" t="s">
        <v>37</v>
      </c>
      <c r="Y822" s="6" t="s">
        <v>241</v>
      </c>
    </row>
    <row r="823" spans="2:25" x14ac:dyDescent="0.3">
      <c r="B823" s="5" t="s">
        <v>25</v>
      </c>
      <c r="C823" s="5" t="str">
        <f>VLOOKUP(B823,[1]물질정보!B:C,2,0)</f>
        <v>97-88-1</v>
      </c>
      <c r="D823" t="str">
        <f>VLOOKUP(B823,[1]물질정보!B:D,3,0)</f>
        <v>butyl methacrylate</v>
      </c>
      <c r="E823" t="str">
        <f>VLOOKUP(B823,[1]물질정보!B:E,4,0)</f>
        <v>C8H14O2</v>
      </c>
      <c r="F823" t="str">
        <f>VLOOKUP(B823,[1]물질정보!B:F,5,0)</f>
        <v>142.2 g/mol</v>
      </c>
      <c r="G823" s="5" t="str">
        <f>VLOOKUP(B823,[1]물질정보!B:G,6,0)</f>
        <v>CCCCOC(=O)C(=C)C</v>
      </c>
      <c r="H823" t="s">
        <v>26</v>
      </c>
      <c r="I823" t="s">
        <v>27</v>
      </c>
      <c r="J823" t="s">
        <v>291</v>
      </c>
      <c r="K823">
        <v>54</v>
      </c>
      <c r="L823" t="s">
        <v>39</v>
      </c>
      <c r="M823" t="s">
        <v>292</v>
      </c>
      <c r="N823" t="s">
        <v>29</v>
      </c>
      <c r="O823" t="s">
        <v>29</v>
      </c>
      <c r="P823">
        <v>96</v>
      </c>
      <c r="Q823" t="s">
        <v>31</v>
      </c>
      <c r="R823" t="s">
        <v>159</v>
      </c>
      <c r="S823" t="s">
        <v>293</v>
      </c>
      <c r="T823" t="s">
        <v>29</v>
      </c>
      <c r="U823" t="s">
        <v>29</v>
      </c>
      <c r="V823" s="6" t="s">
        <v>160</v>
      </c>
      <c r="W823" t="s">
        <v>43</v>
      </c>
      <c r="X823" t="s">
        <v>37</v>
      </c>
      <c r="Y823" s="6" t="s">
        <v>291</v>
      </c>
    </row>
    <row r="824" spans="2:25" x14ac:dyDescent="0.3">
      <c r="B824" s="5" t="s">
        <v>25</v>
      </c>
      <c r="C824" s="5" t="str">
        <f>VLOOKUP(B824,[1]물질정보!B:C,2,0)</f>
        <v>97-88-1</v>
      </c>
      <c r="D824" t="str">
        <f>VLOOKUP(B824,[1]물질정보!B:D,3,0)</f>
        <v>butyl methacrylate</v>
      </c>
      <c r="E824" t="str">
        <f>VLOOKUP(B824,[1]물질정보!B:E,4,0)</f>
        <v>C8H14O2</v>
      </c>
      <c r="F824" t="str">
        <f>VLOOKUP(B824,[1]물질정보!B:F,5,0)</f>
        <v>142.2 g/mol</v>
      </c>
      <c r="G824" s="5" t="str">
        <f>VLOOKUP(B824,[1]물질정보!B:G,6,0)</f>
        <v>CCCCOC(=O)C(=C)C</v>
      </c>
      <c r="H824" t="s">
        <v>26</v>
      </c>
      <c r="I824" t="s">
        <v>27</v>
      </c>
      <c r="J824" t="s">
        <v>28</v>
      </c>
      <c r="K824">
        <v>130</v>
      </c>
      <c r="L824" t="s">
        <v>39</v>
      </c>
      <c r="M824" t="s">
        <v>292</v>
      </c>
      <c r="N824" t="s">
        <v>29</v>
      </c>
      <c r="O824" t="s">
        <v>29</v>
      </c>
      <c r="P824">
        <v>96</v>
      </c>
      <c r="Q824" t="s">
        <v>31</v>
      </c>
      <c r="R824" t="s">
        <v>159</v>
      </c>
      <c r="S824" t="s">
        <v>293</v>
      </c>
      <c r="T824" t="s">
        <v>29</v>
      </c>
      <c r="U824" t="s">
        <v>29</v>
      </c>
      <c r="V824" s="6" t="s">
        <v>160</v>
      </c>
      <c r="W824" t="s">
        <v>43</v>
      </c>
      <c r="X824" t="s">
        <v>37</v>
      </c>
      <c r="Y824" s="6" t="s">
        <v>28</v>
      </c>
    </row>
    <row r="825" spans="2:25" x14ac:dyDescent="0.3">
      <c r="B825" s="5" t="s">
        <v>25</v>
      </c>
      <c r="C825" s="5" t="str">
        <f>VLOOKUP(B825,[1]물질정보!B:C,2,0)</f>
        <v>97-88-1</v>
      </c>
      <c r="D825" t="str">
        <f>VLOOKUP(B825,[1]물질정보!B:D,3,0)</f>
        <v>butyl methacrylate</v>
      </c>
      <c r="E825" t="str">
        <f>VLOOKUP(B825,[1]물질정보!B:E,4,0)</f>
        <v>C8H14O2</v>
      </c>
      <c r="F825" t="str">
        <f>VLOOKUP(B825,[1]물질정보!B:F,5,0)</f>
        <v>142.2 g/mol</v>
      </c>
      <c r="G825" s="5" t="str">
        <f>VLOOKUP(B825,[1]물질정보!B:G,6,0)</f>
        <v>CCCCOC(=O)C(=C)C</v>
      </c>
      <c r="H825" t="s">
        <v>26</v>
      </c>
      <c r="I825" t="s">
        <v>27</v>
      </c>
      <c r="J825" t="s">
        <v>28</v>
      </c>
      <c r="K825">
        <v>130</v>
      </c>
      <c r="L825" t="s">
        <v>39</v>
      </c>
      <c r="M825" t="s">
        <v>289</v>
      </c>
      <c r="N825" t="s">
        <v>29</v>
      </c>
      <c r="O825" t="s">
        <v>29</v>
      </c>
      <c r="P825">
        <v>72</v>
      </c>
      <c r="Q825" t="s">
        <v>31</v>
      </c>
      <c r="R825" t="s">
        <v>159</v>
      </c>
      <c r="S825" t="s">
        <v>29</v>
      </c>
      <c r="T825" t="s">
        <v>29</v>
      </c>
      <c r="U825" t="s">
        <v>29</v>
      </c>
      <c r="V825" s="6" t="s">
        <v>163</v>
      </c>
      <c r="W825" t="s">
        <v>43</v>
      </c>
      <c r="X825" t="s">
        <v>44</v>
      </c>
      <c r="Y825" s="6" t="s">
        <v>28</v>
      </c>
    </row>
    <row r="826" spans="2:25" x14ac:dyDescent="0.3">
      <c r="B826" s="5" t="s">
        <v>25</v>
      </c>
      <c r="C826" s="5" t="str">
        <f>VLOOKUP(B826,[1]물질정보!B:C,2,0)</f>
        <v>97-88-1</v>
      </c>
      <c r="D826" t="str">
        <f>VLOOKUP(B826,[1]물질정보!B:D,3,0)</f>
        <v>butyl methacrylate</v>
      </c>
      <c r="E826" t="str">
        <f>VLOOKUP(B826,[1]물질정보!B:E,4,0)</f>
        <v>C8H14O2</v>
      </c>
      <c r="F826" t="str">
        <f>VLOOKUP(B826,[1]물질정보!B:F,5,0)</f>
        <v>142.2 g/mol</v>
      </c>
      <c r="G826" s="5" t="str">
        <f>VLOOKUP(B826,[1]물질정보!B:G,6,0)</f>
        <v>CCCCOC(=O)C(=C)C</v>
      </c>
      <c r="H826" t="s">
        <v>26</v>
      </c>
      <c r="I826" t="s">
        <v>27</v>
      </c>
      <c r="J826" t="s">
        <v>28</v>
      </c>
      <c r="K826">
        <v>31.2</v>
      </c>
      <c r="L826" t="s">
        <v>39</v>
      </c>
      <c r="M826" t="s">
        <v>289</v>
      </c>
      <c r="N826" t="s">
        <v>29</v>
      </c>
      <c r="O826" t="s">
        <v>29</v>
      </c>
      <c r="P826">
        <v>72</v>
      </c>
      <c r="Q826" t="s">
        <v>31</v>
      </c>
      <c r="R826" t="s">
        <v>159</v>
      </c>
      <c r="S826" t="s">
        <v>29</v>
      </c>
      <c r="T826" t="s">
        <v>29</v>
      </c>
      <c r="U826" t="s">
        <v>29</v>
      </c>
      <c r="V826" s="6" t="s">
        <v>163</v>
      </c>
      <c r="W826" t="s">
        <v>43</v>
      </c>
      <c r="X826" t="s">
        <v>44</v>
      </c>
      <c r="Y826" s="6" t="s">
        <v>28</v>
      </c>
    </row>
    <row r="827" spans="2:25" x14ac:dyDescent="0.3">
      <c r="B827" s="5" t="s">
        <v>25</v>
      </c>
      <c r="C827" s="5" t="str">
        <f>VLOOKUP(B827,[1]물질정보!B:C,2,0)</f>
        <v>97-88-1</v>
      </c>
      <c r="D827" t="str">
        <f>VLOOKUP(B827,[1]물질정보!B:D,3,0)</f>
        <v>butyl methacrylate</v>
      </c>
      <c r="E827" t="str">
        <f>VLOOKUP(B827,[1]물질정보!B:E,4,0)</f>
        <v>C8H14O2</v>
      </c>
      <c r="F827" t="str">
        <f>VLOOKUP(B827,[1]물질정보!B:F,5,0)</f>
        <v>142.2 g/mol</v>
      </c>
      <c r="G827" s="5" t="str">
        <f>VLOOKUP(B827,[1]물질정보!B:G,6,0)</f>
        <v>CCCCOC(=O)C(=C)C</v>
      </c>
      <c r="H827" t="s">
        <v>26</v>
      </c>
      <c r="I827" t="s">
        <v>27</v>
      </c>
      <c r="J827" t="s">
        <v>294</v>
      </c>
      <c r="K827">
        <v>31.2</v>
      </c>
      <c r="L827" t="s">
        <v>39</v>
      </c>
      <c r="M827" t="s">
        <v>43</v>
      </c>
      <c r="N827" t="s">
        <v>29</v>
      </c>
      <c r="O827" t="s">
        <v>29</v>
      </c>
      <c r="P827">
        <v>72</v>
      </c>
      <c r="Q827" t="s">
        <v>31</v>
      </c>
      <c r="R827" t="s">
        <v>159</v>
      </c>
      <c r="S827" t="s">
        <v>29</v>
      </c>
      <c r="T827" t="s">
        <v>29</v>
      </c>
      <c r="U827" t="s">
        <v>29</v>
      </c>
      <c r="V827" s="6" t="s">
        <v>168</v>
      </c>
      <c r="W827" t="s">
        <v>43</v>
      </c>
      <c r="X827" t="s">
        <v>44</v>
      </c>
      <c r="Y827" s="6" t="s">
        <v>294</v>
      </c>
    </row>
    <row r="828" spans="2:25" x14ac:dyDescent="0.3">
      <c r="B828" s="5" t="s">
        <v>25</v>
      </c>
      <c r="C828" s="5" t="str">
        <f>VLOOKUP(B828,[1]물질정보!B:C,2,0)</f>
        <v>97-88-1</v>
      </c>
      <c r="D828" t="str">
        <f>VLOOKUP(B828,[1]물질정보!B:D,3,0)</f>
        <v>butyl methacrylate</v>
      </c>
      <c r="E828" t="str">
        <f>VLOOKUP(B828,[1]물질정보!B:E,4,0)</f>
        <v>C8H14O2</v>
      </c>
      <c r="F828" t="str">
        <f>VLOOKUP(B828,[1]물질정보!B:F,5,0)</f>
        <v>142.2 g/mol</v>
      </c>
      <c r="G828" s="5" t="str">
        <f>VLOOKUP(B828,[1]물질정보!B:G,6,0)</f>
        <v>CCCCOC(=O)C(=C)C</v>
      </c>
      <c r="H828" t="s">
        <v>26</v>
      </c>
      <c r="I828" t="s">
        <v>27</v>
      </c>
      <c r="J828" t="s">
        <v>294</v>
      </c>
      <c r="K828">
        <v>31.2</v>
      </c>
      <c r="L828" t="s">
        <v>39</v>
      </c>
      <c r="M828" t="s">
        <v>43</v>
      </c>
      <c r="N828" t="s">
        <v>29</v>
      </c>
      <c r="O828" t="s">
        <v>29</v>
      </c>
      <c r="P828">
        <v>72</v>
      </c>
      <c r="Q828" t="s">
        <v>31</v>
      </c>
      <c r="R828" t="s">
        <v>159</v>
      </c>
      <c r="S828" t="s">
        <v>29</v>
      </c>
      <c r="T828" t="s">
        <v>29</v>
      </c>
      <c r="U828" t="s">
        <v>29</v>
      </c>
      <c r="V828" s="6" t="s">
        <v>169</v>
      </c>
      <c r="W828" t="s">
        <v>43</v>
      </c>
      <c r="X828" t="s">
        <v>44</v>
      </c>
      <c r="Y828" s="6" t="s">
        <v>294</v>
      </c>
    </row>
    <row r="829" spans="2:25" x14ac:dyDescent="0.3">
      <c r="B829" s="5" t="s">
        <v>77</v>
      </c>
      <c r="C829" s="5" t="str">
        <f>VLOOKUP(B829,[1]물질정보!B:C,2,0)</f>
        <v>140-88-5</v>
      </c>
      <c r="D829" t="str">
        <f>VLOOKUP(B829,[1]물질정보!B:D,3,0)</f>
        <v>ethyl acrylate</v>
      </c>
      <c r="E829" t="str">
        <f>VLOOKUP(B829,[1]물질정보!B:E,4,0)</f>
        <v>C5H8O2</v>
      </c>
      <c r="F829" t="str">
        <f>VLOOKUP(B829,[1]물질정보!B:F,5,0)</f>
        <v>100.12 g/mol</v>
      </c>
      <c r="G829" s="5" t="str">
        <f>VLOOKUP(B829,[1]물질정보!B:G,6,0)</f>
        <v>CCOC(=O)C=C</v>
      </c>
      <c r="H829" t="s">
        <v>26</v>
      </c>
      <c r="I829" t="s">
        <v>27</v>
      </c>
      <c r="J829" t="s">
        <v>28</v>
      </c>
      <c r="K829">
        <v>5.5</v>
      </c>
      <c r="L829" t="s">
        <v>39</v>
      </c>
      <c r="M829" t="s">
        <v>292</v>
      </c>
      <c r="N829" t="s">
        <v>29</v>
      </c>
      <c r="O829" t="s">
        <v>29</v>
      </c>
      <c r="P829">
        <v>96</v>
      </c>
      <c r="Q829" t="s">
        <v>31</v>
      </c>
      <c r="R829" t="s">
        <v>159</v>
      </c>
      <c r="S829" t="s">
        <v>290</v>
      </c>
      <c r="T829" t="s">
        <v>29</v>
      </c>
      <c r="U829" t="s">
        <v>29</v>
      </c>
      <c r="V829" s="6" t="s">
        <v>160</v>
      </c>
      <c r="W829" t="s">
        <v>43</v>
      </c>
      <c r="X829" t="s">
        <v>37</v>
      </c>
      <c r="Y829" s="6" t="s">
        <v>28</v>
      </c>
    </row>
    <row r="830" spans="2:25" x14ac:dyDescent="0.3">
      <c r="B830" s="5" t="s">
        <v>77</v>
      </c>
      <c r="C830" s="5" t="str">
        <f>VLOOKUP(B830,[1]물질정보!B:C,2,0)</f>
        <v>140-88-5</v>
      </c>
      <c r="D830" t="str">
        <f>VLOOKUP(B830,[1]물질정보!B:D,3,0)</f>
        <v>ethyl acrylate</v>
      </c>
      <c r="E830" t="str">
        <f>VLOOKUP(B830,[1]물질정보!B:E,4,0)</f>
        <v>C5H8O2</v>
      </c>
      <c r="F830" t="str">
        <f>VLOOKUP(B830,[1]물질정보!B:F,5,0)</f>
        <v>100.12 g/mol</v>
      </c>
      <c r="G830" s="5" t="str">
        <f>VLOOKUP(B830,[1]물질정보!B:G,6,0)</f>
        <v>CCOC(=O)C=C</v>
      </c>
      <c r="H830" t="s">
        <v>26</v>
      </c>
      <c r="I830" t="s">
        <v>27</v>
      </c>
      <c r="J830" t="s">
        <v>28</v>
      </c>
      <c r="K830">
        <v>11</v>
      </c>
      <c r="L830" t="s">
        <v>39</v>
      </c>
      <c r="M830" t="s">
        <v>292</v>
      </c>
      <c r="N830" t="s">
        <v>29</v>
      </c>
      <c r="O830" t="s">
        <v>29</v>
      </c>
      <c r="P830">
        <v>96</v>
      </c>
      <c r="Q830" t="s">
        <v>31</v>
      </c>
      <c r="R830" t="s">
        <v>159</v>
      </c>
      <c r="S830" t="s">
        <v>290</v>
      </c>
      <c r="T830" t="s">
        <v>29</v>
      </c>
      <c r="U830" t="s">
        <v>29</v>
      </c>
      <c r="V830" s="6" t="s">
        <v>160</v>
      </c>
      <c r="W830" t="s">
        <v>43</v>
      </c>
      <c r="X830" t="s">
        <v>37</v>
      </c>
      <c r="Y830" s="6" t="s">
        <v>28</v>
      </c>
    </row>
    <row r="831" spans="2:25" x14ac:dyDescent="0.3">
      <c r="B831" s="5" t="s">
        <v>77</v>
      </c>
      <c r="C831" s="5" t="str">
        <f>VLOOKUP(B831,[1]물질정보!B:C,2,0)</f>
        <v>140-88-5</v>
      </c>
      <c r="D831" t="str">
        <f>VLOOKUP(B831,[1]물질정보!B:D,3,0)</f>
        <v>ethyl acrylate</v>
      </c>
      <c r="E831" t="str">
        <f>VLOOKUP(B831,[1]물질정보!B:E,4,0)</f>
        <v>C5H8O2</v>
      </c>
      <c r="F831" t="str">
        <f>VLOOKUP(B831,[1]물질정보!B:F,5,0)</f>
        <v>100.12 g/mol</v>
      </c>
      <c r="G831" s="5" t="str">
        <f>VLOOKUP(B831,[1]물질정보!B:G,6,0)</f>
        <v>CCOC(=O)C=C</v>
      </c>
      <c r="H831" t="s">
        <v>26</v>
      </c>
      <c r="I831" t="s">
        <v>27</v>
      </c>
      <c r="J831" t="s">
        <v>28</v>
      </c>
      <c r="K831">
        <v>4.5</v>
      </c>
      <c r="L831" t="s">
        <v>39</v>
      </c>
      <c r="M831" t="s">
        <v>292</v>
      </c>
      <c r="N831" t="s">
        <v>29</v>
      </c>
      <c r="O831" t="s">
        <v>29</v>
      </c>
      <c r="P831">
        <v>72</v>
      </c>
      <c r="Q831" t="s">
        <v>31</v>
      </c>
      <c r="R831" t="s">
        <v>159</v>
      </c>
      <c r="S831" t="s">
        <v>290</v>
      </c>
      <c r="T831" t="s">
        <v>29</v>
      </c>
      <c r="U831" t="s">
        <v>29</v>
      </c>
      <c r="V831" s="6" t="s">
        <v>160</v>
      </c>
      <c r="W831" t="s">
        <v>43</v>
      </c>
      <c r="X831" t="s">
        <v>44</v>
      </c>
      <c r="Y831" s="6" t="s">
        <v>28</v>
      </c>
    </row>
    <row r="832" spans="2:25" x14ac:dyDescent="0.3">
      <c r="B832" s="5" t="s">
        <v>77</v>
      </c>
      <c r="C832" s="5" t="str">
        <f>VLOOKUP(B832,[1]물질정보!B:C,2,0)</f>
        <v>140-88-5</v>
      </c>
      <c r="D832" t="str">
        <f>VLOOKUP(B832,[1]물질정보!B:D,3,0)</f>
        <v>ethyl acrylate</v>
      </c>
      <c r="E832" t="str">
        <f>VLOOKUP(B832,[1]물질정보!B:E,4,0)</f>
        <v>C5H8O2</v>
      </c>
      <c r="F832" t="str">
        <f>VLOOKUP(B832,[1]물질정보!B:F,5,0)</f>
        <v>100.12 g/mol</v>
      </c>
      <c r="G832" s="5" t="str">
        <f>VLOOKUP(B832,[1]물질정보!B:G,6,0)</f>
        <v>CCOC(=O)C=C</v>
      </c>
      <c r="H832" t="s">
        <v>26</v>
      </c>
      <c r="I832" t="s">
        <v>27</v>
      </c>
      <c r="J832" t="s">
        <v>28</v>
      </c>
      <c r="K832">
        <v>8.9</v>
      </c>
      <c r="L832" t="s">
        <v>39</v>
      </c>
      <c r="M832" t="s">
        <v>292</v>
      </c>
      <c r="N832" t="s">
        <v>29</v>
      </c>
      <c r="O832" t="s">
        <v>29</v>
      </c>
      <c r="P832">
        <v>72</v>
      </c>
      <c r="Q832" t="s">
        <v>31</v>
      </c>
      <c r="R832" t="s">
        <v>159</v>
      </c>
      <c r="S832" t="s">
        <v>290</v>
      </c>
      <c r="T832" t="s">
        <v>29</v>
      </c>
      <c r="U832" t="s">
        <v>29</v>
      </c>
      <c r="V832" s="6" t="s">
        <v>160</v>
      </c>
      <c r="W832" t="s">
        <v>43</v>
      </c>
      <c r="X832" t="s">
        <v>44</v>
      </c>
      <c r="Y832" s="6" t="s">
        <v>28</v>
      </c>
    </row>
    <row r="833" spans="2:25" x14ac:dyDescent="0.3">
      <c r="B833" s="5" t="s">
        <v>77</v>
      </c>
      <c r="C833" s="5" t="str">
        <f>VLOOKUP(B833,[1]물질정보!B:C,2,0)</f>
        <v>140-88-5</v>
      </c>
      <c r="D833" t="str">
        <f>VLOOKUP(B833,[1]물질정보!B:D,3,0)</f>
        <v>ethyl acrylate</v>
      </c>
      <c r="E833" t="str">
        <f>VLOOKUP(B833,[1]물질정보!B:E,4,0)</f>
        <v>C5H8O2</v>
      </c>
      <c r="F833" t="str">
        <f>VLOOKUP(B833,[1]물질정보!B:F,5,0)</f>
        <v>100.12 g/mol</v>
      </c>
      <c r="G833" s="5" t="str">
        <f>VLOOKUP(B833,[1]물질정보!B:G,6,0)</f>
        <v>CCOC(=O)C=C</v>
      </c>
      <c r="H833" t="s">
        <v>26</v>
      </c>
      <c r="I833" t="s">
        <v>27</v>
      </c>
      <c r="J833" t="s">
        <v>283</v>
      </c>
      <c r="K833">
        <v>25.28</v>
      </c>
      <c r="L833" t="s">
        <v>39</v>
      </c>
      <c r="M833" t="s">
        <v>295</v>
      </c>
      <c r="N833" t="s">
        <v>29</v>
      </c>
      <c r="O833" t="s">
        <v>29</v>
      </c>
      <c r="P833">
        <v>72</v>
      </c>
      <c r="Q833" t="s">
        <v>31</v>
      </c>
      <c r="R833" t="s">
        <v>159</v>
      </c>
      <c r="S833" t="s">
        <v>296</v>
      </c>
      <c r="T833" t="s">
        <v>29</v>
      </c>
      <c r="U833" t="s">
        <v>29</v>
      </c>
      <c r="V833" s="6" t="s">
        <v>160</v>
      </c>
      <c r="W833" t="s">
        <v>297</v>
      </c>
      <c r="X833" t="s">
        <v>44</v>
      </c>
      <c r="Y833" s="6" t="s">
        <v>283</v>
      </c>
    </row>
    <row r="834" spans="2:25" x14ac:dyDescent="0.3">
      <c r="B834" s="5" t="s">
        <v>77</v>
      </c>
      <c r="C834" s="5" t="str">
        <f>VLOOKUP(B834,[1]물질정보!B:C,2,0)</f>
        <v>140-88-5</v>
      </c>
      <c r="D834" t="str">
        <f>VLOOKUP(B834,[1]물질정보!B:D,3,0)</f>
        <v>ethyl acrylate</v>
      </c>
      <c r="E834" t="str">
        <f>VLOOKUP(B834,[1]물질정보!B:E,4,0)</f>
        <v>C5H8O2</v>
      </c>
      <c r="F834" t="str">
        <f>VLOOKUP(B834,[1]물질정보!B:F,5,0)</f>
        <v>100.12 g/mol</v>
      </c>
      <c r="G834" s="5" t="str">
        <f>VLOOKUP(B834,[1]물질정보!B:G,6,0)</f>
        <v>CCOC(=O)C=C</v>
      </c>
      <c r="H834" t="s">
        <v>26</v>
      </c>
      <c r="I834" t="s">
        <v>27</v>
      </c>
      <c r="J834" t="s">
        <v>28</v>
      </c>
      <c r="K834">
        <v>45.85</v>
      </c>
      <c r="L834" t="s">
        <v>39</v>
      </c>
      <c r="M834" t="s">
        <v>295</v>
      </c>
      <c r="N834" t="s">
        <v>29</v>
      </c>
      <c r="O834" t="s">
        <v>29</v>
      </c>
      <c r="P834">
        <v>72</v>
      </c>
      <c r="Q834" t="s">
        <v>31</v>
      </c>
      <c r="R834" t="s">
        <v>159</v>
      </c>
      <c r="S834" t="s">
        <v>296</v>
      </c>
      <c r="T834" t="s">
        <v>29</v>
      </c>
      <c r="U834" t="s">
        <v>29</v>
      </c>
      <c r="V834" s="6" t="s">
        <v>160</v>
      </c>
      <c r="W834" t="s">
        <v>297</v>
      </c>
      <c r="X834" t="s">
        <v>44</v>
      </c>
      <c r="Y834" s="6" t="s">
        <v>28</v>
      </c>
    </row>
    <row r="835" spans="2:25" x14ac:dyDescent="0.3">
      <c r="B835" s="5" t="s">
        <v>77</v>
      </c>
      <c r="C835" s="5" t="str">
        <f>VLOOKUP(B835,[1]물질정보!B:C,2,0)</f>
        <v>140-88-5</v>
      </c>
      <c r="D835" t="str">
        <f>VLOOKUP(B835,[1]물질정보!B:D,3,0)</f>
        <v>ethyl acrylate</v>
      </c>
      <c r="E835" t="str">
        <f>VLOOKUP(B835,[1]물질정보!B:E,4,0)</f>
        <v>C5H8O2</v>
      </c>
      <c r="F835" t="str">
        <f>VLOOKUP(B835,[1]물질정보!B:F,5,0)</f>
        <v>100.12 g/mol</v>
      </c>
      <c r="G835" s="5" t="str">
        <f>VLOOKUP(B835,[1]물질정보!B:G,6,0)</f>
        <v>CCOC(=O)C=C</v>
      </c>
      <c r="H835" t="s">
        <v>26</v>
      </c>
      <c r="I835" t="s">
        <v>27</v>
      </c>
      <c r="J835" t="s">
        <v>298</v>
      </c>
      <c r="K835">
        <v>100.38</v>
      </c>
      <c r="L835" t="s">
        <v>39</v>
      </c>
      <c r="M835" t="s">
        <v>295</v>
      </c>
      <c r="N835" t="s">
        <v>29</v>
      </c>
      <c r="O835" t="s">
        <v>29</v>
      </c>
      <c r="P835">
        <v>72</v>
      </c>
      <c r="Q835" t="s">
        <v>31</v>
      </c>
      <c r="R835" t="s">
        <v>159</v>
      </c>
      <c r="S835" t="s">
        <v>296</v>
      </c>
      <c r="T835" t="s">
        <v>29</v>
      </c>
      <c r="U835" t="s">
        <v>29</v>
      </c>
      <c r="V835" s="6" t="s">
        <v>160</v>
      </c>
      <c r="W835" t="s">
        <v>297</v>
      </c>
      <c r="X835" t="s">
        <v>44</v>
      </c>
      <c r="Y835" s="6" t="s">
        <v>298</v>
      </c>
    </row>
    <row r="836" spans="2:25" x14ac:dyDescent="0.3">
      <c r="B836" s="5" t="s">
        <v>77</v>
      </c>
      <c r="C836" s="5" t="str">
        <f>VLOOKUP(B836,[1]물질정보!B:C,2,0)</f>
        <v>140-88-5</v>
      </c>
      <c r="D836" t="str">
        <f>VLOOKUP(B836,[1]물질정보!B:D,3,0)</f>
        <v>ethyl acrylate</v>
      </c>
      <c r="E836" t="str">
        <f>VLOOKUP(B836,[1]물질정보!B:E,4,0)</f>
        <v>C5H8O2</v>
      </c>
      <c r="F836" t="str">
        <f>VLOOKUP(B836,[1]물질정보!B:F,5,0)</f>
        <v>100.12 g/mol</v>
      </c>
      <c r="G836" s="5" t="str">
        <f>VLOOKUP(B836,[1]물질정보!B:G,6,0)</f>
        <v>CCOC(=O)C=C</v>
      </c>
      <c r="H836" t="s">
        <v>26</v>
      </c>
      <c r="I836" t="s">
        <v>27</v>
      </c>
      <c r="J836" t="s">
        <v>283</v>
      </c>
      <c r="K836">
        <v>32.880000000000003</v>
      </c>
      <c r="L836" t="s">
        <v>39</v>
      </c>
      <c r="M836" t="s">
        <v>295</v>
      </c>
      <c r="N836" t="s">
        <v>29</v>
      </c>
      <c r="O836" t="s">
        <v>29</v>
      </c>
      <c r="P836">
        <v>72</v>
      </c>
      <c r="Q836" t="s">
        <v>31</v>
      </c>
      <c r="R836" t="s">
        <v>159</v>
      </c>
      <c r="S836" t="s">
        <v>296</v>
      </c>
      <c r="T836" t="s">
        <v>29</v>
      </c>
      <c r="U836" t="s">
        <v>29</v>
      </c>
      <c r="V836" s="6" t="s">
        <v>160</v>
      </c>
      <c r="W836" t="s">
        <v>297</v>
      </c>
      <c r="X836" t="s">
        <v>44</v>
      </c>
      <c r="Y836" s="6" t="s">
        <v>283</v>
      </c>
    </row>
    <row r="837" spans="2:25" x14ac:dyDescent="0.3">
      <c r="B837" s="5" t="s">
        <v>77</v>
      </c>
      <c r="C837" s="5" t="str">
        <f>VLOOKUP(B837,[1]물질정보!B:C,2,0)</f>
        <v>140-88-5</v>
      </c>
      <c r="D837" t="str">
        <f>VLOOKUP(B837,[1]물질정보!B:D,3,0)</f>
        <v>ethyl acrylate</v>
      </c>
      <c r="E837" t="str">
        <f>VLOOKUP(B837,[1]물질정보!B:E,4,0)</f>
        <v>C5H8O2</v>
      </c>
      <c r="F837" t="str">
        <f>VLOOKUP(B837,[1]물질정보!B:F,5,0)</f>
        <v>100.12 g/mol</v>
      </c>
      <c r="G837" s="5" t="str">
        <f>VLOOKUP(B837,[1]물질정보!B:G,6,0)</f>
        <v>CCOC(=O)C=C</v>
      </c>
      <c r="H837" t="s">
        <v>26</v>
      </c>
      <c r="I837" t="s">
        <v>27</v>
      </c>
      <c r="J837" t="s">
        <v>28</v>
      </c>
      <c r="K837">
        <v>73.64</v>
      </c>
      <c r="L837" t="s">
        <v>39</v>
      </c>
      <c r="M837" t="s">
        <v>295</v>
      </c>
      <c r="N837" t="s">
        <v>29</v>
      </c>
      <c r="O837" t="s">
        <v>29</v>
      </c>
      <c r="P837">
        <v>72</v>
      </c>
      <c r="Q837" t="s">
        <v>31</v>
      </c>
      <c r="R837" t="s">
        <v>159</v>
      </c>
      <c r="S837" t="s">
        <v>296</v>
      </c>
      <c r="T837" t="s">
        <v>29</v>
      </c>
      <c r="U837" t="s">
        <v>29</v>
      </c>
      <c r="V837" s="6" t="s">
        <v>160</v>
      </c>
      <c r="W837" t="s">
        <v>297</v>
      </c>
      <c r="X837" t="s">
        <v>44</v>
      </c>
      <c r="Y837" s="6" t="s">
        <v>28</v>
      </c>
    </row>
    <row r="838" spans="2:25" x14ac:dyDescent="0.3">
      <c r="B838" s="5" t="s">
        <v>77</v>
      </c>
      <c r="C838" s="5" t="str">
        <f>VLOOKUP(B838,[1]물질정보!B:C,2,0)</f>
        <v>140-88-5</v>
      </c>
      <c r="D838" t="str">
        <f>VLOOKUP(B838,[1]물질정보!B:D,3,0)</f>
        <v>ethyl acrylate</v>
      </c>
      <c r="E838" t="str">
        <f>VLOOKUP(B838,[1]물질정보!B:E,4,0)</f>
        <v>C5H8O2</v>
      </c>
      <c r="F838" t="str">
        <f>VLOOKUP(B838,[1]물질정보!B:F,5,0)</f>
        <v>100.12 g/mol</v>
      </c>
      <c r="G838" s="5" t="str">
        <f>VLOOKUP(B838,[1]물질정보!B:G,6,0)</f>
        <v>CCOC(=O)C=C</v>
      </c>
      <c r="H838" t="s">
        <v>26</v>
      </c>
      <c r="I838" t="s">
        <v>27</v>
      </c>
      <c r="J838" t="s">
        <v>298</v>
      </c>
      <c r="K838">
        <v>146.76</v>
      </c>
      <c r="L838" t="s">
        <v>39</v>
      </c>
      <c r="M838" t="s">
        <v>295</v>
      </c>
      <c r="N838" t="s">
        <v>29</v>
      </c>
      <c r="O838" t="s">
        <v>29</v>
      </c>
      <c r="P838">
        <v>72</v>
      </c>
      <c r="Q838" t="s">
        <v>31</v>
      </c>
      <c r="R838" t="s">
        <v>159</v>
      </c>
      <c r="S838" t="s">
        <v>296</v>
      </c>
      <c r="T838" t="s">
        <v>29</v>
      </c>
      <c r="U838" t="s">
        <v>29</v>
      </c>
      <c r="V838" s="6" t="s">
        <v>160</v>
      </c>
      <c r="W838" t="s">
        <v>297</v>
      </c>
      <c r="X838" t="s">
        <v>44</v>
      </c>
      <c r="Y838" s="6" t="s">
        <v>298</v>
      </c>
    </row>
    <row r="839" spans="2:25" x14ac:dyDescent="0.3">
      <c r="B839" s="5" t="s">
        <v>77</v>
      </c>
      <c r="C839" s="5" t="str">
        <f>VLOOKUP(B839,[1]물질정보!B:C,2,0)</f>
        <v>140-88-5</v>
      </c>
      <c r="D839" t="str">
        <f>VLOOKUP(B839,[1]물질정보!B:D,3,0)</f>
        <v>ethyl acrylate</v>
      </c>
      <c r="E839" t="str">
        <f>VLOOKUP(B839,[1]물질정보!B:E,4,0)</f>
        <v>C5H8O2</v>
      </c>
      <c r="F839" t="str">
        <f>VLOOKUP(B839,[1]물질정보!B:F,5,0)</f>
        <v>100.12 g/mol</v>
      </c>
      <c r="G839" s="5" t="str">
        <f>VLOOKUP(B839,[1]물질정보!B:G,6,0)</f>
        <v>CCOC(=O)C=C</v>
      </c>
      <c r="H839" t="s">
        <v>26</v>
      </c>
      <c r="I839" t="s">
        <v>27</v>
      </c>
      <c r="J839" t="s">
        <v>291</v>
      </c>
      <c r="K839">
        <v>0.9</v>
      </c>
      <c r="L839" t="s">
        <v>39</v>
      </c>
      <c r="M839" t="s">
        <v>295</v>
      </c>
      <c r="N839" t="s">
        <v>29</v>
      </c>
      <c r="O839" t="s">
        <v>29</v>
      </c>
      <c r="P839">
        <v>72</v>
      </c>
      <c r="Q839" t="s">
        <v>31</v>
      </c>
      <c r="R839" t="s">
        <v>159</v>
      </c>
      <c r="S839" t="s">
        <v>290</v>
      </c>
      <c r="T839" t="s">
        <v>29</v>
      </c>
      <c r="U839" t="s">
        <v>29</v>
      </c>
      <c r="V839" s="6" t="s">
        <v>160</v>
      </c>
      <c r="W839" t="s">
        <v>297</v>
      </c>
      <c r="X839" t="s">
        <v>44</v>
      </c>
      <c r="Y839" s="6" t="s">
        <v>291</v>
      </c>
    </row>
    <row r="840" spans="2:25" x14ac:dyDescent="0.3">
      <c r="B840" s="5" t="s">
        <v>77</v>
      </c>
      <c r="C840" s="5" t="str">
        <f>VLOOKUP(B840,[1]물질정보!B:C,2,0)</f>
        <v>140-88-5</v>
      </c>
      <c r="D840" t="str">
        <f>VLOOKUP(B840,[1]물질정보!B:D,3,0)</f>
        <v>ethyl acrylate</v>
      </c>
      <c r="E840" t="str">
        <f>VLOOKUP(B840,[1]물질정보!B:E,4,0)</f>
        <v>C5H8O2</v>
      </c>
      <c r="F840" t="str">
        <f>VLOOKUP(B840,[1]물질정보!B:F,5,0)</f>
        <v>100.12 g/mol</v>
      </c>
      <c r="G840" s="5" t="str">
        <f>VLOOKUP(B840,[1]물질정보!B:G,6,0)</f>
        <v>CCOC(=O)C=C</v>
      </c>
      <c r="H840" t="s">
        <v>26</v>
      </c>
      <c r="I840" t="s">
        <v>27</v>
      </c>
      <c r="J840" t="s">
        <v>28</v>
      </c>
      <c r="K840">
        <v>1.71</v>
      </c>
      <c r="L840" t="s">
        <v>39</v>
      </c>
      <c r="M840" t="s">
        <v>295</v>
      </c>
      <c r="N840" t="s">
        <v>29</v>
      </c>
      <c r="O840" t="s">
        <v>29</v>
      </c>
      <c r="P840">
        <v>72</v>
      </c>
      <c r="Q840" t="s">
        <v>31</v>
      </c>
      <c r="R840" t="s">
        <v>159</v>
      </c>
      <c r="S840" t="s">
        <v>290</v>
      </c>
      <c r="T840" t="s">
        <v>29</v>
      </c>
      <c r="U840" t="s">
        <v>29</v>
      </c>
      <c r="V840" s="6" t="s">
        <v>160</v>
      </c>
      <c r="W840" t="s">
        <v>297</v>
      </c>
      <c r="X840" t="s">
        <v>44</v>
      </c>
      <c r="Y840" s="6" t="s">
        <v>28</v>
      </c>
    </row>
    <row r="841" spans="2:25" x14ac:dyDescent="0.3">
      <c r="B841" s="5" t="s">
        <v>77</v>
      </c>
      <c r="C841" s="5" t="str">
        <f>VLOOKUP(B841,[1]물질정보!B:C,2,0)</f>
        <v>140-88-5</v>
      </c>
      <c r="D841" t="str">
        <f>VLOOKUP(B841,[1]물질정보!B:D,3,0)</f>
        <v>ethyl acrylate</v>
      </c>
      <c r="E841" t="str">
        <f>VLOOKUP(B841,[1]물질정보!B:E,4,0)</f>
        <v>C5H8O2</v>
      </c>
      <c r="F841" t="str">
        <f>VLOOKUP(B841,[1]물질정보!B:F,5,0)</f>
        <v>100.12 g/mol</v>
      </c>
      <c r="G841" s="5" t="str">
        <f>VLOOKUP(B841,[1]물질정보!B:G,6,0)</f>
        <v>CCOC(=O)C=C</v>
      </c>
      <c r="H841" t="s">
        <v>26</v>
      </c>
      <c r="I841" t="s">
        <v>27</v>
      </c>
      <c r="J841" t="s">
        <v>283</v>
      </c>
      <c r="K841">
        <v>0.8</v>
      </c>
      <c r="L841" t="s">
        <v>39</v>
      </c>
      <c r="M841" t="s">
        <v>295</v>
      </c>
      <c r="N841" t="s">
        <v>29</v>
      </c>
      <c r="O841" t="s">
        <v>29</v>
      </c>
      <c r="P841">
        <v>72</v>
      </c>
      <c r="Q841" t="s">
        <v>31</v>
      </c>
      <c r="R841" t="s">
        <v>159</v>
      </c>
      <c r="S841" t="s">
        <v>290</v>
      </c>
      <c r="T841" t="s">
        <v>29</v>
      </c>
      <c r="U841" t="s">
        <v>29</v>
      </c>
      <c r="V841" s="6" t="s">
        <v>160</v>
      </c>
      <c r="W841" t="s">
        <v>297</v>
      </c>
      <c r="X841" t="s">
        <v>44</v>
      </c>
      <c r="Y841" s="6" t="s">
        <v>283</v>
      </c>
    </row>
    <row r="842" spans="2:25" x14ac:dyDescent="0.3">
      <c r="B842" s="5" t="s">
        <v>77</v>
      </c>
      <c r="C842" s="5" t="str">
        <f>VLOOKUP(B842,[1]물질정보!B:C,2,0)</f>
        <v>140-88-5</v>
      </c>
      <c r="D842" t="str">
        <f>VLOOKUP(B842,[1]물질정보!B:D,3,0)</f>
        <v>ethyl acrylate</v>
      </c>
      <c r="E842" t="str">
        <f>VLOOKUP(B842,[1]물질정보!B:E,4,0)</f>
        <v>C5H8O2</v>
      </c>
      <c r="F842" t="str">
        <f>VLOOKUP(B842,[1]물질정보!B:F,5,0)</f>
        <v>100.12 g/mol</v>
      </c>
      <c r="G842" s="5" t="str">
        <f>VLOOKUP(B842,[1]물질정보!B:G,6,0)</f>
        <v>CCOC(=O)C=C</v>
      </c>
      <c r="H842" t="s">
        <v>26</v>
      </c>
      <c r="I842" t="s">
        <v>27</v>
      </c>
      <c r="J842" t="s">
        <v>241</v>
      </c>
      <c r="K842">
        <v>0.45</v>
      </c>
      <c r="L842" t="s">
        <v>39</v>
      </c>
      <c r="M842" t="s">
        <v>295</v>
      </c>
      <c r="N842" t="s">
        <v>29</v>
      </c>
      <c r="O842" t="s">
        <v>29</v>
      </c>
      <c r="P842">
        <v>72</v>
      </c>
      <c r="Q842" t="s">
        <v>31</v>
      </c>
      <c r="R842" t="s">
        <v>159</v>
      </c>
      <c r="S842" t="s">
        <v>290</v>
      </c>
      <c r="T842" t="s">
        <v>29</v>
      </c>
      <c r="U842" t="s">
        <v>29</v>
      </c>
      <c r="V842" s="6" t="s">
        <v>160</v>
      </c>
      <c r="W842" t="s">
        <v>297</v>
      </c>
      <c r="X842" t="s">
        <v>44</v>
      </c>
      <c r="Y842" s="6" t="s">
        <v>241</v>
      </c>
    </row>
    <row r="843" spans="2:25" x14ac:dyDescent="0.3">
      <c r="B843" s="5" t="s">
        <v>77</v>
      </c>
      <c r="C843" s="5" t="str">
        <f>VLOOKUP(B843,[1]물질정보!B:C,2,0)</f>
        <v>140-88-5</v>
      </c>
      <c r="D843" t="str">
        <f>VLOOKUP(B843,[1]물질정보!B:D,3,0)</f>
        <v>ethyl acrylate</v>
      </c>
      <c r="E843" t="str">
        <f>VLOOKUP(B843,[1]물질정보!B:E,4,0)</f>
        <v>C5H8O2</v>
      </c>
      <c r="F843" t="str">
        <f>VLOOKUP(B843,[1]물질정보!B:F,5,0)</f>
        <v>100.12 g/mol</v>
      </c>
      <c r="G843" s="5" t="str">
        <f>VLOOKUP(B843,[1]물질정보!B:G,6,0)</f>
        <v>CCOC(=O)C=C</v>
      </c>
      <c r="H843" t="s">
        <v>26</v>
      </c>
      <c r="I843" t="s">
        <v>27</v>
      </c>
      <c r="J843" t="s">
        <v>298</v>
      </c>
      <c r="K843">
        <v>2.91</v>
      </c>
      <c r="L843" t="s">
        <v>39</v>
      </c>
      <c r="M843" t="s">
        <v>295</v>
      </c>
      <c r="N843" t="s">
        <v>29</v>
      </c>
      <c r="O843" t="s">
        <v>29</v>
      </c>
      <c r="P843">
        <v>72</v>
      </c>
      <c r="Q843" t="s">
        <v>31</v>
      </c>
      <c r="R843" t="s">
        <v>159</v>
      </c>
      <c r="S843" t="s">
        <v>290</v>
      </c>
      <c r="T843" t="s">
        <v>29</v>
      </c>
      <c r="U843" t="s">
        <v>29</v>
      </c>
      <c r="V843" s="6" t="s">
        <v>160</v>
      </c>
      <c r="W843" t="s">
        <v>297</v>
      </c>
      <c r="X843" t="s">
        <v>44</v>
      </c>
      <c r="Y843" s="6" t="s">
        <v>298</v>
      </c>
    </row>
    <row r="844" spans="2:25" x14ac:dyDescent="0.3">
      <c r="B844" s="5" t="s">
        <v>77</v>
      </c>
      <c r="C844" s="5" t="str">
        <f>VLOOKUP(B844,[1]물질정보!B:C,2,0)</f>
        <v>140-88-5</v>
      </c>
      <c r="D844" t="str">
        <f>VLOOKUP(B844,[1]물질정보!B:D,3,0)</f>
        <v>ethyl acrylate</v>
      </c>
      <c r="E844" t="str">
        <f>VLOOKUP(B844,[1]물질정보!B:E,4,0)</f>
        <v>C5H8O2</v>
      </c>
      <c r="F844" t="str">
        <f>VLOOKUP(B844,[1]물질정보!B:F,5,0)</f>
        <v>100.12 g/mol</v>
      </c>
      <c r="G844" s="5" t="str">
        <f>VLOOKUP(B844,[1]물질정보!B:G,6,0)</f>
        <v>CCOC(=O)C=C</v>
      </c>
      <c r="H844" t="s">
        <v>26</v>
      </c>
      <c r="I844" t="s">
        <v>27</v>
      </c>
      <c r="J844" t="s">
        <v>29</v>
      </c>
      <c r="K844">
        <v>14</v>
      </c>
      <c r="L844" t="s">
        <v>39</v>
      </c>
      <c r="M844" t="s">
        <v>299</v>
      </c>
      <c r="N844" t="s">
        <v>29</v>
      </c>
      <c r="O844" t="s">
        <v>29</v>
      </c>
      <c r="P844" t="s">
        <v>29</v>
      </c>
      <c r="Q844" t="s">
        <v>29</v>
      </c>
      <c r="R844" t="s">
        <v>159</v>
      </c>
      <c r="S844" t="s">
        <v>29</v>
      </c>
      <c r="T844" t="s">
        <v>29</v>
      </c>
      <c r="U844" t="s">
        <v>29</v>
      </c>
      <c r="V844" s="6" t="s">
        <v>163</v>
      </c>
      <c r="W844" t="s">
        <v>299</v>
      </c>
      <c r="X844" t="s">
        <v>29</v>
      </c>
    </row>
    <row r="845" spans="2:25" x14ac:dyDescent="0.3">
      <c r="B845" s="5" t="s">
        <v>77</v>
      </c>
      <c r="C845" s="5" t="str">
        <f>VLOOKUP(B845,[1]물질정보!B:C,2,0)</f>
        <v>140-88-5</v>
      </c>
      <c r="D845" t="str">
        <f>VLOOKUP(B845,[1]물질정보!B:D,3,0)</f>
        <v>ethyl acrylate</v>
      </c>
      <c r="E845" t="str">
        <f>VLOOKUP(B845,[1]물질정보!B:E,4,0)</f>
        <v>C5H8O2</v>
      </c>
      <c r="F845" t="str">
        <f>VLOOKUP(B845,[1]물질정보!B:F,5,0)</f>
        <v>100.12 g/mol</v>
      </c>
      <c r="G845" s="5" t="str">
        <f>VLOOKUP(B845,[1]물질정보!B:G,6,0)</f>
        <v>CCOC(=O)C=C</v>
      </c>
      <c r="H845" t="s">
        <v>26</v>
      </c>
      <c r="I845" t="s">
        <v>27</v>
      </c>
      <c r="J845" t="s">
        <v>28</v>
      </c>
      <c r="K845">
        <v>4.5</v>
      </c>
      <c r="L845" t="s">
        <v>39</v>
      </c>
      <c r="M845" t="s">
        <v>43</v>
      </c>
      <c r="N845" t="s">
        <v>29</v>
      </c>
      <c r="O845" t="s">
        <v>29</v>
      </c>
      <c r="P845">
        <v>72</v>
      </c>
      <c r="Q845" t="s">
        <v>31</v>
      </c>
      <c r="R845" t="s">
        <v>159</v>
      </c>
      <c r="S845" t="s">
        <v>29</v>
      </c>
      <c r="T845" t="s">
        <v>29</v>
      </c>
      <c r="U845" t="s">
        <v>29</v>
      </c>
      <c r="V845" s="6" t="s">
        <v>168</v>
      </c>
      <c r="W845" t="s">
        <v>43</v>
      </c>
      <c r="X845" t="s">
        <v>44</v>
      </c>
      <c r="Y845" s="6" t="s">
        <v>28</v>
      </c>
    </row>
    <row r="846" spans="2:25" x14ac:dyDescent="0.3">
      <c r="B846" s="5" t="s">
        <v>77</v>
      </c>
      <c r="C846" s="5" t="str">
        <f>VLOOKUP(B846,[1]물질정보!B:C,2,0)</f>
        <v>140-88-5</v>
      </c>
      <c r="D846" t="str">
        <f>VLOOKUP(B846,[1]물질정보!B:D,3,0)</f>
        <v>ethyl acrylate</v>
      </c>
      <c r="E846" t="str">
        <f>VLOOKUP(B846,[1]물질정보!B:E,4,0)</f>
        <v>C5H8O2</v>
      </c>
      <c r="F846" t="str">
        <f>VLOOKUP(B846,[1]물질정보!B:F,5,0)</f>
        <v>100.12 g/mol</v>
      </c>
      <c r="G846" s="5" t="str">
        <f>VLOOKUP(B846,[1]물질정보!B:G,6,0)</f>
        <v>CCOC(=O)C=C</v>
      </c>
      <c r="H846" t="s">
        <v>26</v>
      </c>
      <c r="I846" t="s">
        <v>27</v>
      </c>
      <c r="J846" t="s">
        <v>28</v>
      </c>
      <c r="K846">
        <v>4.5</v>
      </c>
      <c r="L846" t="s">
        <v>39</v>
      </c>
      <c r="M846" t="s">
        <v>43</v>
      </c>
      <c r="N846" t="s">
        <v>29</v>
      </c>
      <c r="O846" t="s">
        <v>29</v>
      </c>
      <c r="P846">
        <v>72</v>
      </c>
      <c r="Q846" t="s">
        <v>31</v>
      </c>
      <c r="R846" t="s">
        <v>159</v>
      </c>
      <c r="S846" t="s">
        <v>29</v>
      </c>
      <c r="T846" t="s">
        <v>29</v>
      </c>
      <c r="U846" t="s">
        <v>29</v>
      </c>
      <c r="V846" s="6" t="s">
        <v>169</v>
      </c>
      <c r="W846" t="s">
        <v>43</v>
      </c>
      <c r="X846" t="s">
        <v>44</v>
      </c>
      <c r="Y846" s="6" t="s">
        <v>28</v>
      </c>
    </row>
    <row r="847" spans="2:25" x14ac:dyDescent="0.3">
      <c r="B847" s="5" t="s">
        <v>67</v>
      </c>
      <c r="C847" s="5" t="str">
        <f>VLOOKUP(B847,[1]물질정보!B:C,2,0)</f>
        <v>818-61-1</v>
      </c>
      <c r="D847" t="str">
        <f>VLOOKUP(B847,[1]물질정보!B:D,3,0)</f>
        <v>2-hydroxyethyl acrylate</v>
      </c>
      <c r="E847" t="str">
        <f>VLOOKUP(B847,[1]물질정보!B:E,4,0)</f>
        <v>C5H8O3</v>
      </c>
      <c r="F847" t="str">
        <f>VLOOKUP(B847,[1]물질정보!B:F,5,0)</f>
        <v>116.11 g/mol</v>
      </c>
      <c r="G847" s="5" t="str">
        <f>VLOOKUP(B847,[1]물질정보!B:G,6,0)</f>
        <v>C=CC(=O)OCCO</v>
      </c>
      <c r="H847" t="s">
        <v>26</v>
      </c>
      <c r="I847" t="s">
        <v>27</v>
      </c>
      <c r="J847" t="s">
        <v>28</v>
      </c>
      <c r="K847">
        <v>6</v>
      </c>
      <c r="L847" t="s">
        <v>39</v>
      </c>
      <c r="M847" t="s">
        <v>292</v>
      </c>
      <c r="N847" t="s">
        <v>29</v>
      </c>
      <c r="O847" t="s">
        <v>29</v>
      </c>
      <c r="P847">
        <v>72</v>
      </c>
      <c r="Q847" t="s">
        <v>31</v>
      </c>
      <c r="R847" t="s">
        <v>159</v>
      </c>
      <c r="S847" t="s">
        <v>290</v>
      </c>
      <c r="T847" t="s">
        <v>29</v>
      </c>
      <c r="U847" t="s">
        <v>29</v>
      </c>
      <c r="V847" s="6" t="s">
        <v>160</v>
      </c>
      <c r="W847" t="s">
        <v>43</v>
      </c>
      <c r="X847" t="s">
        <v>44</v>
      </c>
      <c r="Y847" s="6" t="s">
        <v>28</v>
      </c>
    </row>
    <row r="848" spans="2:25" x14ac:dyDescent="0.3">
      <c r="B848" s="5" t="s">
        <v>67</v>
      </c>
      <c r="C848" s="5" t="str">
        <f>VLOOKUP(B848,[1]물질정보!B:C,2,0)</f>
        <v>818-61-1</v>
      </c>
      <c r="D848" t="str">
        <f>VLOOKUP(B848,[1]물질정보!B:D,3,0)</f>
        <v>2-hydroxyethyl acrylate</v>
      </c>
      <c r="E848" t="str">
        <f>VLOOKUP(B848,[1]물질정보!B:E,4,0)</f>
        <v>C5H8O3</v>
      </c>
      <c r="F848" t="str">
        <f>VLOOKUP(B848,[1]물질정보!B:F,5,0)</f>
        <v>116.11 g/mol</v>
      </c>
      <c r="G848" s="5" t="str">
        <f>VLOOKUP(B848,[1]물질정보!B:G,6,0)</f>
        <v>C=CC(=O)OCCO</v>
      </c>
      <c r="H848" t="s">
        <v>26</v>
      </c>
      <c r="I848" t="s">
        <v>27</v>
      </c>
      <c r="J848" t="s">
        <v>241</v>
      </c>
      <c r="K848">
        <v>1</v>
      </c>
      <c r="L848" t="s">
        <v>39</v>
      </c>
      <c r="M848" t="s">
        <v>292</v>
      </c>
      <c r="N848" t="s">
        <v>29</v>
      </c>
      <c r="O848" t="s">
        <v>29</v>
      </c>
      <c r="P848">
        <v>72</v>
      </c>
      <c r="Q848" t="s">
        <v>31</v>
      </c>
      <c r="R848" t="s">
        <v>159</v>
      </c>
      <c r="S848" t="s">
        <v>290</v>
      </c>
      <c r="T848" t="s">
        <v>29</v>
      </c>
      <c r="U848" t="s">
        <v>29</v>
      </c>
      <c r="V848" s="6" t="s">
        <v>160</v>
      </c>
      <c r="W848" t="s">
        <v>43</v>
      </c>
      <c r="X848" t="s">
        <v>44</v>
      </c>
      <c r="Y848" s="6" t="s">
        <v>241</v>
      </c>
    </row>
    <row r="849" spans="2:25" x14ac:dyDescent="0.3">
      <c r="B849" s="5" t="s">
        <v>67</v>
      </c>
      <c r="C849" s="5" t="str">
        <f>VLOOKUP(B849,[1]물질정보!B:C,2,0)</f>
        <v>818-61-1</v>
      </c>
      <c r="D849" t="str">
        <f>VLOOKUP(B849,[1]물질정보!B:D,3,0)</f>
        <v>2-hydroxyethyl acrylate</v>
      </c>
      <c r="E849" t="str">
        <f>VLOOKUP(B849,[1]물질정보!B:E,4,0)</f>
        <v>C5H8O3</v>
      </c>
      <c r="F849" t="str">
        <f>VLOOKUP(B849,[1]물질정보!B:F,5,0)</f>
        <v>116.11 g/mol</v>
      </c>
      <c r="G849" s="5" t="str">
        <f>VLOOKUP(B849,[1]물질정보!B:G,6,0)</f>
        <v>C=CC(=O)OCCO</v>
      </c>
      <c r="H849" t="s">
        <v>26</v>
      </c>
      <c r="I849" t="s">
        <v>27</v>
      </c>
      <c r="J849" t="s">
        <v>28</v>
      </c>
      <c r="K849">
        <v>8.81</v>
      </c>
      <c r="L849" t="s">
        <v>39</v>
      </c>
      <c r="M849" t="s">
        <v>292</v>
      </c>
      <c r="N849" t="s">
        <v>29</v>
      </c>
      <c r="O849" t="s">
        <v>29</v>
      </c>
      <c r="P849">
        <v>72</v>
      </c>
      <c r="Q849" t="s">
        <v>31</v>
      </c>
      <c r="R849" t="s">
        <v>159</v>
      </c>
      <c r="S849" t="s">
        <v>290</v>
      </c>
      <c r="T849" t="s">
        <v>29</v>
      </c>
      <c r="U849" t="s">
        <v>29</v>
      </c>
      <c r="V849" s="6" t="s">
        <v>160</v>
      </c>
      <c r="W849" t="s">
        <v>43</v>
      </c>
      <c r="X849" t="s">
        <v>44</v>
      </c>
      <c r="Y849" s="6" t="s">
        <v>28</v>
      </c>
    </row>
    <row r="850" spans="2:25" x14ac:dyDescent="0.3">
      <c r="B850" s="5" t="s">
        <v>67</v>
      </c>
      <c r="C850" s="5" t="str">
        <f>VLOOKUP(B850,[1]물질정보!B:C,2,0)</f>
        <v>818-61-1</v>
      </c>
      <c r="D850" t="str">
        <f>VLOOKUP(B850,[1]물질정보!B:D,3,0)</f>
        <v>2-hydroxyethyl acrylate</v>
      </c>
      <c r="E850" t="str">
        <f>VLOOKUP(B850,[1]물질정보!B:E,4,0)</f>
        <v>C5H8O3</v>
      </c>
      <c r="F850" t="str">
        <f>VLOOKUP(B850,[1]물질정보!B:F,5,0)</f>
        <v>116.11 g/mol</v>
      </c>
      <c r="G850" s="5" t="str">
        <f>VLOOKUP(B850,[1]물질정보!B:G,6,0)</f>
        <v>C=CC(=O)OCCO</v>
      </c>
      <c r="H850" t="s">
        <v>26</v>
      </c>
      <c r="I850" t="s">
        <v>27</v>
      </c>
      <c r="J850" t="s">
        <v>28</v>
      </c>
      <c r="K850">
        <v>8.81</v>
      </c>
      <c r="L850" t="s">
        <v>39</v>
      </c>
      <c r="M850" t="s">
        <v>292</v>
      </c>
      <c r="N850" t="s">
        <v>29</v>
      </c>
      <c r="O850" t="s">
        <v>29</v>
      </c>
      <c r="P850">
        <v>72</v>
      </c>
      <c r="Q850" t="s">
        <v>31</v>
      </c>
      <c r="R850" t="s">
        <v>159</v>
      </c>
      <c r="S850" t="s">
        <v>300</v>
      </c>
      <c r="T850" t="s">
        <v>29</v>
      </c>
      <c r="U850" t="s">
        <v>29</v>
      </c>
      <c r="V850" s="6" t="s">
        <v>160</v>
      </c>
      <c r="W850" t="s">
        <v>43</v>
      </c>
      <c r="X850" t="s">
        <v>44</v>
      </c>
      <c r="Y850" s="6" t="s">
        <v>28</v>
      </c>
    </row>
    <row r="851" spans="2:25" x14ac:dyDescent="0.3">
      <c r="B851" s="5" t="s">
        <v>67</v>
      </c>
      <c r="C851" s="5" t="str">
        <f>VLOOKUP(B851,[1]물질정보!B:C,2,0)</f>
        <v>818-61-1</v>
      </c>
      <c r="D851" t="str">
        <f>VLOOKUP(B851,[1]물질정보!B:D,3,0)</f>
        <v>2-hydroxyethyl acrylate</v>
      </c>
      <c r="E851" t="str">
        <f>VLOOKUP(B851,[1]물질정보!B:E,4,0)</f>
        <v>C5H8O3</v>
      </c>
      <c r="F851" t="str">
        <f>VLOOKUP(B851,[1]물질정보!B:F,5,0)</f>
        <v>116.11 g/mol</v>
      </c>
      <c r="G851" s="5" t="str">
        <f>VLOOKUP(B851,[1]물질정보!B:G,6,0)</f>
        <v>C=CC(=O)OCCO</v>
      </c>
      <c r="H851" t="s">
        <v>26</v>
      </c>
      <c r="I851" t="s">
        <v>27</v>
      </c>
      <c r="J851" t="s">
        <v>241</v>
      </c>
      <c r="K851">
        <v>1.25</v>
      </c>
      <c r="L851" t="s">
        <v>39</v>
      </c>
      <c r="M851" t="s">
        <v>292</v>
      </c>
      <c r="N851" t="s">
        <v>29</v>
      </c>
      <c r="O851" t="s">
        <v>29</v>
      </c>
      <c r="P851">
        <v>72</v>
      </c>
      <c r="Q851" t="s">
        <v>31</v>
      </c>
      <c r="R851" t="s">
        <v>159</v>
      </c>
      <c r="S851" t="s">
        <v>290</v>
      </c>
      <c r="T851" t="s">
        <v>29</v>
      </c>
      <c r="U851" t="s">
        <v>29</v>
      </c>
      <c r="V851" s="6" t="s">
        <v>160</v>
      </c>
      <c r="W851" t="s">
        <v>43</v>
      </c>
      <c r="X851" t="s">
        <v>44</v>
      </c>
      <c r="Y851" s="6" t="s">
        <v>241</v>
      </c>
    </row>
    <row r="852" spans="2:25" x14ac:dyDescent="0.3">
      <c r="B852" s="5" t="s">
        <v>67</v>
      </c>
      <c r="C852" s="5" t="str">
        <f>VLOOKUP(B852,[1]물질정보!B:C,2,0)</f>
        <v>818-61-1</v>
      </c>
      <c r="D852" t="str">
        <f>VLOOKUP(B852,[1]물질정보!B:D,3,0)</f>
        <v>2-hydroxyethyl acrylate</v>
      </c>
      <c r="E852" t="str">
        <f>VLOOKUP(B852,[1]물질정보!B:E,4,0)</f>
        <v>C5H8O3</v>
      </c>
      <c r="F852" t="str">
        <f>VLOOKUP(B852,[1]물질정보!B:F,5,0)</f>
        <v>116.11 g/mol</v>
      </c>
      <c r="G852" s="5" t="str">
        <f>VLOOKUP(B852,[1]물질정보!B:G,6,0)</f>
        <v>C=CC(=O)OCCO</v>
      </c>
      <c r="H852" t="s">
        <v>26</v>
      </c>
      <c r="I852" t="s">
        <v>27</v>
      </c>
      <c r="J852" t="s">
        <v>241</v>
      </c>
      <c r="K852">
        <v>1.25</v>
      </c>
      <c r="L852" t="s">
        <v>39</v>
      </c>
      <c r="M852" t="s">
        <v>292</v>
      </c>
      <c r="N852" t="s">
        <v>29</v>
      </c>
      <c r="O852" t="s">
        <v>29</v>
      </c>
      <c r="P852">
        <v>72</v>
      </c>
      <c r="Q852" t="s">
        <v>31</v>
      </c>
      <c r="R852" t="s">
        <v>159</v>
      </c>
      <c r="S852" t="s">
        <v>300</v>
      </c>
      <c r="T852" t="s">
        <v>29</v>
      </c>
      <c r="U852" t="s">
        <v>29</v>
      </c>
      <c r="V852" s="6" t="s">
        <v>160</v>
      </c>
      <c r="W852" t="s">
        <v>43</v>
      </c>
      <c r="X852" t="s">
        <v>44</v>
      </c>
      <c r="Y852" s="6" t="s">
        <v>241</v>
      </c>
    </row>
    <row r="853" spans="2:25" x14ac:dyDescent="0.3">
      <c r="B853" s="5" t="s">
        <v>67</v>
      </c>
      <c r="C853" s="5" t="str">
        <f>VLOOKUP(B853,[1]물질정보!B:C,2,0)</f>
        <v>818-61-1</v>
      </c>
      <c r="D853" t="str">
        <f>VLOOKUP(B853,[1]물질정보!B:D,3,0)</f>
        <v>2-hydroxyethyl acrylate</v>
      </c>
      <c r="E853" t="str">
        <f>VLOOKUP(B853,[1]물질정보!B:E,4,0)</f>
        <v>C5H8O3</v>
      </c>
      <c r="F853" t="str">
        <f>VLOOKUP(B853,[1]물질정보!B:F,5,0)</f>
        <v>116.11 g/mol</v>
      </c>
      <c r="G853" s="5" t="str">
        <f>VLOOKUP(B853,[1]물질정보!B:G,6,0)</f>
        <v>C=CC(=O)OCCO</v>
      </c>
      <c r="H853" t="s">
        <v>26</v>
      </c>
      <c r="I853" t="s">
        <v>27</v>
      </c>
      <c r="J853" t="s">
        <v>28</v>
      </c>
      <c r="K853">
        <v>3.96</v>
      </c>
      <c r="L853" t="s">
        <v>39</v>
      </c>
      <c r="M853" t="s">
        <v>292</v>
      </c>
      <c r="N853" t="s">
        <v>29</v>
      </c>
      <c r="O853" t="s">
        <v>29</v>
      </c>
      <c r="P853">
        <v>72</v>
      </c>
      <c r="Q853" t="s">
        <v>31</v>
      </c>
      <c r="R853" t="s">
        <v>159</v>
      </c>
      <c r="S853" t="s">
        <v>290</v>
      </c>
      <c r="T853" t="s">
        <v>29</v>
      </c>
      <c r="U853" t="s">
        <v>29</v>
      </c>
      <c r="V853" s="6" t="s">
        <v>160</v>
      </c>
      <c r="W853" t="s">
        <v>43</v>
      </c>
      <c r="X853" t="s">
        <v>44</v>
      </c>
      <c r="Y853" s="6" t="s">
        <v>28</v>
      </c>
    </row>
    <row r="854" spans="2:25" x14ac:dyDescent="0.3">
      <c r="B854" s="5" t="s">
        <v>67</v>
      </c>
      <c r="C854" s="5" t="str">
        <f>VLOOKUP(B854,[1]물질정보!B:C,2,0)</f>
        <v>818-61-1</v>
      </c>
      <c r="D854" t="str">
        <f>VLOOKUP(B854,[1]물질정보!B:D,3,0)</f>
        <v>2-hydroxyethyl acrylate</v>
      </c>
      <c r="E854" t="str">
        <f>VLOOKUP(B854,[1]물질정보!B:E,4,0)</f>
        <v>C5H8O3</v>
      </c>
      <c r="F854" t="str">
        <f>VLOOKUP(B854,[1]물질정보!B:F,5,0)</f>
        <v>116.11 g/mol</v>
      </c>
      <c r="G854" s="5" t="str">
        <f>VLOOKUP(B854,[1]물질정보!B:G,6,0)</f>
        <v>C=CC(=O)OCCO</v>
      </c>
      <c r="H854" t="s">
        <v>26</v>
      </c>
      <c r="I854" t="s">
        <v>27</v>
      </c>
      <c r="J854" t="s">
        <v>28</v>
      </c>
      <c r="K854">
        <v>3.96</v>
      </c>
      <c r="L854" t="s">
        <v>39</v>
      </c>
      <c r="M854" t="s">
        <v>292</v>
      </c>
      <c r="N854" t="s">
        <v>29</v>
      </c>
      <c r="O854" t="s">
        <v>29</v>
      </c>
      <c r="P854">
        <v>72</v>
      </c>
      <c r="Q854" t="s">
        <v>31</v>
      </c>
      <c r="R854" t="s">
        <v>159</v>
      </c>
      <c r="S854" t="s">
        <v>300</v>
      </c>
      <c r="T854" t="s">
        <v>29</v>
      </c>
      <c r="U854" t="s">
        <v>29</v>
      </c>
      <c r="V854" s="6" t="s">
        <v>160</v>
      </c>
      <c r="W854" t="s">
        <v>43</v>
      </c>
      <c r="X854" t="s">
        <v>44</v>
      </c>
      <c r="Y854" s="6" t="s">
        <v>28</v>
      </c>
    </row>
    <row r="855" spans="2:25" x14ac:dyDescent="0.3">
      <c r="B855" s="5" t="s">
        <v>67</v>
      </c>
      <c r="C855" s="5" t="str">
        <f>VLOOKUP(B855,[1]물질정보!B:C,2,0)</f>
        <v>818-61-1</v>
      </c>
      <c r="D855" t="str">
        <f>VLOOKUP(B855,[1]물질정보!B:D,3,0)</f>
        <v>2-hydroxyethyl acrylate</v>
      </c>
      <c r="E855" t="str">
        <f>VLOOKUP(B855,[1]물질정보!B:E,4,0)</f>
        <v>C5H8O3</v>
      </c>
      <c r="F855" t="str">
        <f>VLOOKUP(B855,[1]물질정보!B:F,5,0)</f>
        <v>116.11 g/mol</v>
      </c>
      <c r="G855" s="5" t="str">
        <f>VLOOKUP(B855,[1]물질정보!B:G,6,0)</f>
        <v>C=CC(=O)OCCO</v>
      </c>
      <c r="H855" t="s">
        <v>26</v>
      </c>
      <c r="I855" t="s">
        <v>27</v>
      </c>
      <c r="J855" t="s">
        <v>241</v>
      </c>
      <c r="K855">
        <v>0.625</v>
      </c>
      <c r="L855" t="s">
        <v>39</v>
      </c>
      <c r="M855" t="s">
        <v>292</v>
      </c>
      <c r="N855" t="s">
        <v>29</v>
      </c>
      <c r="O855" t="s">
        <v>29</v>
      </c>
      <c r="P855">
        <v>72</v>
      </c>
      <c r="Q855" t="s">
        <v>31</v>
      </c>
      <c r="R855" t="s">
        <v>159</v>
      </c>
      <c r="S855" t="s">
        <v>290</v>
      </c>
      <c r="T855" t="s">
        <v>29</v>
      </c>
      <c r="U855" t="s">
        <v>29</v>
      </c>
      <c r="V855" s="6" t="s">
        <v>160</v>
      </c>
      <c r="W855" t="s">
        <v>43</v>
      </c>
      <c r="X855" t="s">
        <v>44</v>
      </c>
      <c r="Y855" s="6" t="s">
        <v>241</v>
      </c>
    </row>
    <row r="856" spans="2:25" x14ac:dyDescent="0.3">
      <c r="B856" s="5" t="s">
        <v>67</v>
      </c>
      <c r="C856" s="5" t="str">
        <f>VLOOKUP(B856,[1]물질정보!B:C,2,0)</f>
        <v>818-61-1</v>
      </c>
      <c r="D856" t="str">
        <f>VLOOKUP(B856,[1]물질정보!B:D,3,0)</f>
        <v>2-hydroxyethyl acrylate</v>
      </c>
      <c r="E856" t="str">
        <f>VLOOKUP(B856,[1]물질정보!B:E,4,0)</f>
        <v>C5H8O3</v>
      </c>
      <c r="F856" t="str">
        <f>VLOOKUP(B856,[1]물질정보!B:F,5,0)</f>
        <v>116.11 g/mol</v>
      </c>
      <c r="G856" s="5" t="str">
        <f>VLOOKUP(B856,[1]물질정보!B:G,6,0)</f>
        <v>C=CC(=O)OCCO</v>
      </c>
      <c r="H856" t="s">
        <v>26</v>
      </c>
      <c r="I856" t="s">
        <v>27</v>
      </c>
      <c r="J856" t="s">
        <v>241</v>
      </c>
      <c r="K856">
        <v>0.625</v>
      </c>
      <c r="L856" t="s">
        <v>39</v>
      </c>
      <c r="M856" t="s">
        <v>292</v>
      </c>
      <c r="N856" t="s">
        <v>29</v>
      </c>
      <c r="O856" t="s">
        <v>29</v>
      </c>
      <c r="P856">
        <v>72</v>
      </c>
      <c r="Q856" t="s">
        <v>31</v>
      </c>
      <c r="R856" t="s">
        <v>159</v>
      </c>
      <c r="S856" t="s">
        <v>300</v>
      </c>
      <c r="T856" t="s">
        <v>29</v>
      </c>
      <c r="U856" t="s">
        <v>29</v>
      </c>
      <c r="V856" s="6" t="s">
        <v>160</v>
      </c>
      <c r="W856" t="s">
        <v>43</v>
      </c>
      <c r="X856" t="s">
        <v>44</v>
      </c>
      <c r="Y856" s="6" t="s">
        <v>241</v>
      </c>
    </row>
    <row r="857" spans="2:25" x14ac:dyDescent="0.3">
      <c r="B857" s="5" t="s">
        <v>67</v>
      </c>
      <c r="C857" s="5" t="str">
        <f>VLOOKUP(B857,[1]물질정보!B:C,2,0)</f>
        <v>818-61-1</v>
      </c>
      <c r="D857" t="str">
        <f>VLOOKUP(B857,[1]물질정보!B:D,3,0)</f>
        <v>2-hydroxyethyl acrylate</v>
      </c>
      <c r="E857" t="str">
        <f>VLOOKUP(B857,[1]물질정보!B:E,4,0)</f>
        <v>C5H8O3</v>
      </c>
      <c r="F857" t="str">
        <f>VLOOKUP(B857,[1]물질정보!B:F,5,0)</f>
        <v>116.11 g/mol</v>
      </c>
      <c r="G857" s="5" t="str">
        <f>VLOOKUP(B857,[1]물질정보!B:G,6,0)</f>
        <v>C=CC(=O)OCCO</v>
      </c>
      <c r="H857" t="s">
        <v>26</v>
      </c>
      <c r="I857" t="s">
        <v>27</v>
      </c>
      <c r="J857" t="s">
        <v>28</v>
      </c>
      <c r="K857">
        <v>6.98</v>
      </c>
      <c r="L857" t="s">
        <v>39</v>
      </c>
      <c r="M857" t="s">
        <v>292</v>
      </c>
      <c r="N857" t="s">
        <v>29</v>
      </c>
      <c r="O857" t="s">
        <v>29</v>
      </c>
      <c r="P857">
        <v>72</v>
      </c>
      <c r="Q857" t="s">
        <v>31</v>
      </c>
      <c r="R857" t="s">
        <v>159</v>
      </c>
      <c r="S857" t="s">
        <v>290</v>
      </c>
      <c r="T857" t="s">
        <v>29</v>
      </c>
      <c r="U857" t="s">
        <v>29</v>
      </c>
      <c r="V857" s="6" t="s">
        <v>160</v>
      </c>
      <c r="W857" t="s">
        <v>43</v>
      </c>
      <c r="X857" t="s">
        <v>44</v>
      </c>
      <c r="Y857" s="6" t="s">
        <v>28</v>
      </c>
    </row>
    <row r="858" spans="2:25" x14ac:dyDescent="0.3">
      <c r="B858" s="5" t="s">
        <v>67</v>
      </c>
      <c r="C858" s="5" t="str">
        <f>VLOOKUP(B858,[1]물질정보!B:C,2,0)</f>
        <v>818-61-1</v>
      </c>
      <c r="D858" t="str">
        <f>VLOOKUP(B858,[1]물질정보!B:D,3,0)</f>
        <v>2-hydroxyethyl acrylate</v>
      </c>
      <c r="E858" t="str">
        <f>VLOOKUP(B858,[1]물질정보!B:E,4,0)</f>
        <v>C5H8O3</v>
      </c>
      <c r="F858" t="str">
        <f>VLOOKUP(B858,[1]물질정보!B:F,5,0)</f>
        <v>116.11 g/mol</v>
      </c>
      <c r="G858" s="5" t="str">
        <f>VLOOKUP(B858,[1]물질정보!B:G,6,0)</f>
        <v>C=CC(=O)OCCO</v>
      </c>
      <c r="H858" t="s">
        <v>26</v>
      </c>
      <c r="I858" t="s">
        <v>27</v>
      </c>
      <c r="J858" t="s">
        <v>241</v>
      </c>
      <c r="K858">
        <v>0.625</v>
      </c>
      <c r="L858" t="s">
        <v>39</v>
      </c>
      <c r="M858" t="s">
        <v>292</v>
      </c>
      <c r="N858" t="s">
        <v>29</v>
      </c>
      <c r="O858" t="s">
        <v>29</v>
      </c>
      <c r="P858">
        <v>72</v>
      </c>
      <c r="Q858" t="s">
        <v>31</v>
      </c>
      <c r="R858" t="s">
        <v>159</v>
      </c>
      <c r="S858" t="s">
        <v>290</v>
      </c>
      <c r="T858" t="s">
        <v>29</v>
      </c>
      <c r="U858" t="s">
        <v>29</v>
      </c>
      <c r="V858" s="6" t="s">
        <v>160</v>
      </c>
      <c r="W858" t="s">
        <v>43</v>
      </c>
      <c r="X858" t="s">
        <v>44</v>
      </c>
      <c r="Y858" s="6" t="s">
        <v>241</v>
      </c>
    </row>
    <row r="859" spans="2:25" x14ac:dyDescent="0.3">
      <c r="B859" s="5" t="s">
        <v>67</v>
      </c>
      <c r="C859" s="5" t="str">
        <f>VLOOKUP(B859,[1]물질정보!B:C,2,0)</f>
        <v>818-61-1</v>
      </c>
      <c r="D859" t="str">
        <f>VLOOKUP(B859,[1]물질정보!B:D,3,0)</f>
        <v>2-hydroxyethyl acrylate</v>
      </c>
      <c r="E859" t="str">
        <f>VLOOKUP(B859,[1]물질정보!B:E,4,0)</f>
        <v>C5H8O3</v>
      </c>
      <c r="F859" t="str">
        <f>VLOOKUP(B859,[1]물질정보!B:F,5,0)</f>
        <v>116.11 g/mol</v>
      </c>
      <c r="G859" s="5" t="str">
        <f>VLOOKUP(B859,[1]물질정보!B:G,6,0)</f>
        <v>C=CC(=O)OCCO</v>
      </c>
      <c r="H859" t="s">
        <v>26</v>
      </c>
      <c r="I859" t="s">
        <v>27</v>
      </c>
      <c r="J859" t="s">
        <v>28</v>
      </c>
      <c r="K859">
        <v>3.88</v>
      </c>
      <c r="L859" t="s">
        <v>39</v>
      </c>
      <c r="M859" t="s">
        <v>292</v>
      </c>
      <c r="N859" t="s">
        <v>29</v>
      </c>
      <c r="O859" t="s">
        <v>29</v>
      </c>
      <c r="P859">
        <v>72</v>
      </c>
      <c r="Q859" t="s">
        <v>31</v>
      </c>
      <c r="R859" t="s">
        <v>159</v>
      </c>
      <c r="S859" t="s">
        <v>290</v>
      </c>
      <c r="T859" t="s">
        <v>29</v>
      </c>
      <c r="U859" t="s">
        <v>29</v>
      </c>
      <c r="V859" s="6" t="s">
        <v>160</v>
      </c>
      <c r="W859" t="s">
        <v>43</v>
      </c>
      <c r="X859" t="s">
        <v>44</v>
      </c>
      <c r="Y859" s="6" t="s">
        <v>28</v>
      </c>
    </row>
    <row r="860" spans="2:25" x14ac:dyDescent="0.3">
      <c r="B860" s="5" t="s">
        <v>67</v>
      </c>
      <c r="C860" s="5" t="str">
        <f>VLOOKUP(B860,[1]물질정보!B:C,2,0)</f>
        <v>818-61-1</v>
      </c>
      <c r="D860" t="str">
        <f>VLOOKUP(B860,[1]물질정보!B:D,3,0)</f>
        <v>2-hydroxyethyl acrylate</v>
      </c>
      <c r="E860" t="str">
        <f>VLOOKUP(B860,[1]물질정보!B:E,4,0)</f>
        <v>C5H8O3</v>
      </c>
      <c r="F860" t="str">
        <f>VLOOKUP(B860,[1]물질정보!B:F,5,0)</f>
        <v>116.11 g/mol</v>
      </c>
      <c r="G860" s="5" t="str">
        <f>VLOOKUP(B860,[1]물질정보!B:G,6,0)</f>
        <v>C=CC(=O)OCCO</v>
      </c>
      <c r="H860" t="s">
        <v>26</v>
      </c>
      <c r="I860" t="s">
        <v>27</v>
      </c>
      <c r="J860" t="s">
        <v>28</v>
      </c>
      <c r="K860">
        <v>4.12</v>
      </c>
      <c r="L860" t="s">
        <v>39</v>
      </c>
      <c r="M860" t="s">
        <v>301</v>
      </c>
      <c r="N860" t="s">
        <v>29</v>
      </c>
      <c r="O860" t="s">
        <v>29</v>
      </c>
      <c r="P860">
        <v>96</v>
      </c>
      <c r="Q860" t="s">
        <v>31</v>
      </c>
      <c r="R860" t="s">
        <v>159</v>
      </c>
      <c r="S860" t="s">
        <v>290</v>
      </c>
      <c r="T860" t="s">
        <v>29</v>
      </c>
      <c r="U860" t="s">
        <v>29</v>
      </c>
      <c r="V860" s="6" t="s">
        <v>163</v>
      </c>
      <c r="W860" t="s">
        <v>43</v>
      </c>
      <c r="X860" t="s">
        <v>37</v>
      </c>
      <c r="Y860" s="6" t="s">
        <v>28</v>
      </c>
    </row>
    <row r="861" spans="2:25" x14ac:dyDescent="0.3">
      <c r="B861" s="5" t="s">
        <v>67</v>
      </c>
      <c r="C861" s="5" t="str">
        <f>VLOOKUP(B861,[1]물질정보!B:C,2,0)</f>
        <v>818-61-1</v>
      </c>
      <c r="D861" t="str">
        <f>VLOOKUP(B861,[1]물질정보!B:D,3,0)</f>
        <v>2-hydroxyethyl acrylate</v>
      </c>
      <c r="E861" t="str">
        <f>VLOOKUP(B861,[1]물질정보!B:E,4,0)</f>
        <v>C5H8O3</v>
      </c>
      <c r="F861" t="str">
        <f>VLOOKUP(B861,[1]물질정보!B:F,5,0)</f>
        <v>116.11 g/mol</v>
      </c>
      <c r="G861" s="5" t="str">
        <f>VLOOKUP(B861,[1]물질정보!B:G,6,0)</f>
        <v>C=CC(=O)OCCO</v>
      </c>
      <c r="H861" t="s">
        <v>26</v>
      </c>
      <c r="I861" t="s">
        <v>27</v>
      </c>
      <c r="J861" t="s">
        <v>28</v>
      </c>
      <c r="K861">
        <v>8.26</v>
      </c>
      <c r="L861" t="s">
        <v>39</v>
      </c>
      <c r="M861" t="s">
        <v>301</v>
      </c>
      <c r="N861" t="s">
        <v>29</v>
      </c>
      <c r="O861" t="s">
        <v>29</v>
      </c>
      <c r="P861">
        <v>96</v>
      </c>
      <c r="Q861" t="s">
        <v>31</v>
      </c>
      <c r="R861" t="s">
        <v>159</v>
      </c>
      <c r="S861" t="s">
        <v>290</v>
      </c>
      <c r="T861" t="s">
        <v>29</v>
      </c>
      <c r="U861" t="s">
        <v>29</v>
      </c>
      <c r="V861" s="6" t="s">
        <v>163</v>
      </c>
      <c r="W861" t="s">
        <v>43</v>
      </c>
      <c r="X861" t="s">
        <v>37</v>
      </c>
      <c r="Y861" s="6" t="s">
        <v>28</v>
      </c>
    </row>
    <row r="862" spans="2:25" x14ac:dyDescent="0.3">
      <c r="B862" s="5" t="s">
        <v>67</v>
      </c>
      <c r="C862" s="5" t="str">
        <f>VLOOKUP(B862,[1]물질정보!B:C,2,0)</f>
        <v>818-61-1</v>
      </c>
      <c r="D862" t="str">
        <f>VLOOKUP(B862,[1]물질정보!B:D,3,0)</f>
        <v>2-hydroxyethyl acrylate</v>
      </c>
      <c r="E862" t="str">
        <f>VLOOKUP(B862,[1]물질정보!B:E,4,0)</f>
        <v>C5H8O3</v>
      </c>
      <c r="F862" t="str">
        <f>VLOOKUP(B862,[1]물질정보!B:F,5,0)</f>
        <v>116.11 g/mol</v>
      </c>
      <c r="G862" s="5" t="str">
        <f>VLOOKUP(B862,[1]물질정보!B:G,6,0)</f>
        <v>C=CC(=O)OCCO</v>
      </c>
      <c r="H862" t="s">
        <v>26</v>
      </c>
      <c r="I862" t="s">
        <v>27</v>
      </c>
      <c r="J862" t="s">
        <v>28</v>
      </c>
      <c r="K862">
        <v>6</v>
      </c>
      <c r="L862" t="s">
        <v>39</v>
      </c>
      <c r="M862" t="s">
        <v>43</v>
      </c>
      <c r="N862" t="s">
        <v>29</v>
      </c>
      <c r="O862" t="s">
        <v>29</v>
      </c>
      <c r="P862">
        <v>72</v>
      </c>
      <c r="Q862" t="s">
        <v>31</v>
      </c>
      <c r="R862" t="s">
        <v>159</v>
      </c>
      <c r="S862" t="s">
        <v>29</v>
      </c>
      <c r="T862" t="s">
        <v>29</v>
      </c>
      <c r="U862" t="s">
        <v>29</v>
      </c>
      <c r="V862" s="6" t="s">
        <v>168</v>
      </c>
      <c r="W862" t="s">
        <v>43</v>
      </c>
      <c r="X862" t="s">
        <v>44</v>
      </c>
      <c r="Y862" s="6" t="s">
        <v>28</v>
      </c>
    </row>
    <row r="863" spans="2:25" x14ac:dyDescent="0.3">
      <c r="B863" s="5" t="s">
        <v>67</v>
      </c>
      <c r="C863" s="5" t="str">
        <f>VLOOKUP(B863,[1]물질정보!B:C,2,0)</f>
        <v>818-61-1</v>
      </c>
      <c r="D863" t="str">
        <f>VLOOKUP(B863,[1]물질정보!B:D,3,0)</f>
        <v>2-hydroxyethyl acrylate</v>
      </c>
      <c r="E863" t="str">
        <f>VLOOKUP(B863,[1]물질정보!B:E,4,0)</f>
        <v>C5H8O3</v>
      </c>
      <c r="F863" t="str">
        <f>VLOOKUP(B863,[1]물질정보!B:F,5,0)</f>
        <v>116.11 g/mol</v>
      </c>
      <c r="G863" s="5" t="str">
        <f>VLOOKUP(B863,[1]물질정보!B:G,6,0)</f>
        <v>C=CC(=O)OCCO</v>
      </c>
      <c r="H863" t="s">
        <v>26</v>
      </c>
      <c r="I863" t="s">
        <v>27</v>
      </c>
      <c r="J863" t="s">
        <v>28</v>
      </c>
      <c r="K863">
        <v>6</v>
      </c>
      <c r="L863" t="s">
        <v>39</v>
      </c>
      <c r="M863" t="s">
        <v>43</v>
      </c>
      <c r="N863" t="s">
        <v>29</v>
      </c>
      <c r="O863" t="s">
        <v>29</v>
      </c>
      <c r="P863">
        <v>72</v>
      </c>
      <c r="Q863" t="s">
        <v>31</v>
      </c>
      <c r="R863" t="s">
        <v>159</v>
      </c>
      <c r="S863" t="s">
        <v>29</v>
      </c>
      <c r="T863" t="s">
        <v>29</v>
      </c>
      <c r="U863" t="s">
        <v>29</v>
      </c>
      <c r="V863" s="6" t="s">
        <v>169</v>
      </c>
      <c r="W863" t="s">
        <v>43</v>
      </c>
      <c r="X863" t="s">
        <v>44</v>
      </c>
      <c r="Y863" s="6" t="s">
        <v>28</v>
      </c>
    </row>
    <row r="864" spans="2:25" x14ac:dyDescent="0.3">
      <c r="B864" s="5" t="s">
        <v>65</v>
      </c>
      <c r="C864" s="5" t="str">
        <f>VLOOKUP(B864,[1]물질정보!B:C,2,0)</f>
        <v>141-32-2</v>
      </c>
      <c r="D864" t="str">
        <f>VLOOKUP(B864,[1]물질정보!B:D,3,0)</f>
        <v>butyl acrylate</v>
      </c>
      <c r="E864" t="str">
        <f>VLOOKUP(B864,[1]물질정보!B:E,4,0)</f>
        <v>C7H12O2</v>
      </c>
      <c r="F864" t="str">
        <f>VLOOKUP(B864,[1]물질정보!B:F,5,0)</f>
        <v>128.169 g/mol</v>
      </c>
      <c r="G864" s="5" t="str">
        <f>VLOOKUP(B864,[1]물질정보!B:G,6,0)</f>
        <v>CCCCOC(=O)C=C</v>
      </c>
      <c r="H864" t="s">
        <v>26</v>
      </c>
      <c r="I864" t="s">
        <v>27</v>
      </c>
      <c r="J864" t="s">
        <v>28</v>
      </c>
      <c r="K864">
        <v>5.9</v>
      </c>
      <c r="L864" t="s">
        <v>39</v>
      </c>
      <c r="M864" t="s">
        <v>292</v>
      </c>
      <c r="N864" t="s">
        <v>29</v>
      </c>
      <c r="O864" t="s">
        <v>29</v>
      </c>
      <c r="P864">
        <v>96</v>
      </c>
      <c r="Q864" t="s">
        <v>31</v>
      </c>
      <c r="R864" t="s">
        <v>159</v>
      </c>
      <c r="S864" t="s">
        <v>290</v>
      </c>
      <c r="T864" t="s">
        <v>29</v>
      </c>
      <c r="U864" t="s">
        <v>29</v>
      </c>
      <c r="V864" s="6" t="s">
        <v>160</v>
      </c>
      <c r="W864" t="s">
        <v>43</v>
      </c>
      <c r="X864" t="s">
        <v>37</v>
      </c>
      <c r="Y864" s="6" t="s">
        <v>28</v>
      </c>
    </row>
    <row r="865" spans="2:25" x14ac:dyDescent="0.3">
      <c r="B865" s="5" t="s">
        <v>65</v>
      </c>
      <c r="C865" s="5" t="str">
        <f>VLOOKUP(B865,[1]물질정보!B:C,2,0)</f>
        <v>141-32-2</v>
      </c>
      <c r="D865" t="str">
        <f>VLOOKUP(B865,[1]물질정보!B:D,3,0)</f>
        <v>butyl acrylate</v>
      </c>
      <c r="E865" t="str">
        <f>VLOOKUP(B865,[1]물질정보!B:E,4,0)</f>
        <v>C7H12O2</v>
      </c>
      <c r="F865" t="str">
        <f>VLOOKUP(B865,[1]물질정보!B:F,5,0)</f>
        <v>128.169 g/mol</v>
      </c>
      <c r="G865" s="5" t="str">
        <f>VLOOKUP(B865,[1]물질정보!B:G,6,0)</f>
        <v>CCCCOC(=O)C=C</v>
      </c>
      <c r="H865" t="s">
        <v>26</v>
      </c>
      <c r="I865" t="s">
        <v>27</v>
      </c>
      <c r="J865" t="s">
        <v>28</v>
      </c>
      <c r="K865">
        <v>5.2</v>
      </c>
      <c r="L865" t="s">
        <v>39</v>
      </c>
      <c r="M865" t="s">
        <v>292</v>
      </c>
      <c r="N865" t="s">
        <v>29</v>
      </c>
      <c r="O865" t="s">
        <v>29</v>
      </c>
      <c r="P865">
        <v>96</v>
      </c>
      <c r="Q865" t="s">
        <v>31</v>
      </c>
      <c r="R865" t="s">
        <v>159</v>
      </c>
      <c r="S865" t="s">
        <v>290</v>
      </c>
      <c r="T865" t="s">
        <v>29</v>
      </c>
      <c r="U865" t="s">
        <v>29</v>
      </c>
      <c r="V865" s="6" t="s">
        <v>160</v>
      </c>
      <c r="W865" t="s">
        <v>43</v>
      </c>
      <c r="X865" t="s">
        <v>37</v>
      </c>
      <c r="Y865" s="6" t="s">
        <v>28</v>
      </c>
    </row>
    <row r="866" spans="2:25" x14ac:dyDescent="0.3">
      <c r="B866" s="5" t="s">
        <v>65</v>
      </c>
      <c r="C866" s="5" t="str">
        <f>VLOOKUP(B866,[1]물질정보!B:C,2,0)</f>
        <v>141-32-2</v>
      </c>
      <c r="D866" t="str">
        <f>VLOOKUP(B866,[1]물질정보!B:D,3,0)</f>
        <v>butyl acrylate</v>
      </c>
      <c r="E866" t="str">
        <f>VLOOKUP(B866,[1]물질정보!B:E,4,0)</f>
        <v>C7H12O2</v>
      </c>
      <c r="F866" t="str">
        <f>VLOOKUP(B866,[1]물질정보!B:F,5,0)</f>
        <v>128.169 g/mol</v>
      </c>
      <c r="G866" s="5" t="str">
        <f>VLOOKUP(B866,[1]물질정보!B:G,6,0)</f>
        <v>CCCCOC(=O)C=C</v>
      </c>
      <c r="H866" t="s">
        <v>26</v>
      </c>
      <c r="I866" t="s">
        <v>27</v>
      </c>
      <c r="J866" t="s">
        <v>241</v>
      </c>
      <c r="K866">
        <v>3.8</v>
      </c>
      <c r="L866" t="s">
        <v>39</v>
      </c>
      <c r="M866" t="s">
        <v>292</v>
      </c>
      <c r="N866" t="s">
        <v>29</v>
      </c>
      <c r="O866" t="s">
        <v>29</v>
      </c>
      <c r="P866">
        <v>96</v>
      </c>
      <c r="Q866" t="s">
        <v>31</v>
      </c>
      <c r="R866" t="s">
        <v>159</v>
      </c>
      <c r="S866" t="s">
        <v>290</v>
      </c>
      <c r="T866" t="s">
        <v>29</v>
      </c>
      <c r="U866" t="s">
        <v>29</v>
      </c>
      <c r="V866" s="6" t="s">
        <v>160</v>
      </c>
      <c r="W866" t="s">
        <v>43</v>
      </c>
      <c r="X866" t="s">
        <v>37</v>
      </c>
      <c r="Y866" s="6" t="s">
        <v>241</v>
      </c>
    </row>
    <row r="867" spans="2:25" x14ac:dyDescent="0.3">
      <c r="B867" s="5" t="s">
        <v>65</v>
      </c>
      <c r="C867" s="5" t="str">
        <f>VLOOKUP(B867,[1]물질정보!B:C,2,0)</f>
        <v>141-32-2</v>
      </c>
      <c r="D867" t="str">
        <f>VLOOKUP(B867,[1]물질정보!B:D,3,0)</f>
        <v>butyl acrylate</v>
      </c>
      <c r="E867" t="str">
        <f>VLOOKUP(B867,[1]물질정보!B:E,4,0)</f>
        <v>C7H12O2</v>
      </c>
      <c r="F867" t="str">
        <f>VLOOKUP(B867,[1]물질정보!B:F,5,0)</f>
        <v>128.169 g/mol</v>
      </c>
      <c r="G867" s="5" t="str">
        <f>VLOOKUP(B867,[1]물질정보!B:G,6,0)</f>
        <v>CCCCOC(=O)C=C</v>
      </c>
      <c r="H867" t="s">
        <v>26</v>
      </c>
      <c r="I867" t="s">
        <v>27</v>
      </c>
      <c r="J867" t="s">
        <v>28</v>
      </c>
      <c r="K867">
        <v>2.65</v>
      </c>
      <c r="L867" t="s">
        <v>39</v>
      </c>
      <c r="M867" t="s">
        <v>292</v>
      </c>
      <c r="N867" t="s">
        <v>29</v>
      </c>
      <c r="O867" t="s">
        <v>29</v>
      </c>
      <c r="P867">
        <v>96</v>
      </c>
      <c r="Q867" t="s">
        <v>31</v>
      </c>
      <c r="R867" t="s">
        <v>159</v>
      </c>
      <c r="S867" t="s">
        <v>290</v>
      </c>
      <c r="T867" t="s">
        <v>29</v>
      </c>
      <c r="U867" t="s">
        <v>29</v>
      </c>
      <c r="V867" s="6" t="s">
        <v>160</v>
      </c>
      <c r="W867" t="s">
        <v>43</v>
      </c>
      <c r="X867" t="s">
        <v>37</v>
      </c>
      <c r="Y867" s="6" t="s">
        <v>28</v>
      </c>
    </row>
    <row r="868" spans="2:25" x14ac:dyDescent="0.3">
      <c r="B868" s="5" t="s">
        <v>65</v>
      </c>
      <c r="C868" s="5" t="str">
        <f>VLOOKUP(B868,[1]물질정보!B:C,2,0)</f>
        <v>141-32-2</v>
      </c>
      <c r="D868" t="str">
        <f>VLOOKUP(B868,[1]물질정보!B:D,3,0)</f>
        <v>butyl acrylate</v>
      </c>
      <c r="E868" t="str">
        <f>VLOOKUP(B868,[1]물질정보!B:E,4,0)</f>
        <v>C7H12O2</v>
      </c>
      <c r="F868" t="str">
        <f>VLOOKUP(B868,[1]물질정보!B:F,5,0)</f>
        <v>128.169 g/mol</v>
      </c>
      <c r="G868" s="5" t="str">
        <f>VLOOKUP(B868,[1]물질정보!B:G,6,0)</f>
        <v>CCCCOC(=O)C=C</v>
      </c>
      <c r="H868" t="s">
        <v>26</v>
      </c>
      <c r="I868" t="s">
        <v>27</v>
      </c>
      <c r="J868" t="s">
        <v>241</v>
      </c>
      <c r="K868">
        <v>1.8</v>
      </c>
      <c r="L868" t="s">
        <v>39</v>
      </c>
      <c r="M868" t="s">
        <v>292</v>
      </c>
      <c r="N868" t="s">
        <v>29</v>
      </c>
      <c r="O868" t="s">
        <v>29</v>
      </c>
      <c r="P868">
        <v>96</v>
      </c>
      <c r="Q868" t="s">
        <v>31</v>
      </c>
      <c r="R868" t="s">
        <v>159</v>
      </c>
      <c r="S868" t="s">
        <v>290</v>
      </c>
      <c r="T868" t="s">
        <v>29</v>
      </c>
      <c r="U868" t="s">
        <v>29</v>
      </c>
      <c r="V868" s="6" t="s">
        <v>160</v>
      </c>
      <c r="W868" t="s">
        <v>43</v>
      </c>
      <c r="X868" t="s">
        <v>37</v>
      </c>
      <c r="Y868" s="6" t="s">
        <v>241</v>
      </c>
    </row>
    <row r="869" spans="2:25" x14ac:dyDescent="0.3">
      <c r="B869" s="5" t="s">
        <v>65</v>
      </c>
      <c r="C869" s="5" t="str">
        <f>VLOOKUP(B869,[1]물질정보!B:C,2,0)</f>
        <v>141-32-2</v>
      </c>
      <c r="D869" t="str">
        <f>VLOOKUP(B869,[1]물질정보!B:D,3,0)</f>
        <v>butyl acrylate</v>
      </c>
      <c r="E869" t="str">
        <f>VLOOKUP(B869,[1]물질정보!B:E,4,0)</f>
        <v>C7H12O2</v>
      </c>
      <c r="F869" t="str">
        <f>VLOOKUP(B869,[1]물질정보!B:F,5,0)</f>
        <v>128.169 g/mol</v>
      </c>
      <c r="G869" s="5" t="str">
        <f>VLOOKUP(B869,[1]물질정보!B:G,6,0)</f>
        <v>CCCCOC(=O)C=C</v>
      </c>
      <c r="H869" t="s">
        <v>26</v>
      </c>
      <c r="I869" t="s">
        <v>27</v>
      </c>
      <c r="J869" t="s">
        <v>291</v>
      </c>
      <c r="K869">
        <v>0.9</v>
      </c>
      <c r="L869" t="s">
        <v>39</v>
      </c>
      <c r="M869" t="s">
        <v>295</v>
      </c>
      <c r="N869" t="s">
        <v>29</v>
      </c>
      <c r="O869" t="s">
        <v>29</v>
      </c>
      <c r="P869">
        <v>72</v>
      </c>
      <c r="Q869" t="s">
        <v>31</v>
      </c>
      <c r="R869" t="s">
        <v>159</v>
      </c>
      <c r="S869" t="s">
        <v>290</v>
      </c>
      <c r="T869" t="s">
        <v>29</v>
      </c>
      <c r="U869" t="s">
        <v>29</v>
      </c>
      <c r="V869" s="6" t="s">
        <v>160</v>
      </c>
      <c r="W869" t="s">
        <v>297</v>
      </c>
      <c r="X869" t="s">
        <v>44</v>
      </c>
      <c r="Y869" s="6" t="s">
        <v>291</v>
      </c>
    </row>
    <row r="870" spans="2:25" x14ac:dyDescent="0.3">
      <c r="B870" s="5" t="s">
        <v>65</v>
      </c>
      <c r="C870" s="5" t="str">
        <f>VLOOKUP(B870,[1]물질정보!B:C,2,0)</f>
        <v>141-32-2</v>
      </c>
      <c r="D870" t="str">
        <f>VLOOKUP(B870,[1]물질정보!B:D,3,0)</f>
        <v>butyl acrylate</v>
      </c>
      <c r="E870" t="str">
        <f>VLOOKUP(B870,[1]물질정보!B:E,4,0)</f>
        <v>C7H12O2</v>
      </c>
      <c r="F870" t="str">
        <f>VLOOKUP(B870,[1]물질정보!B:F,5,0)</f>
        <v>128.169 g/mol</v>
      </c>
      <c r="G870" s="5" t="str">
        <f>VLOOKUP(B870,[1]물질정보!B:G,6,0)</f>
        <v>CCCCOC(=O)C=C</v>
      </c>
      <c r="H870" t="s">
        <v>26</v>
      </c>
      <c r="I870" t="s">
        <v>27</v>
      </c>
      <c r="J870" t="s">
        <v>28</v>
      </c>
      <c r="K870">
        <v>1.71</v>
      </c>
      <c r="L870" t="s">
        <v>39</v>
      </c>
      <c r="M870" t="s">
        <v>295</v>
      </c>
      <c r="N870" t="s">
        <v>29</v>
      </c>
      <c r="O870" t="s">
        <v>29</v>
      </c>
      <c r="P870">
        <v>72</v>
      </c>
      <c r="Q870" t="s">
        <v>31</v>
      </c>
      <c r="R870" t="s">
        <v>159</v>
      </c>
      <c r="S870" t="s">
        <v>290</v>
      </c>
      <c r="T870" t="s">
        <v>29</v>
      </c>
      <c r="U870" t="s">
        <v>29</v>
      </c>
      <c r="V870" s="6" t="s">
        <v>160</v>
      </c>
      <c r="W870" t="s">
        <v>297</v>
      </c>
      <c r="X870" t="s">
        <v>44</v>
      </c>
      <c r="Y870" s="6" t="s">
        <v>28</v>
      </c>
    </row>
    <row r="871" spans="2:25" x14ac:dyDescent="0.3">
      <c r="B871" s="5" t="s">
        <v>65</v>
      </c>
      <c r="C871" s="5" t="str">
        <f>VLOOKUP(B871,[1]물질정보!B:C,2,0)</f>
        <v>141-32-2</v>
      </c>
      <c r="D871" t="str">
        <f>VLOOKUP(B871,[1]물질정보!B:D,3,0)</f>
        <v>butyl acrylate</v>
      </c>
      <c r="E871" t="str">
        <f>VLOOKUP(B871,[1]물질정보!B:E,4,0)</f>
        <v>C7H12O2</v>
      </c>
      <c r="F871" t="str">
        <f>VLOOKUP(B871,[1]물질정보!B:F,5,0)</f>
        <v>128.169 g/mol</v>
      </c>
      <c r="G871" s="5" t="str">
        <f>VLOOKUP(B871,[1]물질정보!B:G,6,0)</f>
        <v>CCCCOC(=O)C=C</v>
      </c>
      <c r="H871" t="s">
        <v>26</v>
      </c>
      <c r="I871" t="s">
        <v>27</v>
      </c>
      <c r="J871" t="s">
        <v>283</v>
      </c>
      <c r="K871">
        <v>0.8</v>
      </c>
      <c r="L871" t="s">
        <v>39</v>
      </c>
      <c r="M871" t="s">
        <v>295</v>
      </c>
      <c r="N871" t="s">
        <v>29</v>
      </c>
      <c r="O871" t="s">
        <v>29</v>
      </c>
      <c r="P871">
        <v>72</v>
      </c>
      <c r="Q871" t="s">
        <v>31</v>
      </c>
      <c r="R871" t="s">
        <v>159</v>
      </c>
      <c r="S871" t="s">
        <v>290</v>
      </c>
      <c r="T871" t="s">
        <v>29</v>
      </c>
      <c r="U871" t="s">
        <v>29</v>
      </c>
      <c r="V871" s="6" t="s">
        <v>160</v>
      </c>
      <c r="W871" t="s">
        <v>297</v>
      </c>
      <c r="X871" t="s">
        <v>44</v>
      </c>
      <c r="Y871" s="6" t="s">
        <v>283</v>
      </c>
    </row>
    <row r="872" spans="2:25" x14ac:dyDescent="0.3">
      <c r="B872" s="5" t="s">
        <v>65</v>
      </c>
      <c r="C872" s="5" t="str">
        <f>VLOOKUP(B872,[1]물질정보!B:C,2,0)</f>
        <v>141-32-2</v>
      </c>
      <c r="D872" t="str">
        <f>VLOOKUP(B872,[1]물질정보!B:D,3,0)</f>
        <v>butyl acrylate</v>
      </c>
      <c r="E872" t="str">
        <f>VLOOKUP(B872,[1]물질정보!B:E,4,0)</f>
        <v>C7H12O2</v>
      </c>
      <c r="F872" t="str">
        <f>VLOOKUP(B872,[1]물질정보!B:F,5,0)</f>
        <v>128.169 g/mol</v>
      </c>
      <c r="G872" s="5" t="str">
        <f>VLOOKUP(B872,[1]물질정보!B:G,6,0)</f>
        <v>CCCCOC(=O)C=C</v>
      </c>
      <c r="H872" t="s">
        <v>26</v>
      </c>
      <c r="I872" t="s">
        <v>27</v>
      </c>
      <c r="J872" t="s">
        <v>241</v>
      </c>
      <c r="K872">
        <v>0.45</v>
      </c>
      <c r="L872" t="s">
        <v>39</v>
      </c>
      <c r="M872" t="s">
        <v>295</v>
      </c>
      <c r="N872" t="s">
        <v>29</v>
      </c>
      <c r="O872" t="s">
        <v>29</v>
      </c>
      <c r="P872">
        <v>72</v>
      </c>
      <c r="Q872" t="s">
        <v>31</v>
      </c>
      <c r="R872" t="s">
        <v>159</v>
      </c>
      <c r="S872" t="s">
        <v>290</v>
      </c>
      <c r="T872" t="s">
        <v>29</v>
      </c>
      <c r="U872" t="s">
        <v>29</v>
      </c>
      <c r="V872" s="6" t="s">
        <v>160</v>
      </c>
      <c r="W872" t="s">
        <v>297</v>
      </c>
      <c r="X872" t="s">
        <v>44</v>
      </c>
      <c r="Y872" s="6" t="s">
        <v>241</v>
      </c>
    </row>
    <row r="873" spans="2:25" x14ac:dyDescent="0.3">
      <c r="B873" s="5" t="s">
        <v>65</v>
      </c>
      <c r="C873" s="5" t="str">
        <f>VLOOKUP(B873,[1]물질정보!B:C,2,0)</f>
        <v>141-32-2</v>
      </c>
      <c r="D873" t="str">
        <f>VLOOKUP(B873,[1]물질정보!B:D,3,0)</f>
        <v>butyl acrylate</v>
      </c>
      <c r="E873" t="str">
        <f>VLOOKUP(B873,[1]물질정보!B:E,4,0)</f>
        <v>C7H12O2</v>
      </c>
      <c r="F873" t="str">
        <f>VLOOKUP(B873,[1]물질정보!B:F,5,0)</f>
        <v>128.169 g/mol</v>
      </c>
      <c r="G873" s="5" t="str">
        <f>VLOOKUP(B873,[1]물질정보!B:G,6,0)</f>
        <v>CCCCOC(=O)C=C</v>
      </c>
      <c r="H873" t="s">
        <v>26</v>
      </c>
      <c r="I873" t="s">
        <v>27</v>
      </c>
      <c r="J873" t="s">
        <v>298</v>
      </c>
      <c r="K873">
        <v>2.91</v>
      </c>
      <c r="L873" t="s">
        <v>39</v>
      </c>
      <c r="M873" t="s">
        <v>295</v>
      </c>
      <c r="N873" t="s">
        <v>29</v>
      </c>
      <c r="O873" t="s">
        <v>29</v>
      </c>
      <c r="P873">
        <v>72</v>
      </c>
      <c r="Q873" t="s">
        <v>31</v>
      </c>
      <c r="R873" t="s">
        <v>159</v>
      </c>
      <c r="S873" t="s">
        <v>290</v>
      </c>
      <c r="T873" t="s">
        <v>29</v>
      </c>
      <c r="U873" t="s">
        <v>29</v>
      </c>
      <c r="V873" s="6" t="s">
        <v>160</v>
      </c>
      <c r="W873" t="s">
        <v>297</v>
      </c>
      <c r="X873" t="s">
        <v>44</v>
      </c>
      <c r="Y873" s="6" t="s">
        <v>298</v>
      </c>
    </row>
    <row r="874" spans="2:25" x14ac:dyDescent="0.3">
      <c r="B874" s="5" t="s">
        <v>65</v>
      </c>
      <c r="C874" s="5" t="str">
        <f>VLOOKUP(B874,[1]물질정보!B:C,2,0)</f>
        <v>141-32-2</v>
      </c>
      <c r="D874" t="str">
        <f>VLOOKUP(B874,[1]물질정보!B:D,3,0)</f>
        <v>butyl acrylate</v>
      </c>
      <c r="E874" t="str">
        <f>VLOOKUP(B874,[1]물질정보!B:E,4,0)</f>
        <v>C7H12O2</v>
      </c>
      <c r="F874" t="str">
        <f>VLOOKUP(B874,[1]물질정보!B:F,5,0)</f>
        <v>128.169 g/mol</v>
      </c>
      <c r="G874" s="5" t="str">
        <f>VLOOKUP(B874,[1]물질정보!B:G,6,0)</f>
        <v>CCCCOC(=O)C=C</v>
      </c>
      <c r="H874" t="s">
        <v>26</v>
      </c>
      <c r="I874" t="s">
        <v>27</v>
      </c>
      <c r="J874" t="s">
        <v>28</v>
      </c>
      <c r="K874">
        <v>3.55</v>
      </c>
      <c r="L874" t="s">
        <v>39</v>
      </c>
      <c r="M874" t="s">
        <v>292</v>
      </c>
      <c r="N874" t="s">
        <v>29</v>
      </c>
      <c r="O874" t="s">
        <v>29</v>
      </c>
      <c r="P874">
        <v>72</v>
      </c>
      <c r="Q874" t="s">
        <v>31</v>
      </c>
      <c r="R874" t="s">
        <v>159</v>
      </c>
      <c r="S874" t="s">
        <v>290</v>
      </c>
      <c r="T874" t="s">
        <v>29</v>
      </c>
      <c r="U874" t="s">
        <v>29</v>
      </c>
      <c r="V874" s="6" t="s">
        <v>160</v>
      </c>
      <c r="W874" t="s">
        <v>43</v>
      </c>
      <c r="X874" t="s">
        <v>44</v>
      </c>
      <c r="Y874" s="6" t="s">
        <v>28</v>
      </c>
    </row>
    <row r="875" spans="2:25" x14ac:dyDescent="0.3">
      <c r="B875" s="5" t="s">
        <v>65</v>
      </c>
      <c r="C875" s="5" t="str">
        <f>VLOOKUP(B875,[1]물질정보!B:C,2,0)</f>
        <v>141-32-2</v>
      </c>
      <c r="D875" t="str">
        <f>VLOOKUP(B875,[1]물질정보!B:D,3,0)</f>
        <v>butyl acrylate</v>
      </c>
      <c r="E875" t="str">
        <f>VLOOKUP(B875,[1]물질정보!B:E,4,0)</f>
        <v>C7H12O2</v>
      </c>
      <c r="F875" t="str">
        <f>VLOOKUP(B875,[1]물질정보!B:F,5,0)</f>
        <v>128.169 g/mol</v>
      </c>
      <c r="G875" s="5" t="str">
        <f>VLOOKUP(B875,[1]물질정보!B:G,6,0)</f>
        <v>CCCCOC(=O)C=C</v>
      </c>
      <c r="H875" t="s">
        <v>26</v>
      </c>
      <c r="I875" t="s">
        <v>27</v>
      </c>
      <c r="J875" t="s">
        <v>28</v>
      </c>
      <c r="K875">
        <v>2.02</v>
      </c>
      <c r="L875" t="s">
        <v>39</v>
      </c>
      <c r="M875" t="s">
        <v>292</v>
      </c>
      <c r="N875" t="s">
        <v>29</v>
      </c>
      <c r="O875" t="s">
        <v>29</v>
      </c>
      <c r="P875">
        <v>72</v>
      </c>
      <c r="Q875" t="s">
        <v>31</v>
      </c>
      <c r="R875" t="s">
        <v>159</v>
      </c>
      <c r="S875" t="s">
        <v>290</v>
      </c>
      <c r="T875" t="s">
        <v>29</v>
      </c>
      <c r="U875" t="s">
        <v>29</v>
      </c>
      <c r="V875" s="6" t="s">
        <v>160</v>
      </c>
      <c r="W875" t="s">
        <v>43</v>
      </c>
      <c r="X875" t="s">
        <v>44</v>
      </c>
      <c r="Y875" s="6" t="s">
        <v>28</v>
      </c>
    </row>
    <row r="876" spans="2:25" x14ac:dyDescent="0.3">
      <c r="B876" s="5" t="s">
        <v>65</v>
      </c>
      <c r="C876" s="5" t="str">
        <f>VLOOKUP(B876,[1]물질정보!B:C,2,0)</f>
        <v>141-32-2</v>
      </c>
      <c r="D876" t="str">
        <f>VLOOKUP(B876,[1]물질정보!B:D,3,0)</f>
        <v>butyl acrylate</v>
      </c>
      <c r="E876" t="str">
        <f>VLOOKUP(B876,[1]물질정보!B:E,4,0)</f>
        <v>C7H12O2</v>
      </c>
      <c r="F876" t="str">
        <f>VLOOKUP(B876,[1]물질정보!B:F,5,0)</f>
        <v>128.169 g/mol</v>
      </c>
      <c r="G876" s="5" t="str">
        <f>VLOOKUP(B876,[1]물질정보!B:G,6,0)</f>
        <v>CCCCOC(=O)C=C</v>
      </c>
      <c r="H876" t="s">
        <v>26</v>
      </c>
      <c r="I876" t="s">
        <v>27</v>
      </c>
      <c r="J876" t="s">
        <v>28</v>
      </c>
      <c r="K876">
        <v>4.5</v>
      </c>
      <c r="L876" t="s">
        <v>39</v>
      </c>
      <c r="M876" t="s">
        <v>292</v>
      </c>
      <c r="N876" t="s">
        <v>29</v>
      </c>
      <c r="O876" t="s">
        <v>29</v>
      </c>
      <c r="P876">
        <v>72</v>
      </c>
      <c r="Q876" t="s">
        <v>31</v>
      </c>
      <c r="R876" t="s">
        <v>159</v>
      </c>
      <c r="S876" t="s">
        <v>290</v>
      </c>
      <c r="T876" t="s">
        <v>29</v>
      </c>
      <c r="U876" t="s">
        <v>29</v>
      </c>
      <c r="V876" s="6" t="s">
        <v>160</v>
      </c>
      <c r="W876" t="s">
        <v>43</v>
      </c>
      <c r="X876" t="s">
        <v>44</v>
      </c>
      <c r="Y876" s="6" t="s">
        <v>28</v>
      </c>
    </row>
    <row r="877" spans="2:25" x14ac:dyDescent="0.3">
      <c r="B877" s="5" t="s">
        <v>65</v>
      </c>
      <c r="C877" s="5" t="str">
        <f>VLOOKUP(B877,[1]물질정보!B:C,2,0)</f>
        <v>141-32-2</v>
      </c>
      <c r="D877" t="str">
        <f>VLOOKUP(B877,[1]물질정보!B:D,3,0)</f>
        <v>butyl acrylate</v>
      </c>
      <c r="E877" t="str">
        <f>VLOOKUP(B877,[1]물질정보!B:E,4,0)</f>
        <v>C7H12O2</v>
      </c>
      <c r="F877" t="str">
        <f>VLOOKUP(B877,[1]물질정보!B:F,5,0)</f>
        <v>128.169 g/mol</v>
      </c>
      <c r="G877" s="5" t="str">
        <f>VLOOKUP(B877,[1]물질정보!B:G,6,0)</f>
        <v>CCCCOC(=O)C=C</v>
      </c>
      <c r="H877" t="s">
        <v>26</v>
      </c>
      <c r="I877" t="s">
        <v>27</v>
      </c>
      <c r="J877" t="s">
        <v>28</v>
      </c>
      <c r="K877">
        <v>5.5</v>
      </c>
      <c r="L877" t="s">
        <v>39</v>
      </c>
      <c r="M877" t="s">
        <v>292</v>
      </c>
      <c r="N877" t="s">
        <v>29</v>
      </c>
      <c r="O877" t="s">
        <v>29</v>
      </c>
      <c r="P877">
        <v>96</v>
      </c>
      <c r="Q877" t="s">
        <v>31</v>
      </c>
      <c r="R877" t="s">
        <v>159</v>
      </c>
      <c r="S877" t="s">
        <v>290</v>
      </c>
      <c r="T877" t="s">
        <v>29</v>
      </c>
      <c r="U877" t="s">
        <v>29</v>
      </c>
      <c r="V877" s="6" t="s">
        <v>160</v>
      </c>
      <c r="W877" t="s">
        <v>43</v>
      </c>
      <c r="X877" t="s">
        <v>37</v>
      </c>
      <c r="Y877" s="6" t="s">
        <v>28</v>
      </c>
    </row>
    <row r="878" spans="2:25" x14ac:dyDescent="0.3">
      <c r="B878" s="5" t="s">
        <v>65</v>
      </c>
      <c r="C878" s="5" t="str">
        <f>VLOOKUP(B878,[1]물질정보!B:C,2,0)</f>
        <v>141-32-2</v>
      </c>
      <c r="D878" t="str">
        <f>VLOOKUP(B878,[1]물질정보!B:D,3,0)</f>
        <v>butyl acrylate</v>
      </c>
      <c r="E878" t="str">
        <f>VLOOKUP(B878,[1]물질정보!B:E,4,0)</f>
        <v>C7H12O2</v>
      </c>
      <c r="F878" t="str">
        <f>VLOOKUP(B878,[1]물질정보!B:F,5,0)</f>
        <v>128.169 g/mol</v>
      </c>
      <c r="G878" s="5" t="str">
        <f>VLOOKUP(B878,[1]물질정보!B:G,6,0)</f>
        <v>CCCCOC(=O)C=C</v>
      </c>
      <c r="H878" t="s">
        <v>26</v>
      </c>
      <c r="I878" t="s">
        <v>27</v>
      </c>
      <c r="J878" t="s">
        <v>28</v>
      </c>
      <c r="K878">
        <v>8.9</v>
      </c>
      <c r="L878" t="s">
        <v>39</v>
      </c>
      <c r="M878" t="s">
        <v>292</v>
      </c>
      <c r="N878" t="s">
        <v>29</v>
      </c>
      <c r="O878" t="s">
        <v>29</v>
      </c>
      <c r="P878">
        <v>72</v>
      </c>
      <c r="Q878" t="s">
        <v>31</v>
      </c>
      <c r="R878" t="s">
        <v>159</v>
      </c>
      <c r="S878" t="s">
        <v>290</v>
      </c>
      <c r="T878" t="s">
        <v>29</v>
      </c>
      <c r="U878" t="s">
        <v>29</v>
      </c>
      <c r="V878" s="6" t="s">
        <v>160</v>
      </c>
      <c r="W878" t="s">
        <v>43</v>
      </c>
      <c r="X878" t="s">
        <v>44</v>
      </c>
      <c r="Y878" s="6" t="s">
        <v>28</v>
      </c>
    </row>
    <row r="879" spans="2:25" x14ac:dyDescent="0.3">
      <c r="B879" s="5" t="s">
        <v>65</v>
      </c>
      <c r="C879" s="5" t="str">
        <f>VLOOKUP(B879,[1]물질정보!B:C,2,0)</f>
        <v>141-32-2</v>
      </c>
      <c r="D879" t="str">
        <f>VLOOKUP(B879,[1]물질정보!B:D,3,0)</f>
        <v>butyl acrylate</v>
      </c>
      <c r="E879" t="str">
        <f>VLOOKUP(B879,[1]물질정보!B:E,4,0)</f>
        <v>C7H12O2</v>
      </c>
      <c r="F879" t="str">
        <f>VLOOKUP(B879,[1]물질정보!B:F,5,0)</f>
        <v>128.169 g/mol</v>
      </c>
      <c r="G879" s="5" t="str">
        <f>VLOOKUP(B879,[1]물질정보!B:G,6,0)</f>
        <v>CCCCOC(=O)C=C</v>
      </c>
      <c r="H879" t="s">
        <v>26</v>
      </c>
      <c r="I879" t="s">
        <v>27</v>
      </c>
      <c r="J879" t="s">
        <v>28</v>
      </c>
      <c r="K879">
        <v>11</v>
      </c>
      <c r="L879" t="s">
        <v>39</v>
      </c>
      <c r="M879" t="s">
        <v>292</v>
      </c>
      <c r="N879" t="s">
        <v>29</v>
      </c>
      <c r="O879" t="s">
        <v>29</v>
      </c>
      <c r="P879">
        <v>96</v>
      </c>
      <c r="Q879" t="s">
        <v>31</v>
      </c>
      <c r="R879" t="s">
        <v>159</v>
      </c>
      <c r="S879" t="s">
        <v>290</v>
      </c>
      <c r="T879" t="s">
        <v>29</v>
      </c>
      <c r="U879" t="s">
        <v>29</v>
      </c>
      <c r="V879" s="6" t="s">
        <v>160</v>
      </c>
      <c r="W879" t="s">
        <v>43</v>
      </c>
      <c r="X879" t="s">
        <v>37</v>
      </c>
      <c r="Y879" s="6" t="s">
        <v>28</v>
      </c>
    </row>
    <row r="880" spans="2:25" x14ac:dyDescent="0.3">
      <c r="B880" s="5" t="s">
        <v>65</v>
      </c>
      <c r="C880" s="5" t="str">
        <f>VLOOKUP(B880,[1]물질정보!B:C,2,0)</f>
        <v>141-32-2</v>
      </c>
      <c r="D880" t="str">
        <f>VLOOKUP(B880,[1]물질정보!B:D,3,0)</f>
        <v>butyl acrylate</v>
      </c>
      <c r="E880" t="str">
        <f>VLOOKUP(B880,[1]물질정보!B:E,4,0)</f>
        <v>C7H12O2</v>
      </c>
      <c r="F880" t="str">
        <f>VLOOKUP(B880,[1]물질정보!B:F,5,0)</f>
        <v>128.169 g/mol</v>
      </c>
      <c r="G880" s="5" t="str">
        <f>VLOOKUP(B880,[1]물질정보!B:G,6,0)</f>
        <v>CCCCOC(=O)C=C</v>
      </c>
      <c r="H880" t="s">
        <v>26</v>
      </c>
      <c r="I880" t="s">
        <v>27</v>
      </c>
      <c r="J880" t="s">
        <v>28</v>
      </c>
      <c r="K880">
        <v>5.28</v>
      </c>
      <c r="L880" t="s">
        <v>39</v>
      </c>
      <c r="M880" t="s">
        <v>295</v>
      </c>
      <c r="N880" t="s">
        <v>29</v>
      </c>
      <c r="O880" t="s">
        <v>29</v>
      </c>
      <c r="P880">
        <v>72</v>
      </c>
      <c r="Q880" t="s">
        <v>31</v>
      </c>
      <c r="R880" t="s">
        <v>159</v>
      </c>
      <c r="S880" t="s">
        <v>290</v>
      </c>
      <c r="T880" t="s">
        <v>29</v>
      </c>
      <c r="U880" t="s">
        <v>29</v>
      </c>
      <c r="V880" s="6" t="s">
        <v>160</v>
      </c>
      <c r="W880" t="s">
        <v>297</v>
      </c>
      <c r="X880" t="s">
        <v>44</v>
      </c>
      <c r="Y880" s="6" t="s">
        <v>28</v>
      </c>
    </row>
    <row r="881" spans="2:25" x14ac:dyDescent="0.3">
      <c r="B881" s="5" t="s">
        <v>65</v>
      </c>
      <c r="C881" s="5" t="str">
        <f>VLOOKUP(B881,[1]물질정보!B:C,2,0)</f>
        <v>141-32-2</v>
      </c>
      <c r="D881" t="str">
        <f>VLOOKUP(B881,[1]물질정보!B:D,3,0)</f>
        <v>butyl acrylate</v>
      </c>
      <c r="E881" t="str">
        <f>VLOOKUP(B881,[1]물질정보!B:E,4,0)</f>
        <v>C7H12O2</v>
      </c>
      <c r="F881" t="str">
        <f>VLOOKUP(B881,[1]물질정보!B:F,5,0)</f>
        <v>128.169 g/mol</v>
      </c>
      <c r="G881" s="5" t="str">
        <f>VLOOKUP(B881,[1]물질정보!B:G,6,0)</f>
        <v>CCCCOC(=O)C=C</v>
      </c>
      <c r="H881" t="s">
        <v>26</v>
      </c>
      <c r="I881" t="s">
        <v>27</v>
      </c>
      <c r="J881" t="s">
        <v>283</v>
      </c>
      <c r="K881">
        <v>2.09</v>
      </c>
      <c r="L881" t="s">
        <v>39</v>
      </c>
      <c r="M881" t="s">
        <v>295</v>
      </c>
      <c r="N881" t="s">
        <v>29</v>
      </c>
      <c r="O881" t="s">
        <v>29</v>
      </c>
      <c r="P881">
        <v>72</v>
      </c>
      <c r="Q881" t="s">
        <v>31</v>
      </c>
      <c r="R881" t="s">
        <v>159</v>
      </c>
      <c r="S881" t="s">
        <v>290</v>
      </c>
      <c r="T881" t="s">
        <v>29</v>
      </c>
      <c r="U881" t="s">
        <v>29</v>
      </c>
      <c r="V881" s="6" t="s">
        <v>160</v>
      </c>
      <c r="W881" t="s">
        <v>297</v>
      </c>
      <c r="X881" t="s">
        <v>44</v>
      </c>
      <c r="Y881" s="6" t="s">
        <v>283</v>
      </c>
    </row>
    <row r="882" spans="2:25" x14ac:dyDescent="0.3">
      <c r="B882" s="5" t="s">
        <v>65</v>
      </c>
      <c r="C882" s="5" t="str">
        <f>VLOOKUP(B882,[1]물질정보!B:C,2,0)</f>
        <v>141-32-2</v>
      </c>
      <c r="D882" t="str">
        <f>VLOOKUP(B882,[1]물질정보!B:D,3,0)</f>
        <v>butyl acrylate</v>
      </c>
      <c r="E882" t="str">
        <f>VLOOKUP(B882,[1]물질정보!B:E,4,0)</f>
        <v>C7H12O2</v>
      </c>
      <c r="F882" t="str">
        <f>VLOOKUP(B882,[1]물질정보!B:F,5,0)</f>
        <v>128.169 g/mol</v>
      </c>
      <c r="G882" s="5" t="str">
        <f>VLOOKUP(B882,[1]물질정보!B:G,6,0)</f>
        <v>CCCCOC(=O)C=C</v>
      </c>
      <c r="H882" t="s">
        <v>26</v>
      </c>
      <c r="I882" t="s">
        <v>27</v>
      </c>
      <c r="J882" t="s">
        <v>298</v>
      </c>
      <c r="K882">
        <v>9.5</v>
      </c>
      <c r="L882" t="s">
        <v>39</v>
      </c>
      <c r="M882" t="s">
        <v>295</v>
      </c>
      <c r="N882" t="s">
        <v>29</v>
      </c>
      <c r="O882" t="s">
        <v>29</v>
      </c>
      <c r="P882">
        <v>72</v>
      </c>
      <c r="Q882" t="s">
        <v>31</v>
      </c>
      <c r="R882" t="s">
        <v>159</v>
      </c>
      <c r="S882" t="s">
        <v>290</v>
      </c>
      <c r="T882" t="s">
        <v>29</v>
      </c>
      <c r="U882" t="s">
        <v>29</v>
      </c>
      <c r="V882" s="6" t="s">
        <v>160</v>
      </c>
      <c r="W882" t="s">
        <v>297</v>
      </c>
      <c r="X882" t="s">
        <v>44</v>
      </c>
      <c r="Y882" s="6" t="s">
        <v>298</v>
      </c>
    </row>
    <row r="883" spans="2:25" x14ac:dyDescent="0.3">
      <c r="B883" s="5" t="s">
        <v>65</v>
      </c>
      <c r="C883" s="5" t="str">
        <f>VLOOKUP(B883,[1]물질정보!B:C,2,0)</f>
        <v>141-32-2</v>
      </c>
      <c r="D883" t="str">
        <f>VLOOKUP(B883,[1]물질정보!B:D,3,0)</f>
        <v>butyl acrylate</v>
      </c>
      <c r="E883" t="str">
        <f>VLOOKUP(B883,[1]물질정보!B:E,4,0)</f>
        <v>C7H12O2</v>
      </c>
      <c r="F883" t="str">
        <f>VLOOKUP(B883,[1]물질정보!B:F,5,0)</f>
        <v>128.169 g/mol</v>
      </c>
      <c r="G883" s="5" t="str">
        <f>VLOOKUP(B883,[1]물질정보!B:G,6,0)</f>
        <v>CCCCOC(=O)C=C</v>
      </c>
      <c r="H883" t="s">
        <v>26</v>
      </c>
      <c r="I883" t="s">
        <v>27</v>
      </c>
      <c r="J883" t="s">
        <v>291</v>
      </c>
      <c r="K883">
        <v>1.65</v>
      </c>
      <c r="L883" t="s">
        <v>39</v>
      </c>
      <c r="M883" t="s">
        <v>295</v>
      </c>
      <c r="N883" t="s">
        <v>29</v>
      </c>
      <c r="O883" t="s">
        <v>29</v>
      </c>
      <c r="P883">
        <v>72</v>
      </c>
      <c r="Q883" t="s">
        <v>31</v>
      </c>
      <c r="R883" t="s">
        <v>159</v>
      </c>
      <c r="S883" t="s">
        <v>290</v>
      </c>
      <c r="T883" t="s">
        <v>29</v>
      </c>
      <c r="U883" t="s">
        <v>29</v>
      </c>
      <c r="V883" s="6" t="s">
        <v>160</v>
      </c>
      <c r="W883" t="s">
        <v>297</v>
      </c>
      <c r="X883" t="s">
        <v>44</v>
      </c>
      <c r="Y883" s="6" t="s">
        <v>291</v>
      </c>
    </row>
    <row r="884" spans="2:25" x14ac:dyDescent="0.3">
      <c r="B884" s="5" t="s">
        <v>65</v>
      </c>
      <c r="C884" s="5" t="str">
        <f>VLOOKUP(B884,[1]물질정보!B:C,2,0)</f>
        <v>141-32-2</v>
      </c>
      <c r="D884" t="str">
        <f>VLOOKUP(B884,[1]물질정보!B:D,3,0)</f>
        <v>butyl acrylate</v>
      </c>
      <c r="E884" t="str">
        <f>VLOOKUP(B884,[1]물질정보!B:E,4,0)</f>
        <v>C7H12O2</v>
      </c>
      <c r="F884" t="str">
        <f>VLOOKUP(B884,[1]물질정보!B:F,5,0)</f>
        <v>128.169 g/mol</v>
      </c>
      <c r="G884" s="5" t="str">
        <f>VLOOKUP(B884,[1]물질정보!B:G,6,0)</f>
        <v>CCCCOC(=O)C=C</v>
      </c>
      <c r="H884" t="s">
        <v>26</v>
      </c>
      <c r="I884" t="s">
        <v>27</v>
      </c>
      <c r="J884" t="s">
        <v>241</v>
      </c>
      <c r="K884">
        <v>0.82</v>
      </c>
      <c r="L884" t="s">
        <v>39</v>
      </c>
      <c r="M884" t="s">
        <v>295</v>
      </c>
      <c r="N884" t="s">
        <v>29</v>
      </c>
      <c r="O884" t="s">
        <v>29</v>
      </c>
      <c r="P884">
        <v>72</v>
      </c>
      <c r="Q884" t="s">
        <v>31</v>
      </c>
      <c r="R884" t="s">
        <v>159</v>
      </c>
      <c r="S884" t="s">
        <v>290</v>
      </c>
      <c r="T884" t="s">
        <v>29</v>
      </c>
      <c r="U884" t="s">
        <v>29</v>
      </c>
      <c r="V884" s="6" t="s">
        <v>160</v>
      </c>
      <c r="W884" t="s">
        <v>297</v>
      </c>
      <c r="X884" t="s">
        <v>44</v>
      </c>
      <c r="Y884" s="6" t="s">
        <v>241</v>
      </c>
    </row>
    <row r="885" spans="2:25" x14ac:dyDescent="0.3">
      <c r="B885" s="5" t="s">
        <v>65</v>
      </c>
      <c r="C885" s="5" t="str">
        <f>VLOOKUP(B885,[1]물질정보!B:C,2,0)</f>
        <v>141-32-2</v>
      </c>
      <c r="D885" t="str">
        <f>VLOOKUP(B885,[1]물질정보!B:D,3,0)</f>
        <v>butyl acrylate</v>
      </c>
      <c r="E885" t="str">
        <f>VLOOKUP(B885,[1]물질정보!B:E,4,0)</f>
        <v>C7H12O2</v>
      </c>
      <c r="F885" t="str">
        <f>VLOOKUP(B885,[1]물질정보!B:F,5,0)</f>
        <v>128.169 g/mol</v>
      </c>
      <c r="G885" s="5" t="str">
        <f>VLOOKUP(B885,[1]물질정보!B:G,6,0)</f>
        <v>CCCCOC(=O)C=C</v>
      </c>
      <c r="H885" t="s">
        <v>26</v>
      </c>
      <c r="I885" t="s">
        <v>27</v>
      </c>
      <c r="J885" t="s">
        <v>283</v>
      </c>
      <c r="K885">
        <v>5.61</v>
      </c>
      <c r="L885" t="s">
        <v>39</v>
      </c>
      <c r="M885" t="s">
        <v>295</v>
      </c>
      <c r="N885" t="s">
        <v>29</v>
      </c>
      <c r="O885" t="s">
        <v>29</v>
      </c>
      <c r="P885">
        <v>72</v>
      </c>
      <c r="Q885" t="s">
        <v>31</v>
      </c>
      <c r="R885" t="s">
        <v>159</v>
      </c>
      <c r="S885" t="s">
        <v>290</v>
      </c>
      <c r="T885" t="s">
        <v>29</v>
      </c>
      <c r="U885" t="s">
        <v>29</v>
      </c>
      <c r="V885" s="6" t="s">
        <v>160</v>
      </c>
      <c r="W885" t="s">
        <v>297</v>
      </c>
      <c r="X885" t="s">
        <v>44</v>
      </c>
      <c r="Y885" s="6" t="s">
        <v>283</v>
      </c>
    </row>
    <row r="886" spans="2:25" x14ac:dyDescent="0.3">
      <c r="B886" s="5" t="s">
        <v>65</v>
      </c>
      <c r="C886" s="5" t="str">
        <f>VLOOKUP(B886,[1]물질정보!B:C,2,0)</f>
        <v>141-32-2</v>
      </c>
      <c r="D886" t="str">
        <f>VLOOKUP(B886,[1]물질정보!B:D,3,0)</f>
        <v>butyl acrylate</v>
      </c>
      <c r="E886" t="str">
        <f>VLOOKUP(B886,[1]물질정보!B:E,4,0)</f>
        <v>C7H12O2</v>
      </c>
      <c r="F886" t="str">
        <f>VLOOKUP(B886,[1]물질정보!B:F,5,0)</f>
        <v>128.169 g/mol</v>
      </c>
      <c r="G886" s="5" t="str">
        <f>VLOOKUP(B886,[1]물질정보!B:G,6,0)</f>
        <v>CCCCOC(=O)C=C</v>
      </c>
      <c r="H886" t="s">
        <v>26</v>
      </c>
      <c r="I886" t="s">
        <v>27</v>
      </c>
      <c r="J886" t="s">
        <v>28</v>
      </c>
      <c r="K886">
        <v>14.6</v>
      </c>
      <c r="L886" t="s">
        <v>39</v>
      </c>
      <c r="M886" t="s">
        <v>295</v>
      </c>
      <c r="N886" t="s">
        <v>29</v>
      </c>
      <c r="O886" t="s">
        <v>29</v>
      </c>
      <c r="P886">
        <v>72</v>
      </c>
      <c r="Q886" t="s">
        <v>31</v>
      </c>
      <c r="R886" t="s">
        <v>159</v>
      </c>
      <c r="S886" t="s">
        <v>290</v>
      </c>
      <c r="T886" t="s">
        <v>29</v>
      </c>
      <c r="U886" t="s">
        <v>29</v>
      </c>
      <c r="V886" s="6" t="s">
        <v>160</v>
      </c>
      <c r="W886" t="s">
        <v>297</v>
      </c>
      <c r="X886" t="s">
        <v>44</v>
      </c>
      <c r="Y886" s="6" t="s">
        <v>28</v>
      </c>
    </row>
    <row r="887" spans="2:25" x14ac:dyDescent="0.3">
      <c r="B887" s="5" t="s">
        <v>65</v>
      </c>
      <c r="C887" s="5" t="str">
        <f>VLOOKUP(B887,[1]물질정보!B:C,2,0)</f>
        <v>141-32-2</v>
      </c>
      <c r="D887" t="str">
        <f>VLOOKUP(B887,[1]물질정보!B:D,3,0)</f>
        <v>butyl acrylate</v>
      </c>
      <c r="E887" t="str">
        <f>VLOOKUP(B887,[1]물질정보!B:E,4,0)</f>
        <v>C7H12O2</v>
      </c>
      <c r="F887" t="str">
        <f>VLOOKUP(B887,[1]물질정보!B:F,5,0)</f>
        <v>128.169 g/mol</v>
      </c>
      <c r="G887" s="5" t="str">
        <f>VLOOKUP(B887,[1]물질정보!B:G,6,0)</f>
        <v>CCCCOC(=O)C=C</v>
      </c>
      <c r="H887" t="s">
        <v>26</v>
      </c>
      <c r="I887" t="s">
        <v>27</v>
      </c>
      <c r="J887" t="s">
        <v>298</v>
      </c>
      <c r="K887">
        <v>28.6</v>
      </c>
      <c r="L887" t="s">
        <v>39</v>
      </c>
      <c r="M887" t="s">
        <v>295</v>
      </c>
      <c r="N887" t="s">
        <v>29</v>
      </c>
      <c r="O887" t="s">
        <v>29</v>
      </c>
      <c r="P887">
        <v>72</v>
      </c>
      <c r="Q887" t="s">
        <v>31</v>
      </c>
      <c r="R887" t="s">
        <v>159</v>
      </c>
      <c r="S887" t="s">
        <v>290</v>
      </c>
      <c r="T887" t="s">
        <v>29</v>
      </c>
      <c r="U887" t="s">
        <v>29</v>
      </c>
      <c r="V887" s="6" t="s">
        <v>160</v>
      </c>
      <c r="W887" t="s">
        <v>297</v>
      </c>
      <c r="X887" t="s">
        <v>44</v>
      </c>
      <c r="Y887" s="6" t="s">
        <v>298</v>
      </c>
    </row>
    <row r="888" spans="2:25" x14ac:dyDescent="0.3">
      <c r="B888" s="5" t="s">
        <v>65</v>
      </c>
      <c r="C888" s="5" t="str">
        <f>VLOOKUP(B888,[1]물질정보!B:C,2,0)</f>
        <v>141-32-2</v>
      </c>
      <c r="D888" t="str">
        <f>VLOOKUP(B888,[1]물질정보!B:D,3,0)</f>
        <v>butyl acrylate</v>
      </c>
      <c r="E888" t="str">
        <f>VLOOKUP(B888,[1]물질정보!B:E,4,0)</f>
        <v>C7H12O2</v>
      </c>
      <c r="F888" t="str">
        <f>VLOOKUP(B888,[1]물질정보!B:F,5,0)</f>
        <v>128.169 g/mol</v>
      </c>
      <c r="G888" s="5" t="str">
        <f>VLOOKUP(B888,[1]물질정보!B:G,6,0)</f>
        <v>CCCCOC(=O)C=C</v>
      </c>
      <c r="H888" t="s">
        <v>26</v>
      </c>
      <c r="I888" t="s">
        <v>27</v>
      </c>
      <c r="J888" t="s">
        <v>283</v>
      </c>
      <c r="K888">
        <v>4.34</v>
      </c>
      <c r="L888" t="s">
        <v>39</v>
      </c>
      <c r="M888" t="s">
        <v>295</v>
      </c>
      <c r="N888" t="s">
        <v>29</v>
      </c>
      <c r="O888" t="s">
        <v>29</v>
      </c>
      <c r="P888">
        <v>72</v>
      </c>
      <c r="Q888" t="s">
        <v>31</v>
      </c>
      <c r="R888" t="s">
        <v>159</v>
      </c>
      <c r="S888" t="s">
        <v>290</v>
      </c>
      <c r="T888" t="s">
        <v>29</v>
      </c>
      <c r="U888" t="s">
        <v>29</v>
      </c>
      <c r="V888" s="6" t="s">
        <v>160</v>
      </c>
      <c r="W888" t="s">
        <v>297</v>
      </c>
      <c r="X888" t="s">
        <v>44</v>
      </c>
      <c r="Y888" s="6" t="s">
        <v>283</v>
      </c>
    </row>
    <row r="889" spans="2:25" x14ac:dyDescent="0.3">
      <c r="B889" s="5" t="s">
        <v>65</v>
      </c>
      <c r="C889" s="5" t="str">
        <f>VLOOKUP(B889,[1]물질정보!B:C,2,0)</f>
        <v>141-32-2</v>
      </c>
      <c r="D889" t="str">
        <f>VLOOKUP(B889,[1]물질정보!B:D,3,0)</f>
        <v>butyl acrylate</v>
      </c>
      <c r="E889" t="str">
        <f>VLOOKUP(B889,[1]물질정보!B:E,4,0)</f>
        <v>C7H12O2</v>
      </c>
      <c r="F889" t="str">
        <f>VLOOKUP(B889,[1]물질정보!B:F,5,0)</f>
        <v>128.169 g/mol</v>
      </c>
      <c r="G889" s="5" t="str">
        <f>VLOOKUP(B889,[1]물질정보!B:G,6,0)</f>
        <v>CCCCOC(=O)C=C</v>
      </c>
      <c r="H889" t="s">
        <v>26</v>
      </c>
      <c r="I889" t="s">
        <v>27</v>
      </c>
      <c r="J889" t="s">
        <v>28</v>
      </c>
      <c r="K889">
        <v>7.21</v>
      </c>
      <c r="L889" t="s">
        <v>39</v>
      </c>
      <c r="M889" t="s">
        <v>295</v>
      </c>
      <c r="N889" t="s">
        <v>29</v>
      </c>
      <c r="O889" t="s">
        <v>29</v>
      </c>
      <c r="P889">
        <v>72</v>
      </c>
      <c r="Q889" t="s">
        <v>31</v>
      </c>
      <c r="R889" t="s">
        <v>159</v>
      </c>
      <c r="S889" t="s">
        <v>290</v>
      </c>
      <c r="T889" t="s">
        <v>29</v>
      </c>
      <c r="U889" t="s">
        <v>29</v>
      </c>
      <c r="V889" s="6" t="s">
        <v>160</v>
      </c>
      <c r="W889" t="s">
        <v>297</v>
      </c>
      <c r="X889" t="s">
        <v>44</v>
      </c>
      <c r="Y889" s="6" t="s">
        <v>28</v>
      </c>
    </row>
    <row r="890" spans="2:25" x14ac:dyDescent="0.3">
      <c r="B890" s="5" t="s">
        <v>65</v>
      </c>
      <c r="C890" s="5" t="str">
        <f>VLOOKUP(B890,[1]물질정보!B:C,2,0)</f>
        <v>141-32-2</v>
      </c>
      <c r="D890" t="str">
        <f>VLOOKUP(B890,[1]물질정보!B:D,3,0)</f>
        <v>butyl acrylate</v>
      </c>
      <c r="E890" t="str">
        <f>VLOOKUP(B890,[1]물질정보!B:E,4,0)</f>
        <v>C7H12O2</v>
      </c>
      <c r="F890" t="str">
        <f>VLOOKUP(B890,[1]물질정보!B:F,5,0)</f>
        <v>128.169 g/mol</v>
      </c>
      <c r="G890" s="5" t="str">
        <f>VLOOKUP(B890,[1]물질정보!B:G,6,0)</f>
        <v>CCCCOC(=O)C=C</v>
      </c>
      <c r="H890" t="s">
        <v>26</v>
      </c>
      <c r="I890" t="s">
        <v>27</v>
      </c>
      <c r="J890" t="s">
        <v>298</v>
      </c>
      <c r="K890">
        <v>19.100000000000001</v>
      </c>
      <c r="L890" t="s">
        <v>39</v>
      </c>
      <c r="M890" t="s">
        <v>295</v>
      </c>
      <c r="N890" t="s">
        <v>29</v>
      </c>
      <c r="O890" t="s">
        <v>29</v>
      </c>
      <c r="P890">
        <v>72</v>
      </c>
      <c r="Q890" t="s">
        <v>31</v>
      </c>
      <c r="R890" t="s">
        <v>159</v>
      </c>
      <c r="S890" t="s">
        <v>290</v>
      </c>
      <c r="T890" t="s">
        <v>29</v>
      </c>
      <c r="U890" t="s">
        <v>29</v>
      </c>
      <c r="V890" s="6" t="s">
        <v>160</v>
      </c>
      <c r="W890" t="s">
        <v>297</v>
      </c>
      <c r="X890" t="s">
        <v>44</v>
      </c>
      <c r="Y890" s="6" t="s">
        <v>298</v>
      </c>
    </row>
    <row r="891" spans="2:25" x14ac:dyDescent="0.3">
      <c r="B891" s="5" t="s">
        <v>65</v>
      </c>
      <c r="C891" s="5" t="str">
        <f>VLOOKUP(B891,[1]물질정보!B:C,2,0)</f>
        <v>141-32-2</v>
      </c>
      <c r="D891" t="str">
        <f>VLOOKUP(B891,[1]물질정보!B:D,3,0)</f>
        <v>butyl acrylate</v>
      </c>
      <c r="E891" t="str">
        <f>VLOOKUP(B891,[1]물질정보!B:E,4,0)</f>
        <v>C7H12O2</v>
      </c>
      <c r="F891" t="str">
        <f>VLOOKUP(B891,[1]물질정보!B:F,5,0)</f>
        <v>128.169 g/mol</v>
      </c>
      <c r="G891" s="5" t="str">
        <f>VLOOKUP(B891,[1]물질정보!B:G,6,0)</f>
        <v>CCCCOC(=O)C=C</v>
      </c>
      <c r="H891" t="s">
        <v>26</v>
      </c>
      <c r="I891" t="s">
        <v>27</v>
      </c>
      <c r="J891" t="s">
        <v>241</v>
      </c>
      <c r="K891">
        <v>3.85</v>
      </c>
      <c r="L891" t="s">
        <v>39</v>
      </c>
      <c r="M891" t="s">
        <v>295</v>
      </c>
      <c r="N891" t="s">
        <v>29</v>
      </c>
      <c r="O891" t="s">
        <v>29</v>
      </c>
      <c r="P891">
        <v>72</v>
      </c>
      <c r="Q891" t="s">
        <v>31</v>
      </c>
      <c r="R891" t="s">
        <v>159</v>
      </c>
      <c r="S891" t="s">
        <v>290</v>
      </c>
      <c r="T891" t="s">
        <v>29</v>
      </c>
      <c r="U891" t="s">
        <v>29</v>
      </c>
      <c r="V891" s="6" t="s">
        <v>160</v>
      </c>
      <c r="W891" t="s">
        <v>297</v>
      </c>
      <c r="X891" t="s">
        <v>44</v>
      </c>
      <c r="Y891" s="6" t="s">
        <v>241</v>
      </c>
    </row>
    <row r="892" spans="2:25" x14ac:dyDescent="0.3">
      <c r="B892" s="5" t="s">
        <v>65</v>
      </c>
      <c r="C892" s="5" t="str">
        <f>VLOOKUP(B892,[1]물질정보!B:C,2,0)</f>
        <v>141-32-2</v>
      </c>
      <c r="D892" t="str">
        <f>VLOOKUP(B892,[1]물질정보!B:D,3,0)</f>
        <v>butyl acrylate</v>
      </c>
      <c r="E892" t="str">
        <f>VLOOKUP(B892,[1]물질정보!B:E,4,0)</f>
        <v>C7H12O2</v>
      </c>
      <c r="F892" t="str">
        <f>VLOOKUP(B892,[1]물질정보!B:F,5,0)</f>
        <v>128.169 g/mol</v>
      </c>
      <c r="G892" s="5" t="str">
        <f>VLOOKUP(B892,[1]물질정보!B:G,6,0)</f>
        <v>CCCCOC(=O)C=C</v>
      </c>
      <c r="H892" t="s">
        <v>26</v>
      </c>
      <c r="I892" t="s">
        <v>27</v>
      </c>
      <c r="J892" t="s">
        <v>291</v>
      </c>
      <c r="K892">
        <v>7.7</v>
      </c>
      <c r="L892" t="s">
        <v>39</v>
      </c>
      <c r="M892" t="s">
        <v>295</v>
      </c>
      <c r="N892" t="s">
        <v>29</v>
      </c>
      <c r="O892" t="s">
        <v>29</v>
      </c>
      <c r="P892">
        <v>72</v>
      </c>
      <c r="Q892" t="s">
        <v>31</v>
      </c>
      <c r="R892" t="s">
        <v>159</v>
      </c>
      <c r="S892" t="s">
        <v>290</v>
      </c>
      <c r="T892" t="s">
        <v>29</v>
      </c>
      <c r="U892" t="s">
        <v>29</v>
      </c>
      <c r="V892" s="6" t="s">
        <v>160</v>
      </c>
      <c r="W892" t="s">
        <v>297</v>
      </c>
      <c r="X892" t="s">
        <v>44</v>
      </c>
      <c r="Y892" s="6" t="s">
        <v>291</v>
      </c>
    </row>
    <row r="893" spans="2:25" x14ac:dyDescent="0.3">
      <c r="B893" s="5" t="s">
        <v>65</v>
      </c>
      <c r="C893" s="5" t="str">
        <f>VLOOKUP(B893,[1]물질정보!B:C,2,0)</f>
        <v>141-32-2</v>
      </c>
      <c r="D893" t="str">
        <f>VLOOKUP(B893,[1]물질정보!B:D,3,0)</f>
        <v>butyl acrylate</v>
      </c>
      <c r="E893" t="str">
        <f>VLOOKUP(B893,[1]물질정보!B:E,4,0)</f>
        <v>C7H12O2</v>
      </c>
      <c r="F893" t="str">
        <f>VLOOKUP(B893,[1]물질정보!B:F,5,0)</f>
        <v>128.169 g/mol</v>
      </c>
      <c r="G893" s="5" t="str">
        <f>VLOOKUP(B893,[1]물질정보!B:G,6,0)</f>
        <v>CCCCOC(=O)C=C</v>
      </c>
      <c r="H893" t="s">
        <v>26</v>
      </c>
      <c r="I893" t="s">
        <v>27</v>
      </c>
      <c r="J893" t="s">
        <v>28</v>
      </c>
      <c r="K893">
        <v>3.18</v>
      </c>
      <c r="L893" t="s">
        <v>39</v>
      </c>
      <c r="M893" t="s">
        <v>302</v>
      </c>
      <c r="N893" t="s">
        <v>29</v>
      </c>
      <c r="O893" t="s">
        <v>29</v>
      </c>
      <c r="P893">
        <v>72</v>
      </c>
      <c r="Q893" t="s">
        <v>31</v>
      </c>
      <c r="R893" t="s">
        <v>159</v>
      </c>
      <c r="S893" t="s">
        <v>29</v>
      </c>
      <c r="T893" t="s">
        <v>29</v>
      </c>
      <c r="U893" t="s">
        <v>29</v>
      </c>
      <c r="V893" s="6" t="s">
        <v>163</v>
      </c>
      <c r="W893" t="s">
        <v>297</v>
      </c>
      <c r="X893" t="s">
        <v>44</v>
      </c>
      <c r="Y893" s="6" t="s">
        <v>28</v>
      </c>
    </row>
    <row r="894" spans="2:25" x14ac:dyDescent="0.3">
      <c r="B894" s="5" t="s">
        <v>65</v>
      </c>
      <c r="C894" s="5" t="str">
        <f>VLOOKUP(B894,[1]물질정보!B:C,2,0)</f>
        <v>141-32-2</v>
      </c>
      <c r="D894" t="str">
        <f>VLOOKUP(B894,[1]물질정보!B:D,3,0)</f>
        <v>butyl acrylate</v>
      </c>
      <c r="E894" t="str">
        <f>VLOOKUP(B894,[1]물질정보!B:E,4,0)</f>
        <v>C7H12O2</v>
      </c>
      <c r="F894" t="str">
        <f>VLOOKUP(B894,[1]물질정보!B:F,5,0)</f>
        <v>128.169 g/mol</v>
      </c>
      <c r="G894" s="5" t="str">
        <f>VLOOKUP(B894,[1]물질정보!B:G,6,0)</f>
        <v>CCCCOC(=O)C=C</v>
      </c>
      <c r="H894" t="s">
        <v>26</v>
      </c>
      <c r="I894" t="s">
        <v>27</v>
      </c>
      <c r="J894" t="s">
        <v>28</v>
      </c>
      <c r="K894">
        <v>5.28</v>
      </c>
      <c r="L894" t="s">
        <v>39</v>
      </c>
      <c r="M894" t="s">
        <v>302</v>
      </c>
      <c r="N894" t="s">
        <v>29</v>
      </c>
      <c r="O894" t="s">
        <v>29</v>
      </c>
      <c r="P894">
        <v>72</v>
      </c>
      <c r="Q894" t="s">
        <v>31</v>
      </c>
      <c r="R894" t="s">
        <v>159</v>
      </c>
      <c r="S894" t="s">
        <v>29</v>
      </c>
      <c r="T894" t="s">
        <v>29</v>
      </c>
      <c r="U894" t="s">
        <v>29</v>
      </c>
      <c r="V894" s="6" t="s">
        <v>163</v>
      </c>
      <c r="W894" t="s">
        <v>297</v>
      </c>
      <c r="X894" t="s">
        <v>44</v>
      </c>
      <c r="Y894" s="6" t="s">
        <v>28</v>
      </c>
    </row>
    <row r="895" spans="2:25" x14ac:dyDescent="0.3">
      <c r="B895" s="5" t="s">
        <v>65</v>
      </c>
      <c r="C895" s="5" t="str">
        <f>VLOOKUP(B895,[1]물질정보!B:C,2,0)</f>
        <v>141-32-2</v>
      </c>
      <c r="D895" t="str">
        <f>VLOOKUP(B895,[1]물질정보!B:D,3,0)</f>
        <v>butyl acrylate</v>
      </c>
      <c r="E895" t="str">
        <f>VLOOKUP(B895,[1]물질정보!B:E,4,0)</f>
        <v>C7H12O2</v>
      </c>
      <c r="F895" t="str">
        <f>VLOOKUP(B895,[1]물질정보!B:F,5,0)</f>
        <v>128.169 g/mol</v>
      </c>
      <c r="G895" s="5" t="str">
        <f>VLOOKUP(B895,[1]물질정보!B:G,6,0)</f>
        <v>CCCCOC(=O)C=C</v>
      </c>
      <c r="H895" t="s">
        <v>26</v>
      </c>
      <c r="I895" t="s">
        <v>27</v>
      </c>
      <c r="J895" t="s">
        <v>28</v>
      </c>
      <c r="K895">
        <v>2.65</v>
      </c>
      <c r="L895" t="s">
        <v>39</v>
      </c>
      <c r="M895" t="s">
        <v>43</v>
      </c>
      <c r="N895" t="s">
        <v>29</v>
      </c>
      <c r="O895" t="s">
        <v>29</v>
      </c>
      <c r="P895">
        <v>96</v>
      </c>
      <c r="Q895" t="s">
        <v>31</v>
      </c>
      <c r="R895" t="s">
        <v>159</v>
      </c>
      <c r="S895" t="s">
        <v>29</v>
      </c>
      <c r="T895" t="s">
        <v>29</v>
      </c>
      <c r="U895" t="s">
        <v>29</v>
      </c>
      <c r="V895" s="6" t="s">
        <v>168</v>
      </c>
      <c r="W895" t="s">
        <v>43</v>
      </c>
      <c r="X895" t="s">
        <v>37</v>
      </c>
      <c r="Y895" s="6" t="s">
        <v>28</v>
      </c>
    </row>
    <row r="896" spans="2:25" x14ac:dyDescent="0.3">
      <c r="B896" s="5" t="s">
        <v>65</v>
      </c>
      <c r="C896" s="5" t="str">
        <f>VLOOKUP(B896,[1]물질정보!B:C,2,0)</f>
        <v>141-32-2</v>
      </c>
      <c r="D896" t="str">
        <f>VLOOKUP(B896,[1]물질정보!B:D,3,0)</f>
        <v>butyl acrylate</v>
      </c>
      <c r="E896" t="str">
        <f>VLOOKUP(B896,[1]물질정보!B:E,4,0)</f>
        <v>C7H12O2</v>
      </c>
      <c r="F896" t="str">
        <f>VLOOKUP(B896,[1]물질정보!B:F,5,0)</f>
        <v>128.169 g/mol</v>
      </c>
      <c r="G896" s="5" t="str">
        <f>VLOOKUP(B896,[1]물질정보!B:G,6,0)</f>
        <v>CCCCOC(=O)C=C</v>
      </c>
      <c r="H896" t="s">
        <v>26</v>
      </c>
      <c r="I896" t="s">
        <v>27</v>
      </c>
      <c r="J896" t="s">
        <v>294</v>
      </c>
      <c r="K896">
        <v>1.71</v>
      </c>
      <c r="L896" t="s">
        <v>39</v>
      </c>
      <c r="M896" t="s">
        <v>303</v>
      </c>
      <c r="N896" t="s">
        <v>29</v>
      </c>
      <c r="O896" t="s">
        <v>29</v>
      </c>
      <c r="P896">
        <v>72</v>
      </c>
      <c r="Q896" t="s">
        <v>31</v>
      </c>
      <c r="R896" t="s">
        <v>159</v>
      </c>
      <c r="S896" t="s">
        <v>29</v>
      </c>
      <c r="T896" t="s">
        <v>29</v>
      </c>
      <c r="U896" t="s">
        <v>29</v>
      </c>
      <c r="V896" s="6" t="s">
        <v>168</v>
      </c>
      <c r="W896" t="s">
        <v>43</v>
      </c>
      <c r="X896" t="s">
        <v>44</v>
      </c>
      <c r="Y896" s="6" t="s">
        <v>294</v>
      </c>
    </row>
    <row r="897" spans="2:25" x14ac:dyDescent="0.3">
      <c r="B897" s="5" t="s">
        <v>65</v>
      </c>
      <c r="C897" s="5" t="str">
        <f>VLOOKUP(B897,[1]물질정보!B:C,2,0)</f>
        <v>141-32-2</v>
      </c>
      <c r="D897" t="str">
        <f>VLOOKUP(B897,[1]물질정보!B:D,3,0)</f>
        <v>butyl acrylate</v>
      </c>
      <c r="E897" t="str">
        <f>VLOOKUP(B897,[1]물질정보!B:E,4,0)</f>
        <v>C7H12O2</v>
      </c>
      <c r="F897" t="str">
        <f>VLOOKUP(B897,[1]물질정보!B:F,5,0)</f>
        <v>128.169 g/mol</v>
      </c>
      <c r="G897" s="5" t="str">
        <f>VLOOKUP(B897,[1]물질정보!B:G,6,0)</f>
        <v>CCCCOC(=O)C=C</v>
      </c>
      <c r="H897" t="s">
        <v>26</v>
      </c>
      <c r="I897" t="s">
        <v>27</v>
      </c>
      <c r="J897" t="s">
        <v>294</v>
      </c>
      <c r="K897">
        <v>1.71</v>
      </c>
      <c r="L897" t="s">
        <v>39</v>
      </c>
      <c r="M897" t="s">
        <v>303</v>
      </c>
      <c r="N897" t="s">
        <v>29</v>
      </c>
      <c r="O897" t="s">
        <v>29</v>
      </c>
      <c r="P897">
        <v>72</v>
      </c>
      <c r="Q897" t="s">
        <v>31</v>
      </c>
      <c r="R897" t="s">
        <v>159</v>
      </c>
      <c r="S897" t="s">
        <v>29</v>
      </c>
      <c r="T897" t="s">
        <v>29</v>
      </c>
      <c r="U897" t="s">
        <v>29</v>
      </c>
      <c r="V897" s="6" t="s">
        <v>169</v>
      </c>
      <c r="W897" t="s">
        <v>43</v>
      </c>
      <c r="X897" t="s">
        <v>44</v>
      </c>
      <c r="Y897" s="6" t="s">
        <v>294</v>
      </c>
    </row>
    <row r="898" spans="2:25" x14ac:dyDescent="0.3">
      <c r="B898" s="5" t="s">
        <v>64</v>
      </c>
      <c r="C898" s="5" t="str">
        <f>VLOOKUP(B898,[1]물질정보!B:C,2,0)</f>
        <v>2478-10-6</v>
      </c>
      <c r="D898" t="str">
        <f>VLOOKUP(B898,[1]물질정보!B:D,3,0)</f>
        <v>4-hydroxybutyl acrylate</v>
      </c>
      <c r="E898" t="str">
        <f>VLOOKUP(B898,[1]물질정보!B:E,4,0)</f>
        <v>C7H12O3</v>
      </c>
      <c r="F898" t="str">
        <f>VLOOKUP(B898,[1]물질정보!B:F,5,0)</f>
        <v>144.17 g/mol</v>
      </c>
      <c r="G898" s="5" t="str">
        <f>VLOOKUP(B898,[1]물질정보!B:G,6,0)</f>
        <v>C=CC(=O)OCCCCO</v>
      </c>
      <c r="H898" t="s">
        <v>26</v>
      </c>
      <c r="I898" t="s">
        <v>27</v>
      </c>
      <c r="J898" t="s">
        <v>28</v>
      </c>
      <c r="K898">
        <v>13.61</v>
      </c>
      <c r="L898" t="s">
        <v>39</v>
      </c>
      <c r="M898" t="s">
        <v>295</v>
      </c>
      <c r="N898" t="s">
        <v>29</v>
      </c>
      <c r="O898" t="s">
        <v>29</v>
      </c>
      <c r="P898">
        <v>72</v>
      </c>
      <c r="Q898" t="s">
        <v>31</v>
      </c>
      <c r="R898" t="s">
        <v>159</v>
      </c>
      <c r="S898" t="s">
        <v>290</v>
      </c>
      <c r="T898" t="s">
        <v>29</v>
      </c>
      <c r="U898" t="s">
        <v>29</v>
      </c>
      <c r="V898" s="6" t="s">
        <v>160</v>
      </c>
      <c r="W898" t="s">
        <v>297</v>
      </c>
      <c r="X898" t="s">
        <v>44</v>
      </c>
      <c r="Y898" s="6" t="s">
        <v>28</v>
      </c>
    </row>
    <row r="899" spans="2:25" x14ac:dyDescent="0.3">
      <c r="B899" s="5" t="s">
        <v>64</v>
      </c>
      <c r="C899" s="5" t="str">
        <f>VLOOKUP(B899,[1]물질정보!B:C,2,0)</f>
        <v>2478-10-6</v>
      </c>
      <c r="D899" t="str">
        <f>VLOOKUP(B899,[1]물질정보!B:D,3,0)</f>
        <v>4-hydroxybutyl acrylate</v>
      </c>
      <c r="E899" t="str">
        <f>VLOOKUP(B899,[1]물질정보!B:E,4,0)</f>
        <v>C7H12O3</v>
      </c>
      <c r="F899" t="str">
        <f>VLOOKUP(B899,[1]물질정보!B:F,5,0)</f>
        <v>144.17 g/mol</v>
      </c>
      <c r="G899" s="5" t="str">
        <f>VLOOKUP(B899,[1]물질정보!B:G,6,0)</f>
        <v>C=CC(=O)OCCCCO</v>
      </c>
      <c r="H899" t="s">
        <v>26</v>
      </c>
      <c r="I899" t="s">
        <v>27</v>
      </c>
      <c r="J899" t="s">
        <v>283</v>
      </c>
      <c r="K899">
        <v>4.16</v>
      </c>
      <c r="L899" t="s">
        <v>39</v>
      </c>
      <c r="M899" t="s">
        <v>295</v>
      </c>
      <c r="N899" t="s">
        <v>29</v>
      </c>
      <c r="O899" t="s">
        <v>29</v>
      </c>
      <c r="P899">
        <v>72</v>
      </c>
      <c r="Q899" t="s">
        <v>31</v>
      </c>
      <c r="R899" t="s">
        <v>159</v>
      </c>
      <c r="S899" t="s">
        <v>290</v>
      </c>
      <c r="T899" t="s">
        <v>29</v>
      </c>
      <c r="U899" t="s">
        <v>29</v>
      </c>
      <c r="V899" s="6" t="s">
        <v>160</v>
      </c>
      <c r="W899" t="s">
        <v>297</v>
      </c>
      <c r="X899" t="s">
        <v>44</v>
      </c>
      <c r="Y899" s="6" t="s">
        <v>283</v>
      </c>
    </row>
    <row r="900" spans="2:25" x14ac:dyDescent="0.3">
      <c r="B900" s="5" t="s">
        <v>64</v>
      </c>
      <c r="C900" s="5" t="str">
        <f>VLOOKUP(B900,[1]물질정보!B:C,2,0)</f>
        <v>2478-10-6</v>
      </c>
      <c r="D900" t="str">
        <f>VLOOKUP(B900,[1]물질정보!B:D,3,0)</f>
        <v>4-hydroxybutyl acrylate</v>
      </c>
      <c r="E900" t="str">
        <f>VLOOKUP(B900,[1]물질정보!B:E,4,0)</f>
        <v>C7H12O3</v>
      </c>
      <c r="F900" t="str">
        <f>VLOOKUP(B900,[1]물질정보!B:F,5,0)</f>
        <v>144.17 g/mol</v>
      </c>
      <c r="G900" s="5" t="str">
        <f>VLOOKUP(B900,[1]물질정보!B:G,6,0)</f>
        <v>C=CC(=O)OCCCCO</v>
      </c>
      <c r="H900" t="s">
        <v>26</v>
      </c>
      <c r="I900" t="s">
        <v>27</v>
      </c>
      <c r="J900" t="s">
        <v>298</v>
      </c>
      <c r="K900">
        <v>44.61</v>
      </c>
      <c r="L900" t="s">
        <v>39</v>
      </c>
      <c r="M900" t="s">
        <v>295</v>
      </c>
      <c r="N900" t="s">
        <v>29</v>
      </c>
      <c r="O900" t="s">
        <v>29</v>
      </c>
      <c r="P900">
        <v>72</v>
      </c>
      <c r="Q900" t="s">
        <v>31</v>
      </c>
      <c r="R900" t="s">
        <v>159</v>
      </c>
      <c r="S900" t="s">
        <v>290</v>
      </c>
      <c r="T900" t="s">
        <v>29</v>
      </c>
      <c r="U900" t="s">
        <v>29</v>
      </c>
      <c r="V900" s="6" t="s">
        <v>160</v>
      </c>
      <c r="W900" t="s">
        <v>297</v>
      </c>
      <c r="X900" t="s">
        <v>44</v>
      </c>
      <c r="Y900" s="6" t="s">
        <v>298</v>
      </c>
    </row>
    <row r="901" spans="2:25" x14ac:dyDescent="0.3">
      <c r="B901" s="5" t="s">
        <v>59</v>
      </c>
      <c r="C901" s="5" t="str">
        <f>VLOOKUP(B901,[1]물질정보!B:C,2,0)</f>
        <v>2499-95-8</v>
      </c>
      <c r="D901" t="str">
        <f>VLOOKUP(B901,[1]물질정보!B:D,3,0)</f>
        <v>hexyl acrylate</v>
      </c>
      <c r="E901" t="str">
        <f>VLOOKUP(B901,[1]물질정보!B:E,4,0)</f>
        <v>C9H16O2</v>
      </c>
      <c r="F901" t="str">
        <f>VLOOKUP(B901,[1]물질정보!B:F,5,0)</f>
        <v>156.22 g/mol</v>
      </c>
      <c r="G901" s="5" t="str">
        <f>VLOOKUP(B901,[1]물질정보!B:G,6,0)</f>
        <v>CCCCCCOC(=O)C=C</v>
      </c>
      <c r="H901" t="s">
        <v>26</v>
      </c>
      <c r="I901" t="s">
        <v>27</v>
      </c>
      <c r="J901" t="s">
        <v>28</v>
      </c>
      <c r="K901">
        <v>0.35</v>
      </c>
      <c r="L901" t="s">
        <v>39</v>
      </c>
      <c r="M901" t="s">
        <v>292</v>
      </c>
      <c r="N901" t="s">
        <v>29</v>
      </c>
      <c r="O901" t="s">
        <v>29</v>
      </c>
      <c r="P901">
        <v>72</v>
      </c>
      <c r="Q901" t="s">
        <v>31</v>
      </c>
      <c r="R901" t="s">
        <v>159</v>
      </c>
      <c r="S901" t="s">
        <v>290</v>
      </c>
      <c r="T901" t="s">
        <v>29</v>
      </c>
      <c r="U901" t="s">
        <v>29</v>
      </c>
      <c r="V901" s="6" t="s">
        <v>160</v>
      </c>
      <c r="W901" t="s">
        <v>43</v>
      </c>
      <c r="X901" t="s">
        <v>44</v>
      </c>
      <c r="Y901" s="6" t="s">
        <v>28</v>
      </c>
    </row>
    <row r="902" spans="2:25" x14ac:dyDescent="0.3">
      <c r="B902" s="5" t="s">
        <v>71</v>
      </c>
      <c r="C902" s="5" t="str">
        <f>VLOOKUP(B902,[1]물질정보!B:C,2,0)</f>
        <v>97-63-2</v>
      </c>
      <c r="D902" t="str">
        <f>VLOOKUP(B902,[1]물질정보!B:D,3,0)</f>
        <v>ethyl methacrylate</v>
      </c>
      <c r="E902" t="str">
        <f>VLOOKUP(B902,[1]물질정보!B:E,4,0)</f>
        <v>C6H10O2</v>
      </c>
      <c r="F902" t="str">
        <f>VLOOKUP(B902,[1]물질정보!B:F,5,0)</f>
        <v>114.14 g/mol</v>
      </c>
      <c r="G902" s="5" t="str">
        <f>VLOOKUP(B902,[1]물질정보!B:G,6,0)</f>
        <v>CCOC(=O)C(=C)C</v>
      </c>
      <c r="H902" t="s">
        <v>26</v>
      </c>
      <c r="I902" t="s">
        <v>304</v>
      </c>
      <c r="J902" t="s">
        <v>305</v>
      </c>
      <c r="K902">
        <v>79.099999999999994</v>
      </c>
      <c r="L902" t="s">
        <v>306</v>
      </c>
      <c r="M902" t="s">
        <v>29</v>
      </c>
      <c r="N902" t="s">
        <v>29</v>
      </c>
      <c r="O902" t="s">
        <v>29</v>
      </c>
      <c r="P902">
        <v>21</v>
      </c>
      <c r="Q902" t="s">
        <v>307</v>
      </c>
      <c r="R902" t="s">
        <v>159</v>
      </c>
      <c r="S902" t="s">
        <v>308</v>
      </c>
      <c r="T902" t="s">
        <v>29</v>
      </c>
      <c r="U902" t="s">
        <v>29</v>
      </c>
      <c r="V902" s="6" t="s">
        <v>160</v>
      </c>
      <c r="W902" t="s">
        <v>29</v>
      </c>
      <c r="X902" t="s">
        <v>309</v>
      </c>
      <c r="Y902" s="6" t="s">
        <v>305</v>
      </c>
    </row>
    <row r="903" spans="2:25" x14ac:dyDescent="0.3">
      <c r="B903" s="5" t="s">
        <v>71</v>
      </c>
      <c r="C903" s="5" t="str">
        <f>VLOOKUP(B903,[1]물질정보!B:C,2,0)</f>
        <v>97-63-2</v>
      </c>
      <c r="D903" t="str">
        <f>VLOOKUP(B903,[1]물질정보!B:D,3,0)</f>
        <v>ethyl methacrylate</v>
      </c>
      <c r="E903" t="str">
        <f>VLOOKUP(B903,[1]물질정보!B:E,4,0)</f>
        <v>C6H10O2</v>
      </c>
      <c r="F903" t="str">
        <f>VLOOKUP(B903,[1]물질정보!B:F,5,0)</f>
        <v>114.14 g/mol</v>
      </c>
      <c r="G903" s="5" t="str">
        <f>VLOOKUP(B903,[1]물질정보!B:G,6,0)</f>
        <v>CCOC(=O)C(=C)C</v>
      </c>
      <c r="H903" t="s">
        <v>26</v>
      </c>
      <c r="I903" t="s">
        <v>304</v>
      </c>
      <c r="J903" t="s">
        <v>310</v>
      </c>
      <c r="K903">
        <v>69</v>
      </c>
      <c r="L903" t="s">
        <v>306</v>
      </c>
      <c r="M903" t="s">
        <v>29</v>
      </c>
      <c r="N903" t="s">
        <v>29</v>
      </c>
      <c r="O903" t="s">
        <v>29</v>
      </c>
      <c r="P903">
        <v>28</v>
      </c>
      <c r="Q903" t="s">
        <v>307</v>
      </c>
      <c r="R903" t="s">
        <v>159</v>
      </c>
      <c r="S903" t="s">
        <v>29</v>
      </c>
      <c r="T903" t="s">
        <v>29</v>
      </c>
      <c r="U903" t="s">
        <v>29</v>
      </c>
      <c r="V903" s="6" t="s">
        <v>311</v>
      </c>
      <c r="W903" t="s">
        <v>29</v>
      </c>
      <c r="X903" t="s">
        <v>148</v>
      </c>
      <c r="Y903" s="6" t="s">
        <v>310</v>
      </c>
    </row>
    <row r="904" spans="2:25" x14ac:dyDescent="0.3">
      <c r="B904" s="5" t="s">
        <v>71</v>
      </c>
      <c r="C904" s="5" t="str">
        <f>VLOOKUP(B904,[1]물질정보!B:C,2,0)</f>
        <v>97-63-2</v>
      </c>
      <c r="D904" t="str">
        <f>VLOOKUP(B904,[1]물질정보!B:D,3,0)</f>
        <v>ethyl methacrylate</v>
      </c>
      <c r="E904" t="str">
        <f>VLOOKUP(B904,[1]물질정보!B:E,4,0)</f>
        <v>C6H10O2</v>
      </c>
      <c r="F904" t="str">
        <f>VLOOKUP(B904,[1]물질정보!B:F,5,0)</f>
        <v>114.14 g/mol</v>
      </c>
      <c r="G904" s="5" t="str">
        <f>VLOOKUP(B904,[1]물질정보!B:G,6,0)</f>
        <v>CCOC(=O)C(=C)C</v>
      </c>
      <c r="H904" t="s">
        <v>26</v>
      </c>
      <c r="I904" t="s">
        <v>304</v>
      </c>
      <c r="J904" t="s">
        <v>29</v>
      </c>
      <c r="K904">
        <v>30</v>
      </c>
      <c r="L904" t="s">
        <v>312</v>
      </c>
      <c r="M904" t="s">
        <v>29</v>
      </c>
      <c r="N904" t="s">
        <v>29</v>
      </c>
      <c r="O904" t="s">
        <v>29</v>
      </c>
      <c r="P904">
        <v>2</v>
      </c>
      <c r="Q904" t="s">
        <v>313</v>
      </c>
      <c r="R904" t="s">
        <v>159</v>
      </c>
      <c r="S904" t="s">
        <v>314</v>
      </c>
      <c r="T904" t="s">
        <v>29</v>
      </c>
      <c r="U904" t="s">
        <v>29</v>
      </c>
      <c r="V904" s="6" t="s">
        <v>163</v>
      </c>
      <c r="W904" t="s">
        <v>29</v>
      </c>
      <c r="X904" t="s">
        <v>315</v>
      </c>
    </row>
    <row r="905" spans="2:25" x14ac:dyDescent="0.3">
      <c r="B905" s="5" t="s">
        <v>71</v>
      </c>
      <c r="C905" s="5" t="str">
        <f>VLOOKUP(B905,[1]물질정보!B:C,2,0)</f>
        <v>97-63-2</v>
      </c>
      <c r="D905" t="str">
        <f>VLOOKUP(B905,[1]물질정보!B:D,3,0)</f>
        <v>ethyl methacrylate</v>
      </c>
      <c r="E905" t="str">
        <f>VLOOKUP(B905,[1]물질정보!B:E,4,0)</f>
        <v>C6H10O2</v>
      </c>
      <c r="F905" t="str">
        <f>VLOOKUP(B905,[1]물질정보!B:F,5,0)</f>
        <v>114.14 g/mol</v>
      </c>
      <c r="G905" s="5" t="str">
        <f>VLOOKUP(B905,[1]물질정보!B:G,6,0)</f>
        <v>CCOC(=O)C(=C)C</v>
      </c>
      <c r="H905" t="s">
        <v>26</v>
      </c>
      <c r="I905" t="s">
        <v>304</v>
      </c>
      <c r="J905" t="s">
        <v>29</v>
      </c>
      <c r="K905">
        <v>79</v>
      </c>
      <c r="L905" t="s">
        <v>306</v>
      </c>
      <c r="M905" t="s">
        <v>29</v>
      </c>
      <c r="N905" t="s">
        <v>29</v>
      </c>
      <c r="O905" t="s">
        <v>29</v>
      </c>
      <c r="P905">
        <v>28</v>
      </c>
      <c r="Q905" t="s">
        <v>307</v>
      </c>
      <c r="R905" t="s">
        <v>159</v>
      </c>
      <c r="S905" t="s">
        <v>683</v>
      </c>
      <c r="T905" t="s">
        <v>29</v>
      </c>
      <c r="U905" t="s">
        <v>29</v>
      </c>
      <c r="V905" s="6" t="s">
        <v>163</v>
      </c>
      <c r="W905" t="s">
        <v>29</v>
      </c>
      <c r="X905" t="s">
        <v>148</v>
      </c>
    </row>
    <row r="906" spans="2:25" x14ac:dyDescent="0.3">
      <c r="B906" s="5" t="s">
        <v>25</v>
      </c>
      <c r="C906" s="5" t="str">
        <f>VLOOKUP(B906,[1]물질정보!B:C,2,0)</f>
        <v>97-88-1</v>
      </c>
      <c r="D906" t="str">
        <f>VLOOKUP(B906,[1]물질정보!B:D,3,0)</f>
        <v>butyl methacrylate</v>
      </c>
      <c r="E906" t="str">
        <f>VLOOKUP(B906,[1]물질정보!B:E,4,0)</f>
        <v>C8H14O2</v>
      </c>
      <c r="F906" t="str">
        <f>VLOOKUP(B906,[1]물질정보!B:F,5,0)</f>
        <v>142.2 g/mol</v>
      </c>
      <c r="G906" s="5" t="str">
        <f>VLOOKUP(B906,[1]물질정보!B:G,6,0)</f>
        <v>CCCCOC(=O)C(=C)C</v>
      </c>
      <c r="H906" t="s">
        <v>26</v>
      </c>
      <c r="I906" t="s">
        <v>304</v>
      </c>
      <c r="J906" t="s">
        <v>305</v>
      </c>
      <c r="K906">
        <v>88</v>
      </c>
      <c r="L906" t="s">
        <v>306</v>
      </c>
      <c r="M906" t="s">
        <v>29</v>
      </c>
      <c r="N906" t="s">
        <v>29</v>
      </c>
      <c r="O906" t="s">
        <v>29</v>
      </c>
      <c r="P906">
        <v>28</v>
      </c>
      <c r="Q906" t="s">
        <v>307</v>
      </c>
      <c r="R906" t="s">
        <v>159</v>
      </c>
      <c r="S906" t="s">
        <v>316</v>
      </c>
      <c r="T906" t="s">
        <v>29</v>
      </c>
      <c r="U906" t="s">
        <v>29</v>
      </c>
      <c r="V906" s="6" t="s">
        <v>160</v>
      </c>
      <c r="W906" t="s">
        <v>29</v>
      </c>
      <c r="X906" t="s">
        <v>148</v>
      </c>
      <c r="Y906" s="6" t="s">
        <v>305</v>
      </c>
    </row>
    <row r="907" spans="2:25" x14ac:dyDescent="0.3">
      <c r="B907" s="5" t="s">
        <v>25</v>
      </c>
      <c r="C907" s="5" t="str">
        <f>VLOOKUP(B907,[1]물질정보!B:C,2,0)</f>
        <v>97-88-1</v>
      </c>
      <c r="D907" t="str">
        <f>VLOOKUP(B907,[1]물질정보!B:D,3,0)</f>
        <v>butyl methacrylate</v>
      </c>
      <c r="E907" t="str">
        <f>VLOOKUP(B907,[1]물질정보!B:E,4,0)</f>
        <v>C8H14O2</v>
      </c>
      <c r="F907" t="str">
        <f>VLOOKUP(B907,[1]물질정보!B:F,5,0)</f>
        <v>142.2 g/mol</v>
      </c>
      <c r="G907" s="5" t="str">
        <f>VLOOKUP(B907,[1]물질정보!B:G,6,0)</f>
        <v>CCCCOC(=O)C(=C)C</v>
      </c>
      <c r="H907" t="s">
        <v>26</v>
      </c>
      <c r="I907" t="s">
        <v>304</v>
      </c>
      <c r="J907" t="s">
        <v>317</v>
      </c>
      <c r="K907">
        <v>38</v>
      </c>
      <c r="L907" t="s">
        <v>306</v>
      </c>
      <c r="M907" t="s">
        <v>29</v>
      </c>
      <c r="N907" t="s">
        <v>29</v>
      </c>
      <c r="O907" t="s">
        <v>29</v>
      </c>
      <c r="P907">
        <v>28</v>
      </c>
      <c r="Q907" t="s">
        <v>307</v>
      </c>
      <c r="R907" t="s">
        <v>159</v>
      </c>
      <c r="S907" t="s">
        <v>29</v>
      </c>
      <c r="T907" t="s">
        <v>29</v>
      </c>
      <c r="U907" t="s">
        <v>29</v>
      </c>
      <c r="V907" s="6" t="s">
        <v>163</v>
      </c>
      <c r="W907" t="s">
        <v>29</v>
      </c>
      <c r="X907" t="s">
        <v>148</v>
      </c>
      <c r="Y907" s="6" t="s">
        <v>318</v>
      </c>
    </row>
    <row r="908" spans="2:25" x14ac:dyDescent="0.3">
      <c r="B908" s="5" t="s">
        <v>25</v>
      </c>
      <c r="C908" s="5" t="str">
        <f>VLOOKUP(B908,[1]물질정보!B:C,2,0)</f>
        <v>97-88-1</v>
      </c>
      <c r="D908" t="str">
        <f>VLOOKUP(B908,[1]물질정보!B:D,3,0)</f>
        <v>butyl methacrylate</v>
      </c>
      <c r="E908" t="str">
        <f>VLOOKUP(B908,[1]물질정보!B:E,4,0)</f>
        <v>C8H14O2</v>
      </c>
      <c r="F908" t="str">
        <f>VLOOKUP(B908,[1]물질정보!B:F,5,0)</f>
        <v>142.2 g/mol</v>
      </c>
      <c r="G908" s="5" t="str">
        <f>VLOOKUP(B908,[1]물질정보!B:G,6,0)</f>
        <v>CCCCOC(=O)C(=C)C</v>
      </c>
      <c r="H908" t="s">
        <v>26</v>
      </c>
      <c r="I908" t="s">
        <v>304</v>
      </c>
      <c r="J908" t="s">
        <v>318</v>
      </c>
      <c r="K908">
        <v>88</v>
      </c>
      <c r="L908" t="s">
        <v>306</v>
      </c>
      <c r="M908" t="s">
        <v>29</v>
      </c>
      <c r="N908" t="s">
        <v>29</v>
      </c>
      <c r="O908" t="s">
        <v>29</v>
      </c>
      <c r="P908">
        <v>4</v>
      </c>
      <c r="Q908" t="s">
        <v>313</v>
      </c>
      <c r="R908" t="s">
        <v>159</v>
      </c>
      <c r="S908" t="s">
        <v>314</v>
      </c>
      <c r="T908" t="s">
        <v>29</v>
      </c>
      <c r="U908" t="s">
        <v>29</v>
      </c>
      <c r="V908" s="6" t="s">
        <v>163</v>
      </c>
      <c r="W908" t="s">
        <v>29</v>
      </c>
      <c r="X908" t="s">
        <v>319</v>
      </c>
      <c r="Y908" s="6" t="s">
        <v>318</v>
      </c>
    </row>
    <row r="909" spans="2:25" x14ac:dyDescent="0.3">
      <c r="B909" s="5" t="s">
        <v>25</v>
      </c>
      <c r="C909" s="5" t="str">
        <f>VLOOKUP(B909,[1]물질정보!B:C,2,0)</f>
        <v>97-88-1</v>
      </c>
      <c r="D909" t="str">
        <f>VLOOKUP(B909,[1]물질정보!B:D,3,0)</f>
        <v>butyl methacrylate</v>
      </c>
      <c r="E909" t="str">
        <f>VLOOKUP(B909,[1]물질정보!B:E,4,0)</f>
        <v>C8H14O2</v>
      </c>
      <c r="F909" t="str">
        <f>VLOOKUP(B909,[1]물질정보!B:F,5,0)</f>
        <v>142.2 g/mol</v>
      </c>
      <c r="G909" s="5" t="str">
        <f>VLOOKUP(B909,[1]물질정보!B:G,6,0)</f>
        <v>CCCCOC(=O)C(=C)C</v>
      </c>
      <c r="H909" t="s">
        <v>26</v>
      </c>
      <c r="I909" t="s">
        <v>304</v>
      </c>
      <c r="J909" t="s">
        <v>29</v>
      </c>
      <c r="K909" t="s">
        <v>155</v>
      </c>
      <c r="L909" t="s">
        <v>29</v>
      </c>
      <c r="M909" t="s">
        <v>29</v>
      </c>
      <c r="N909" t="s">
        <v>29</v>
      </c>
      <c r="O909" t="s">
        <v>29</v>
      </c>
      <c r="P909" t="s">
        <v>29</v>
      </c>
      <c r="Q909" t="s">
        <v>29</v>
      </c>
      <c r="R909" t="s">
        <v>159</v>
      </c>
      <c r="S909" t="s">
        <v>29</v>
      </c>
      <c r="T909" t="s">
        <v>29</v>
      </c>
      <c r="U909" t="s">
        <v>29</v>
      </c>
      <c r="V909" s="6" t="s">
        <v>168</v>
      </c>
      <c r="W909" t="s">
        <v>29</v>
      </c>
      <c r="X909" t="s">
        <v>29</v>
      </c>
    </row>
    <row r="910" spans="2:25" x14ac:dyDescent="0.3">
      <c r="B910" s="5" t="s">
        <v>25</v>
      </c>
      <c r="C910" s="5" t="str">
        <f>VLOOKUP(B910,[1]물질정보!B:C,2,0)</f>
        <v>97-88-1</v>
      </c>
      <c r="D910" t="str">
        <f>VLOOKUP(B910,[1]물질정보!B:D,3,0)</f>
        <v>butyl methacrylate</v>
      </c>
      <c r="E910" t="str">
        <f>VLOOKUP(B910,[1]물질정보!B:E,4,0)</f>
        <v>C8H14O2</v>
      </c>
      <c r="F910" t="str">
        <f>VLOOKUP(B910,[1]물질정보!B:F,5,0)</f>
        <v>142.2 g/mol</v>
      </c>
      <c r="G910" s="5" t="str">
        <f>VLOOKUP(B910,[1]물질정보!B:G,6,0)</f>
        <v>CCCCOC(=O)C(=C)C</v>
      </c>
      <c r="H910" t="s">
        <v>26</v>
      </c>
      <c r="I910" t="s">
        <v>304</v>
      </c>
      <c r="J910" t="s">
        <v>29</v>
      </c>
      <c r="K910" t="s">
        <v>155</v>
      </c>
      <c r="L910" t="s">
        <v>29</v>
      </c>
      <c r="M910" t="s">
        <v>29</v>
      </c>
      <c r="N910" t="s">
        <v>29</v>
      </c>
      <c r="O910" t="s">
        <v>29</v>
      </c>
      <c r="P910" t="s">
        <v>29</v>
      </c>
      <c r="Q910" t="s">
        <v>29</v>
      </c>
      <c r="R910" t="s">
        <v>159</v>
      </c>
      <c r="S910" t="s">
        <v>29</v>
      </c>
      <c r="T910" t="s">
        <v>29</v>
      </c>
      <c r="U910" t="s">
        <v>29</v>
      </c>
      <c r="V910" s="6" t="s">
        <v>169</v>
      </c>
      <c r="W910" t="s">
        <v>29</v>
      </c>
      <c r="X910" t="s">
        <v>29</v>
      </c>
    </row>
    <row r="911" spans="2:25" x14ac:dyDescent="0.3">
      <c r="B911" s="5" t="s">
        <v>77</v>
      </c>
      <c r="C911" s="5" t="str">
        <f>VLOOKUP(B911,[1]물질정보!B:C,2,0)</f>
        <v>140-88-5</v>
      </c>
      <c r="D911" t="str">
        <f>VLOOKUP(B911,[1]물질정보!B:D,3,0)</f>
        <v>ethyl acrylate</v>
      </c>
      <c r="E911" t="str">
        <f>VLOOKUP(B911,[1]물질정보!B:E,4,0)</f>
        <v>C5H8O2</v>
      </c>
      <c r="F911" t="str">
        <f>VLOOKUP(B911,[1]물질정보!B:F,5,0)</f>
        <v>100.12 g/mol</v>
      </c>
      <c r="G911" s="5" t="str">
        <f>VLOOKUP(B911,[1]물질정보!B:G,6,0)</f>
        <v>CCOC(=O)C=C</v>
      </c>
      <c r="H911" t="s">
        <v>26</v>
      </c>
      <c r="I911" t="s">
        <v>304</v>
      </c>
      <c r="J911" t="s">
        <v>317</v>
      </c>
      <c r="K911">
        <v>28</v>
      </c>
      <c r="L911" t="s">
        <v>306</v>
      </c>
      <c r="M911" t="s">
        <v>29</v>
      </c>
      <c r="N911" t="s">
        <v>29</v>
      </c>
      <c r="O911" t="s">
        <v>29</v>
      </c>
      <c r="P911" t="s">
        <v>29</v>
      </c>
      <c r="Q911" t="s">
        <v>29</v>
      </c>
      <c r="R911" t="s">
        <v>159</v>
      </c>
      <c r="S911" t="s">
        <v>29</v>
      </c>
      <c r="T911" t="s">
        <v>29</v>
      </c>
      <c r="U911" t="s">
        <v>29</v>
      </c>
      <c r="V911" s="6" t="s">
        <v>163</v>
      </c>
      <c r="W911" t="s">
        <v>29</v>
      </c>
      <c r="X911" t="s">
        <v>29</v>
      </c>
      <c r="Y911" s="6" t="s">
        <v>318</v>
      </c>
    </row>
    <row r="912" spans="2:25" x14ac:dyDescent="0.3">
      <c r="B912" s="5" t="s">
        <v>77</v>
      </c>
      <c r="C912" s="5" t="str">
        <f>VLOOKUP(B912,[1]물질정보!B:C,2,0)</f>
        <v>140-88-5</v>
      </c>
      <c r="D912" t="str">
        <f>VLOOKUP(B912,[1]물질정보!B:D,3,0)</f>
        <v>ethyl acrylate</v>
      </c>
      <c r="E912" t="str">
        <f>VLOOKUP(B912,[1]물질정보!B:E,4,0)</f>
        <v>C5H8O2</v>
      </c>
      <c r="F912" t="str">
        <f>VLOOKUP(B912,[1]물질정보!B:F,5,0)</f>
        <v>100.12 g/mol</v>
      </c>
      <c r="G912" s="5" t="str">
        <f>VLOOKUP(B912,[1]물질정보!B:G,6,0)</f>
        <v>CCOC(=O)C=C</v>
      </c>
      <c r="H912" t="s">
        <v>26</v>
      </c>
      <c r="I912" t="s">
        <v>304</v>
      </c>
      <c r="J912" t="s">
        <v>317</v>
      </c>
      <c r="K912">
        <v>11</v>
      </c>
      <c r="L912" t="s">
        <v>306</v>
      </c>
      <c r="M912" t="s">
        <v>29</v>
      </c>
      <c r="N912" t="s">
        <v>29</v>
      </c>
      <c r="O912" t="s">
        <v>29</v>
      </c>
      <c r="P912" t="s">
        <v>29</v>
      </c>
      <c r="Q912" t="s">
        <v>29</v>
      </c>
      <c r="R912" t="s">
        <v>159</v>
      </c>
      <c r="S912" t="s">
        <v>29</v>
      </c>
      <c r="T912" t="s">
        <v>29</v>
      </c>
      <c r="U912" t="s">
        <v>29</v>
      </c>
      <c r="V912" s="6" t="s">
        <v>163</v>
      </c>
      <c r="W912" t="s">
        <v>29</v>
      </c>
      <c r="X912" t="s">
        <v>29</v>
      </c>
      <c r="Y912" s="6" t="s">
        <v>318</v>
      </c>
    </row>
    <row r="913" spans="2:25" x14ac:dyDescent="0.3">
      <c r="B913" s="5" t="s">
        <v>77</v>
      </c>
      <c r="C913" s="5" t="str">
        <f>VLOOKUP(B913,[1]물질정보!B:C,2,0)</f>
        <v>140-88-5</v>
      </c>
      <c r="D913" t="str">
        <f>VLOOKUP(B913,[1]물질정보!B:D,3,0)</f>
        <v>ethyl acrylate</v>
      </c>
      <c r="E913" t="str">
        <f>VLOOKUP(B913,[1]물질정보!B:E,4,0)</f>
        <v>C5H8O2</v>
      </c>
      <c r="F913" t="str">
        <f>VLOOKUP(B913,[1]물질정보!B:F,5,0)</f>
        <v>100.12 g/mol</v>
      </c>
      <c r="G913" s="5" t="str">
        <f>VLOOKUP(B913,[1]물질정보!B:G,6,0)</f>
        <v>CCOC(=O)C=C</v>
      </c>
      <c r="H913" t="s">
        <v>26</v>
      </c>
      <c r="I913" t="s">
        <v>304</v>
      </c>
      <c r="J913" t="s">
        <v>317</v>
      </c>
      <c r="K913">
        <v>66</v>
      </c>
      <c r="L913" t="s">
        <v>306</v>
      </c>
      <c r="M913" t="s">
        <v>29</v>
      </c>
      <c r="N913" t="s">
        <v>29</v>
      </c>
      <c r="O913" t="s">
        <v>29</v>
      </c>
      <c r="P913" t="s">
        <v>29</v>
      </c>
      <c r="Q913" t="s">
        <v>29</v>
      </c>
      <c r="R913" t="s">
        <v>159</v>
      </c>
      <c r="S913" t="s">
        <v>29</v>
      </c>
      <c r="T913" t="s">
        <v>29</v>
      </c>
      <c r="U913" t="s">
        <v>29</v>
      </c>
      <c r="V913" s="6" t="s">
        <v>163</v>
      </c>
      <c r="W913" t="s">
        <v>29</v>
      </c>
      <c r="X913" t="s">
        <v>29</v>
      </c>
      <c r="Y913" s="6" t="s">
        <v>318</v>
      </c>
    </row>
    <row r="914" spans="2:25" x14ac:dyDescent="0.3">
      <c r="B914" s="5" t="s">
        <v>77</v>
      </c>
      <c r="C914" s="5" t="str">
        <f>VLOOKUP(B914,[1]물질정보!B:C,2,0)</f>
        <v>140-88-5</v>
      </c>
      <c r="D914" t="str">
        <f>VLOOKUP(B914,[1]물질정보!B:D,3,0)</f>
        <v>ethyl acrylate</v>
      </c>
      <c r="E914" t="str">
        <f>VLOOKUP(B914,[1]물질정보!B:E,4,0)</f>
        <v>C5H8O2</v>
      </c>
      <c r="F914" t="str">
        <f>VLOOKUP(B914,[1]물질정보!B:F,5,0)</f>
        <v>100.12 g/mol</v>
      </c>
      <c r="G914" s="5" t="str">
        <f>VLOOKUP(B914,[1]물질정보!B:G,6,0)</f>
        <v>CCOC(=O)C=C</v>
      </c>
      <c r="H914" t="s">
        <v>26</v>
      </c>
      <c r="I914" t="s">
        <v>304</v>
      </c>
      <c r="J914" t="s">
        <v>317</v>
      </c>
      <c r="K914">
        <v>52</v>
      </c>
      <c r="L914" t="s">
        <v>306</v>
      </c>
      <c r="M914" t="s">
        <v>29</v>
      </c>
      <c r="N914" t="s">
        <v>29</v>
      </c>
      <c r="O914" t="s">
        <v>29</v>
      </c>
      <c r="P914">
        <v>14</v>
      </c>
      <c r="Q914" t="s">
        <v>307</v>
      </c>
      <c r="R914" t="s">
        <v>159</v>
      </c>
      <c r="S914" t="s">
        <v>314</v>
      </c>
      <c r="T914" t="s">
        <v>29</v>
      </c>
      <c r="U914" t="s">
        <v>29</v>
      </c>
      <c r="V914" s="6" t="s">
        <v>163</v>
      </c>
      <c r="W914" t="s">
        <v>29</v>
      </c>
      <c r="X914" t="s">
        <v>320</v>
      </c>
      <c r="Y914" s="6" t="s">
        <v>318</v>
      </c>
    </row>
    <row r="915" spans="2:25" x14ac:dyDescent="0.3">
      <c r="B915" s="5" t="s">
        <v>77</v>
      </c>
      <c r="C915" s="5" t="str">
        <f>VLOOKUP(B915,[1]물질정보!B:C,2,0)</f>
        <v>140-88-5</v>
      </c>
      <c r="D915" t="str">
        <f>VLOOKUP(B915,[1]물질정보!B:D,3,0)</f>
        <v>ethyl acrylate</v>
      </c>
      <c r="E915" t="str">
        <f>VLOOKUP(B915,[1]물질정보!B:E,4,0)</f>
        <v>C5H8O2</v>
      </c>
      <c r="F915" t="str">
        <f>VLOOKUP(B915,[1]물질정보!B:F,5,0)</f>
        <v>100.12 g/mol</v>
      </c>
      <c r="G915" s="5" t="str">
        <f>VLOOKUP(B915,[1]물질정보!B:G,6,0)</f>
        <v>CCOC(=O)C=C</v>
      </c>
      <c r="H915" t="s">
        <v>26</v>
      </c>
      <c r="I915" t="s">
        <v>304</v>
      </c>
      <c r="J915" t="s">
        <v>321</v>
      </c>
      <c r="K915">
        <v>60</v>
      </c>
      <c r="L915" t="s">
        <v>306</v>
      </c>
      <c r="M915" t="s">
        <v>29</v>
      </c>
      <c r="N915" t="s">
        <v>29</v>
      </c>
      <c r="O915" t="s">
        <v>29</v>
      </c>
      <c r="P915">
        <v>3</v>
      </c>
      <c r="Q915" t="s">
        <v>31</v>
      </c>
      <c r="R915" t="s">
        <v>159</v>
      </c>
      <c r="S915" t="s">
        <v>322</v>
      </c>
      <c r="T915" t="s">
        <v>29</v>
      </c>
      <c r="U915" t="s">
        <v>29</v>
      </c>
      <c r="V915" s="6" t="s">
        <v>163</v>
      </c>
      <c r="W915" t="s">
        <v>29</v>
      </c>
      <c r="X915" t="s">
        <v>323</v>
      </c>
      <c r="Y915" s="6" t="s">
        <v>321</v>
      </c>
    </row>
    <row r="916" spans="2:25" x14ac:dyDescent="0.3">
      <c r="B916" s="5" t="s">
        <v>77</v>
      </c>
      <c r="C916" s="5" t="str">
        <f>VLOOKUP(B916,[1]물질정보!B:C,2,0)</f>
        <v>140-88-5</v>
      </c>
      <c r="D916" t="str">
        <f>VLOOKUP(B916,[1]물질정보!B:D,3,0)</f>
        <v>ethyl acrylate</v>
      </c>
      <c r="E916" t="str">
        <f>VLOOKUP(B916,[1]물질정보!B:E,4,0)</f>
        <v>C5H8O2</v>
      </c>
      <c r="F916" t="str">
        <f>VLOOKUP(B916,[1]물질정보!B:F,5,0)</f>
        <v>100.12 g/mol</v>
      </c>
      <c r="G916" s="5" t="str">
        <f>VLOOKUP(B916,[1]물질정보!B:G,6,0)</f>
        <v>CCOC(=O)C=C</v>
      </c>
      <c r="H916" t="s">
        <v>26</v>
      </c>
      <c r="I916" t="s">
        <v>304</v>
      </c>
      <c r="J916" t="s">
        <v>321</v>
      </c>
      <c r="K916">
        <v>100</v>
      </c>
      <c r="L916" t="s">
        <v>306</v>
      </c>
      <c r="M916" t="s">
        <v>29</v>
      </c>
      <c r="N916" t="s">
        <v>29</v>
      </c>
      <c r="O916" t="s">
        <v>29</v>
      </c>
      <c r="P916">
        <v>7</v>
      </c>
      <c r="Q916" t="s">
        <v>307</v>
      </c>
      <c r="R916" t="s">
        <v>159</v>
      </c>
      <c r="S916" t="s">
        <v>322</v>
      </c>
      <c r="T916" t="s">
        <v>29</v>
      </c>
      <c r="U916" t="s">
        <v>29</v>
      </c>
      <c r="V916" s="6" t="s">
        <v>163</v>
      </c>
      <c r="W916" t="s">
        <v>29</v>
      </c>
      <c r="X916" t="s">
        <v>324</v>
      </c>
      <c r="Y916" s="6" t="s">
        <v>321</v>
      </c>
    </row>
    <row r="917" spans="2:25" x14ac:dyDescent="0.3">
      <c r="B917" s="5" t="s">
        <v>77</v>
      </c>
      <c r="C917" s="5" t="str">
        <f>VLOOKUP(B917,[1]물질정보!B:C,2,0)</f>
        <v>140-88-5</v>
      </c>
      <c r="D917" t="str">
        <f>VLOOKUP(B917,[1]물질정보!B:D,3,0)</f>
        <v>ethyl acrylate</v>
      </c>
      <c r="E917" t="str">
        <f>VLOOKUP(B917,[1]물질정보!B:E,4,0)</f>
        <v>C5H8O2</v>
      </c>
      <c r="F917" t="str">
        <f>VLOOKUP(B917,[1]물질정보!B:F,5,0)</f>
        <v>100.12 g/mol</v>
      </c>
      <c r="G917" s="5" t="str">
        <f>VLOOKUP(B917,[1]물질정보!B:G,6,0)</f>
        <v>CCOC(=O)C=C</v>
      </c>
      <c r="H917" t="s">
        <v>26</v>
      </c>
      <c r="I917" t="s">
        <v>304</v>
      </c>
      <c r="J917" t="s">
        <v>321</v>
      </c>
      <c r="K917">
        <v>60</v>
      </c>
      <c r="L917" t="s">
        <v>306</v>
      </c>
      <c r="M917" t="s">
        <v>29</v>
      </c>
      <c r="N917" t="s">
        <v>29</v>
      </c>
      <c r="O917" t="s">
        <v>29</v>
      </c>
      <c r="P917">
        <v>11</v>
      </c>
      <c r="Q917" t="s">
        <v>307</v>
      </c>
      <c r="R917" t="s">
        <v>159</v>
      </c>
      <c r="S917" t="s">
        <v>322</v>
      </c>
      <c r="T917" t="s">
        <v>29</v>
      </c>
      <c r="U917" t="s">
        <v>29</v>
      </c>
      <c r="V917" s="6" t="s">
        <v>163</v>
      </c>
      <c r="W917" t="s">
        <v>29</v>
      </c>
      <c r="X917" t="s">
        <v>325</v>
      </c>
      <c r="Y917" s="6" t="s">
        <v>321</v>
      </c>
    </row>
    <row r="918" spans="2:25" x14ac:dyDescent="0.3">
      <c r="B918" s="5" t="s">
        <v>77</v>
      </c>
      <c r="C918" s="5" t="str">
        <f>VLOOKUP(B918,[1]물질정보!B:C,2,0)</f>
        <v>140-88-5</v>
      </c>
      <c r="D918" t="str">
        <f>VLOOKUP(B918,[1]물질정보!B:D,3,0)</f>
        <v>ethyl acrylate</v>
      </c>
      <c r="E918" t="str">
        <f>VLOOKUP(B918,[1]물질정보!B:E,4,0)</f>
        <v>C5H8O2</v>
      </c>
      <c r="F918" t="str">
        <f>VLOOKUP(B918,[1]물질정보!B:F,5,0)</f>
        <v>100.12 g/mol</v>
      </c>
      <c r="G918" s="5" t="str">
        <f>VLOOKUP(B918,[1]물질정보!B:G,6,0)</f>
        <v>CCOC(=O)C=C</v>
      </c>
      <c r="H918" t="s">
        <v>26</v>
      </c>
      <c r="I918" t="s">
        <v>304</v>
      </c>
      <c r="J918" t="s">
        <v>326</v>
      </c>
      <c r="K918" t="s">
        <v>327</v>
      </c>
      <c r="L918" t="s">
        <v>306</v>
      </c>
      <c r="M918" t="s">
        <v>29</v>
      </c>
      <c r="N918" t="s">
        <v>29</v>
      </c>
      <c r="O918" t="s">
        <v>29</v>
      </c>
      <c r="P918">
        <v>28</v>
      </c>
      <c r="Q918" t="s">
        <v>307</v>
      </c>
      <c r="R918" t="s">
        <v>159</v>
      </c>
      <c r="S918" t="s">
        <v>328</v>
      </c>
      <c r="T918" t="s">
        <v>29</v>
      </c>
      <c r="U918" t="s">
        <v>29</v>
      </c>
      <c r="V918" s="6" t="s">
        <v>160</v>
      </c>
      <c r="W918" t="s">
        <v>29</v>
      </c>
      <c r="X918" t="s">
        <v>148</v>
      </c>
      <c r="Y918" s="6" t="s">
        <v>326</v>
      </c>
    </row>
    <row r="919" spans="2:25" x14ac:dyDescent="0.3">
      <c r="B919" s="5" t="s">
        <v>77</v>
      </c>
      <c r="C919" s="5" t="str">
        <f>VLOOKUP(B919,[1]물질정보!B:C,2,0)</f>
        <v>140-88-5</v>
      </c>
      <c r="D919" t="str">
        <f>VLOOKUP(B919,[1]물질정보!B:D,3,0)</f>
        <v>ethyl acrylate</v>
      </c>
      <c r="E919" t="str">
        <f>VLOOKUP(B919,[1]물질정보!B:E,4,0)</f>
        <v>C5H8O2</v>
      </c>
      <c r="F919" t="str">
        <f>VLOOKUP(B919,[1]물질정보!B:F,5,0)</f>
        <v>100.12 g/mol</v>
      </c>
      <c r="G919" s="5" t="str">
        <f>VLOOKUP(B919,[1]물질정보!B:G,6,0)</f>
        <v>CCOC(=O)C=C</v>
      </c>
      <c r="H919" t="s">
        <v>26</v>
      </c>
      <c r="I919" t="s">
        <v>304</v>
      </c>
      <c r="J919" t="s">
        <v>305</v>
      </c>
      <c r="K919" t="s">
        <v>329</v>
      </c>
      <c r="L919" t="s">
        <v>306</v>
      </c>
      <c r="M919" t="s">
        <v>29</v>
      </c>
      <c r="N919" t="s">
        <v>29</v>
      </c>
      <c r="O919" t="s">
        <v>29</v>
      </c>
      <c r="P919">
        <v>28</v>
      </c>
      <c r="Q919" t="s">
        <v>307</v>
      </c>
      <c r="R919" t="s">
        <v>159</v>
      </c>
      <c r="S919" t="s">
        <v>308</v>
      </c>
      <c r="T919" t="s">
        <v>29</v>
      </c>
      <c r="U919" t="s">
        <v>29</v>
      </c>
      <c r="V919" s="6" t="s">
        <v>160</v>
      </c>
      <c r="W919" t="s">
        <v>29</v>
      </c>
      <c r="X919" t="s">
        <v>148</v>
      </c>
      <c r="Y919" s="6" t="s">
        <v>305</v>
      </c>
    </row>
    <row r="920" spans="2:25" x14ac:dyDescent="0.3">
      <c r="B920" s="5" t="s">
        <v>77</v>
      </c>
      <c r="C920" s="5" t="str">
        <f>VLOOKUP(B920,[1]물질정보!B:C,2,0)</f>
        <v>140-88-5</v>
      </c>
      <c r="D920" t="str">
        <f>VLOOKUP(B920,[1]물질정보!B:D,3,0)</f>
        <v>ethyl acrylate</v>
      </c>
      <c r="E920" t="str">
        <f>VLOOKUP(B920,[1]물질정보!B:E,4,0)</f>
        <v>C5H8O2</v>
      </c>
      <c r="F920" t="str">
        <f>VLOOKUP(B920,[1]물질정보!B:F,5,0)</f>
        <v>100.12 g/mol</v>
      </c>
      <c r="G920" s="5" t="str">
        <f>VLOOKUP(B920,[1]물질정보!B:G,6,0)</f>
        <v>CCOC(=O)C=C</v>
      </c>
      <c r="H920" t="s">
        <v>26</v>
      </c>
      <c r="I920" t="s">
        <v>304</v>
      </c>
      <c r="J920" t="s">
        <v>330</v>
      </c>
      <c r="K920">
        <v>50</v>
      </c>
      <c r="L920" t="s">
        <v>29</v>
      </c>
      <c r="M920" t="s">
        <v>29</v>
      </c>
      <c r="N920" t="s">
        <v>29</v>
      </c>
      <c r="O920" t="s">
        <v>29</v>
      </c>
      <c r="P920">
        <v>14</v>
      </c>
      <c r="Q920" t="s">
        <v>307</v>
      </c>
      <c r="R920" t="s">
        <v>159</v>
      </c>
      <c r="S920" t="s">
        <v>316</v>
      </c>
      <c r="T920" t="s">
        <v>29</v>
      </c>
      <c r="U920" t="s">
        <v>29</v>
      </c>
      <c r="V920" s="6" t="s">
        <v>160</v>
      </c>
      <c r="W920" t="s">
        <v>29</v>
      </c>
      <c r="X920" t="s">
        <v>320</v>
      </c>
      <c r="Y920" s="6" t="s">
        <v>330</v>
      </c>
    </row>
    <row r="921" spans="2:25" x14ac:dyDescent="0.3">
      <c r="B921" s="5" t="s">
        <v>77</v>
      </c>
      <c r="C921" s="5" t="str">
        <f>VLOOKUP(B921,[1]물질정보!B:C,2,0)</f>
        <v>140-88-5</v>
      </c>
      <c r="D921" t="str">
        <f>VLOOKUP(B921,[1]물질정보!B:D,3,0)</f>
        <v>ethyl acrylate</v>
      </c>
      <c r="E921" t="str">
        <f>VLOOKUP(B921,[1]물질정보!B:E,4,0)</f>
        <v>C5H8O2</v>
      </c>
      <c r="F921" t="str">
        <f>VLOOKUP(B921,[1]물질정보!B:F,5,0)</f>
        <v>100.12 g/mol</v>
      </c>
      <c r="G921" s="5" t="str">
        <f>VLOOKUP(B921,[1]물질정보!B:G,6,0)</f>
        <v>CCOC(=O)C=C</v>
      </c>
      <c r="H921" t="s">
        <v>26</v>
      </c>
      <c r="I921" t="s">
        <v>304</v>
      </c>
      <c r="J921" t="s">
        <v>330</v>
      </c>
      <c r="K921">
        <v>60</v>
      </c>
      <c r="L921" t="s">
        <v>29</v>
      </c>
      <c r="M921" t="s">
        <v>29</v>
      </c>
      <c r="N921" t="s">
        <v>29</v>
      </c>
      <c r="O921" t="s">
        <v>29</v>
      </c>
      <c r="P921">
        <v>14</v>
      </c>
      <c r="Q921" t="s">
        <v>307</v>
      </c>
      <c r="R921" t="s">
        <v>159</v>
      </c>
      <c r="S921" t="s">
        <v>316</v>
      </c>
      <c r="T921" t="s">
        <v>29</v>
      </c>
      <c r="U921" t="s">
        <v>29</v>
      </c>
      <c r="V921" s="6" t="s">
        <v>160</v>
      </c>
      <c r="W921" t="s">
        <v>29</v>
      </c>
      <c r="X921" t="s">
        <v>320</v>
      </c>
      <c r="Y921" s="6" t="s">
        <v>330</v>
      </c>
    </row>
    <row r="922" spans="2:25" x14ac:dyDescent="0.3">
      <c r="B922" s="5" t="s">
        <v>77</v>
      </c>
      <c r="C922" s="5" t="str">
        <f>VLOOKUP(B922,[1]물질정보!B:C,2,0)</f>
        <v>140-88-5</v>
      </c>
      <c r="D922" t="str">
        <f>VLOOKUP(B922,[1]물질정보!B:D,3,0)</f>
        <v>ethyl acrylate</v>
      </c>
      <c r="E922" t="str">
        <f>VLOOKUP(B922,[1]물질정보!B:E,4,0)</f>
        <v>C5H8O2</v>
      </c>
      <c r="F922" t="str">
        <f>VLOOKUP(B922,[1]물질정보!B:F,5,0)</f>
        <v>100.12 g/mol</v>
      </c>
      <c r="G922" s="5" t="str">
        <f>VLOOKUP(B922,[1]물질정보!B:G,6,0)</f>
        <v>CCOC(=O)C=C</v>
      </c>
      <c r="H922" t="s">
        <v>26</v>
      </c>
      <c r="I922" t="s">
        <v>304</v>
      </c>
      <c r="J922" t="s">
        <v>331</v>
      </c>
      <c r="K922">
        <v>90</v>
      </c>
      <c r="L922" t="s">
        <v>306</v>
      </c>
      <c r="M922" t="s">
        <v>29</v>
      </c>
      <c r="N922" t="s">
        <v>29</v>
      </c>
      <c r="O922" t="s">
        <v>29</v>
      </c>
      <c r="P922">
        <v>11</v>
      </c>
      <c r="Q922" t="s">
        <v>307</v>
      </c>
      <c r="R922" t="s">
        <v>159</v>
      </c>
      <c r="S922" t="s">
        <v>332</v>
      </c>
      <c r="T922" t="s">
        <v>29</v>
      </c>
      <c r="U922" t="s">
        <v>29</v>
      </c>
      <c r="V922" s="6" t="s">
        <v>160</v>
      </c>
      <c r="W922" t="s">
        <v>29</v>
      </c>
      <c r="X922" t="s">
        <v>325</v>
      </c>
      <c r="Y922" s="6" t="s">
        <v>331</v>
      </c>
    </row>
    <row r="923" spans="2:25" x14ac:dyDescent="0.3">
      <c r="B923" s="5" t="s">
        <v>77</v>
      </c>
      <c r="C923" s="5" t="str">
        <f>VLOOKUP(B923,[1]물질정보!B:C,2,0)</f>
        <v>140-88-5</v>
      </c>
      <c r="D923" t="str">
        <f>VLOOKUP(B923,[1]물질정보!B:D,3,0)</f>
        <v>ethyl acrylate</v>
      </c>
      <c r="E923" t="str">
        <f>VLOOKUP(B923,[1]물질정보!B:E,4,0)</f>
        <v>C5H8O2</v>
      </c>
      <c r="F923" t="str">
        <f>VLOOKUP(B923,[1]물질정보!B:F,5,0)</f>
        <v>100.12 g/mol</v>
      </c>
      <c r="G923" s="5" t="str">
        <f>VLOOKUP(B923,[1]물질정보!B:G,6,0)</f>
        <v>CCOC(=O)C=C</v>
      </c>
      <c r="H923" t="s">
        <v>26</v>
      </c>
      <c r="I923" t="s">
        <v>304</v>
      </c>
      <c r="J923" t="s">
        <v>331</v>
      </c>
      <c r="K923">
        <v>100</v>
      </c>
      <c r="L923" t="s">
        <v>306</v>
      </c>
      <c r="M923" t="s">
        <v>29</v>
      </c>
      <c r="N923" t="s">
        <v>29</v>
      </c>
      <c r="O923" t="s">
        <v>29</v>
      </c>
      <c r="P923">
        <v>11</v>
      </c>
      <c r="Q923" t="s">
        <v>307</v>
      </c>
      <c r="R923" t="s">
        <v>159</v>
      </c>
      <c r="S923" t="s">
        <v>332</v>
      </c>
      <c r="T923" t="s">
        <v>29</v>
      </c>
      <c r="U923" t="s">
        <v>29</v>
      </c>
      <c r="V923" s="6" t="s">
        <v>160</v>
      </c>
      <c r="W923" t="s">
        <v>29</v>
      </c>
      <c r="X923" t="s">
        <v>325</v>
      </c>
      <c r="Y923" s="6" t="s">
        <v>331</v>
      </c>
    </row>
    <row r="924" spans="2:25" x14ac:dyDescent="0.3">
      <c r="B924" s="5" t="s">
        <v>77</v>
      </c>
      <c r="C924" s="5" t="str">
        <f>VLOOKUP(B924,[1]물질정보!B:C,2,0)</f>
        <v>140-88-5</v>
      </c>
      <c r="D924" t="str">
        <f>VLOOKUP(B924,[1]물질정보!B:D,3,0)</f>
        <v>ethyl acrylate</v>
      </c>
      <c r="E924" t="str">
        <f>VLOOKUP(B924,[1]물질정보!B:E,4,0)</f>
        <v>C5H8O2</v>
      </c>
      <c r="F924" t="str">
        <f>VLOOKUP(B924,[1]물질정보!B:F,5,0)</f>
        <v>100.12 g/mol</v>
      </c>
      <c r="G924" s="5" t="str">
        <f>VLOOKUP(B924,[1]물질정보!B:G,6,0)</f>
        <v>CCOC(=O)C=C</v>
      </c>
      <c r="H924" t="s">
        <v>26</v>
      </c>
      <c r="I924" t="s">
        <v>304</v>
      </c>
      <c r="J924" t="s">
        <v>29</v>
      </c>
      <c r="K924" t="s">
        <v>155</v>
      </c>
      <c r="L924" t="s">
        <v>29</v>
      </c>
      <c r="M924" t="s">
        <v>29</v>
      </c>
      <c r="N924" t="s">
        <v>29</v>
      </c>
      <c r="O924" t="s">
        <v>29</v>
      </c>
      <c r="P924" t="s">
        <v>29</v>
      </c>
      <c r="Q924" t="s">
        <v>29</v>
      </c>
      <c r="R924" t="s">
        <v>159</v>
      </c>
      <c r="S924" t="s">
        <v>29</v>
      </c>
      <c r="T924" t="s">
        <v>29</v>
      </c>
      <c r="U924" t="s">
        <v>29</v>
      </c>
      <c r="V924" s="6" t="s">
        <v>168</v>
      </c>
      <c r="W924" t="s">
        <v>29</v>
      </c>
      <c r="X924" t="s">
        <v>29</v>
      </c>
    </row>
    <row r="925" spans="2:25" x14ac:dyDescent="0.3">
      <c r="B925" s="5" t="s">
        <v>77</v>
      </c>
      <c r="C925" s="5" t="str">
        <f>VLOOKUP(B925,[1]물질정보!B:C,2,0)</f>
        <v>140-88-5</v>
      </c>
      <c r="D925" t="str">
        <f>VLOOKUP(B925,[1]물질정보!B:D,3,0)</f>
        <v>ethyl acrylate</v>
      </c>
      <c r="E925" t="str">
        <f>VLOOKUP(B925,[1]물질정보!B:E,4,0)</f>
        <v>C5H8O2</v>
      </c>
      <c r="F925" t="str">
        <f>VLOOKUP(B925,[1]물질정보!B:F,5,0)</f>
        <v>100.12 g/mol</v>
      </c>
      <c r="G925" s="5" t="str">
        <f>VLOOKUP(B925,[1]물질정보!B:G,6,0)</f>
        <v>CCOC(=O)C=C</v>
      </c>
      <c r="H925" t="s">
        <v>26</v>
      </c>
      <c r="I925" t="s">
        <v>304</v>
      </c>
      <c r="J925" t="s">
        <v>29</v>
      </c>
      <c r="K925" t="s">
        <v>155</v>
      </c>
      <c r="L925" t="s">
        <v>29</v>
      </c>
      <c r="M925" t="s">
        <v>29</v>
      </c>
      <c r="N925" t="s">
        <v>29</v>
      </c>
      <c r="O925" t="s">
        <v>29</v>
      </c>
      <c r="P925" t="s">
        <v>29</v>
      </c>
      <c r="Q925" t="s">
        <v>29</v>
      </c>
      <c r="R925" t="s">
        <v>159</v>
      </c>
      <c r="S925" t="s">
        <v>29</v>
      </c>
      <c r="T925" t="s">
        <v>29</v>
      </c>
      <c r="U925" t="s">
        <v>29</v>
      </c>
      <c r="V925" s="6" t="s">
        <v>169</v>
      </c>
      <c r="W925" t="s">
        <v>29</v>
      </c>
      <c r="X925" t="s">
        <v>29</v>
      </c>
    </row>
    <row r="926" spans="2:25" x14ac:dyDescent="0.3">
      <c r="B926" s="5" t="s">
        <v>67</v>
      </c>
      <c r="C926" s="5" t="str">
        <f>VLOOKUP(B926,[1]물질정보!B:C,2,0)</f>
        <v>818-61-1</v>
      </c>
      <c r="D926" t="str">
        <f>VLOOKUP(B926,[1]물질정보!B:D,3,0)</f>
        <v>2-hydroxyethyl acrylate</v>
      </c>
      <c r="E926" t="str">
        <f>VLOOKUP(B926,[1]물질정보!B:E,4,0)</f>
        <v>C5H8O3</v>
      </c>
      <c r="F926" t="str">
        <f>VLOOKUP(B926,[1]물질정보!B:F,5,0)</f>
        <v>116.11 g/mol</v>
      </c>
      <c r="G926" s="5" t="str">
        <f>VLOOKUP(B926,[1]물질정보!B:G,6,0)</f>
        <v>C=CC(=O)OCCO</v>
      </c>
      <c r="H926" t="s">
        <v>26</v>
      </c>
      <c r="I926" t="s">
        <v>304</v>
      </c>
      <c r="J926" t="s">
        <v>333</v>
      </c>
      <c r="K926">
        <v>79</v>
      </c>
      <c r="L926" t="s">
        <v>306</v>
      </c>
      <c r="M926" t="s">
        <v>29</v>
      </c>
      <c r="N926" t="s">
        <v>29</v>
      </c>
      <c r="O926" t="s">
        <v>29</v>
      </c>
      <c r="P926">
        <v>28</v>
      </c>
      <c r="Q926" t="s">
        <v>307</v>
      </c>
      <c r="R926" t="s">
        <v>159</v>
      </c>
      <c r="S926" t="s">
        <v>334</v>
      </c>
      <c r="T926" t="s">
        <v>29</v>
      </c>
      <c r="U926" t="s">
        <v>29</v>
      </c>
      <c r="V926" s="6" t="s">
        <v>160</v>
      </c>
      <c r="W926" t="s">
        <v>29</v>
      </c>
      <c r="X926" t="s">
        <v>148</v>
      </c>
      <c r="Y926" s="6" t="s">
        <v>326</v>
      </c>
    </row>
    <row r="927" spans="2:25" x14ac:dyDescent="0.3">
      <c r="B927" s="5" t="s">
        <v>67</v>
      </c>
      <c r="C927" s="5" t="str">
        <f>VLOOKUP(B927,[1]물질정보!B:C,2,0)</f>
        <v>818-61-1</v>
      </c>
      <c r="D927" t="str">
        <f>VLOOKUP(B927,[1]물질정보!B:D,3,0)</f>
        <v>2-hydroxyethyl acrylate</v>
      </c>
      <c r="E927" t="str">
        <f>VLOOKUP(B927,[1]물질정보!B:E,4,0)</f>
        <v>C5H8O3</v>
      </c>
      <c r="F927" t="str">
        <f>VLOOKUP(B927,[1]물질정보!B:F,5,0)</f>
        <v>116.11 g/mol</v>
      </c>
      <c r="G927" s="5" t="str">
        <f>VLOOKUP(B927,[1]물질정보!B:G,6,0)</f>
        <v>C=CC(=O)OCCO</v>
      </c>
      <c r="H927" t="s">
        <v>26</v>
      </c>
      <c r="I927" t="s">
        <v>304</v>
      </c>
      <c r="J927" t="s">
        <v>326</v>
      </c>
      <c r="K927">
        <v>79</v>
      </c>
      <c r="L927" t="s">
        <v>306</v>
      </c>
      <c r="M927" t="s">
        <v>29</v>
      </c>
      <c r="N927" t="s">
        <v>29</v>
      </c>
      <c r="O927" t="s">
        <v>29</v>
      </c>
      <c r="P927">
        <v>28</v>
      </c>
      <c r="Q927" t="s">
        <v>307</v>
      </c>
      <c r="R927" t="s">
        <v>159</v>
      </c>
      <c r="S927" t="s">
        <v>335</v>
      </c>
      <c r="T927" t="s">
        <v>29</v>
      </c>
      <c r="U927" t="s">
        <v>29</v>
      </c>
      <c r="V927" s="6" t="s">
        <v>160</v>
      </c>
      <c r="W927" t="s">
        <v>29</v>
      </c>
      <c r="X927" t="s">
        <v>148</v>
      </c>
      <c r="Y927" s="6" t="s">
        <v>326</v>
      </c>
    </row>
    <row r="928" spans="2:25" x14ac:dyDescent="0.3">
      <c r="B928" s="5" t="s">
        <v>67</v>
      </c>
      <c r="C928" s="5" t="str">
        <f>VLOOKUP(B928,[1]물질정보!B:C,2,0)</f>
        <v>818-61-1</v>
      </c>
      <c r="D928" t="str">
        <f>VLOOKUP(B928,[1]물질정보!B:D,3,0)</f>
        <v>2-hydroxyethyl acrylate</v>
      </c>
      <c r="E928" t="str">
        <f>VLOOKUP(B928,[1]물질정보!B:E,4,0)</f>
        <v>C5H8O3</v>
      </c>
      <c r="F928" t="str">
        <f>VLOOKUP(B928,[1]물질정보!B:F,5,0)</f>
        <v>116.11 g/mol</v>
      </c>
      <c r="G928" s="5" t="str">
        <f>VLOOKUP(B928,[1]물질정보!B:G,6,0)</f>
        <v>C=CC(=O)OCCO</v>
      </c>
      <c r="H928" t="s">
        <v>26</v>
      </c>
      <c r="I928" t="s">
        <v>304</v>
      </c>
      <c r="J928" t="s">
        <v>326</v>
      </c>
      <c r="K928">
        <v>80</v>
      </c>
      <c r="L928" t="s">
        <v>306</v>
      </c>
      <c r="M928" t="s">
        <v>29</v>
      </c>
      <c r="N928" t="s">
        <v>29</v>
      </c>
      <c r="O928" t="s">
        <v>29</v>
      </c>
      <c r="P928">
        <v>28</v>
      </c>
      <c r="Q928" t="s">
        <v>307</v>
      </c>
      <c r="R928" t="s">
        <v>159</v>
      </c>
      <c r="S928" t="s">
        <v>334</v>
      </c>
      <c r="T928" t="s">
        <v>29</v>
      </c>
      <c r="U928" t="s">
        <v>29</v>
      </c>
      <c r="V928" s="6" t="s">
        <v>160</v>
      </c>
      <c r="W928" t="s">
        <v>29</v>
      </c>
      <c r="X928" t="s">
        <v>148</v>
      </c>
      <c r="Y928" s="6" t="s">
        <v>326</v>
      </c>
    </row>
    <row r="929" spans="2:25" x14ac:dyDescent="0.3">
      <c r="B929" s="5" t="s">
        <v>67</v>
      </c>
      <c r="C929" s="5" t="str">
        <f>VLOOKUP(B929,[1]물질정보!B:C,2,0)</f>
        <v>818-61-1</v>
      </c>
      <c r="D929" t="str">
        <f>VLOOKUP(B929,[1]물질정보!B:D,3,0)</f>
        <v>2-hydroxyethyl acrylate</v>
      </c>
      <c r="E929" t="str">
        <f>VLOOKUP(B929,[1]물질정보!B:E,4,0)</f>
        <v>C5H8O3</v>
      </c>
      <c r="F929" t="str">
        <f>VLOOKUP(B929,[1]물질정보!B:F,5,0)</f>
        <v>116.11 g/mol</v>
      </c>
      <c r="G929" s="5" t="str">
        <f>VLOOKUP(B929,[1]물질정보!B:G,6,0)</f>
        <v>C=CC(=O)OCCO</v>
      </c>
      <c r="H929" t="s">
        <v>26</v>
      </c>
      <c r="I929" t="s">
        <v>304</v>
      </c>
      <c r="J929" t="s">
        <v>326</v>
      </c>
      <c r="K929">
        <v>80</v>
      </c>
      <c r="L929" t="s">
        <v>306</v>
      </c>
      <c r="M929" t="s">
        <v>29</v>
      </c>
      <c r="N929" t="s">
        <v>29</v>
      </c>
      <c r="O929" t="s">
        <v>29</v>
      </c>
      <c r="P929">
        <v>28</v>
      </c>
      <c r="Q929" t="s">
        <v>307</v>
      </c>
      <c r="R929" t="s">
        <v>159</v>
      </c>
      <c r="S929" t="s">
        <v>335</v>
      </c>
      <c r="T929" t="s">
        <v>29</v>
      </c>
      <c r="U929" t="s">
        <v>29</v>
      </c>
      <c r="V929" s="6" t="s">
        <v>160</v>
      </c>
      <c r="W929" t="s">
        <v>29</v>
      </c>
      <c r="X929" t="s">
        <v>148</v>
      </c>
      <c r="Y929" s="6" t="s">
        <v>326</v>
      </c>
    </row>
    <row r="930" spans="2:25" x14ac:dyDescent="0.3">
      <c r="B930" s="5" t="s">
        <v>67</v>
      </c>
      <c r="C930" s="5" t="str">
        <f>VLOOKUP(B930,[1]물질정보!B:C,2,0)</f>
        <v>818-61-1</v>
      </c>
      <c r="D930" t="str">
        <f>VLOOKUP(B930,[1]물질정보!B:D,3,0)</f>
        <v>2-hydroxyethyl acrylate</v>
      </c>
      <c r="E930" t="str">
        <f>VLOOKUP(B930,[1]물질정보!B:E,4,0)</f>
        <v>C5H8O3</v>
      </c>
      <c r="F930" t="str">
        <f>VLOOKUP(B930,[1]물질정보!B:F,5,0)</f>
        <v>116.11 g/mol</v>
      </c>
      <c r="G930" s="5" t="str">
        <f>VLOOKUP(B930,[1]물질정보!B:G,6,0)</f>
        <v>C=CC(=O)OCCO</v>
      </c>
      <c r="H930" t="s">
        <v>26</v>
      </c>
      <c r="I930" t="s">
        <v>304</v>
      </c>
      <c r="J930" t="s">
        <v>305</v>
      </c>
      <c r="K930">
        <v>78</v>
      </c>
      <c r="L930" t="s">
        <v>306</v>
      </c>
      <c r="M930" t="s">
        <v>29</v>
      </c>
      <c r="N930" t="s">
        <v>29</v>
      </c>
      <c r="O930" t="s">
        <v>29</v>
      </c>
      <c r="P930">
        <v>28</v>
      </c>
      <c r="Q930" t="s">
        <v>307</v>
      </c>
      <c r="R930" t="s">
        <v>159</v>
      </c>
      <c r="S930" t="s">
        <v>316</v>
      </c>
      <c r="T930" t="s">
        <v>29</v>
      </c>
      <c r="U930" t="s">
        <v>29</v>
      </c>
      <c r="V930" s="6" t="s">
        <v>160</v>
      </c>
      <c r="W930" t="s">
        <v>29</v>
      </c>
      <c r="X930" t="s">
        <v>148</v>
      </c>
      <c r="Y930" s="6" t="s">
        <v>305</v>
      </c>
    </row>
    <row r="931" spans="2:25" x14ac:dyDescent="0.3">
      <c r="B931" s="5" t="s">
        <v>67</v>
      </c>
      <c r="C931" s="5" t="str">
        <f>VLOOKUP(B931,[1]물질정보!B:C,2,0)</f>
        <v>818-61-1</v>
      </c>
      <c r="D931" t="str">
        <f>VLOOKUP(B931,[1]물질정보!B:D,3,0)</f>
        <v>2-hydroxyethyl acrylate</v>
      </c>
      <c r="E931" t="str">
        <f>VLOOKUP(B931,[1]물질정보!B:E,4,0)</f>
        <v>C5H8O3</v>
      </c>
      <c r="F931" t="str">
        <f>VLOOKUP(B931,[1]물질정보!B:F,5,0)</f>
        <v>116.11 g/mol</v>
      </c>
      <c r="G931" s="5" t="str">
        <f>VLOOKUP(B931,[1]물질정보!B:G,6,0)</f>
        <v>C=CC(=O)OCCO</v>
      </c>
      <c r="H931" t="s">
        <v>26</v>
      </c>
      <c r="I931" t="s">
        <v>304</v>
      </c>
      <c r="J931" t="s">
        <v>336</v>
      </c>
      <c r="K931">
        <v>95</v>
      </c>
      <c r="L931" t="s">
        <v>306</v>
      </c>
      <c r="M931" t="s">
        <v>29</v>
      </c>
      <c r="N931" t="s">
        <v>29</v>
      </c>
      <c r="O931" t="s">
        <v>29</v>
      </c>
      <c r="P931">
        <v>15</v>
      </c>
      <c r="Q931" t="s">
        <v>307</v>
      </c>
      <c r="R931" t="s">
        <v>159</v>
      </c>
      <c r="S931" t="s">
        <v>332</v>
      </c>
      <c r="T931" t="s">
        <v>29</v>
      </c>
      <c r="U931" t="s">
        <v>29</v>
      </c>
      <c r="V931" s="6" t="s">
        <v>160</v>
      </c>
      <c r="W931" t="s">
        <v>29</v>
      </c>
      <c r="X931" t="s">
        <v>337</v>
      </c>
      <c r="Y931" s="6" t="s">
        <v>336</v>
      </c>
    </row>
    <row r="932" spans="2:25" x14ac:dyDescent="0.3">
      <c r="B932" s="5" t="s">
        <v>67</v>
      </c>
      <c r="C932" s="5" t="str">
        <f>VLOOKUP(B932,[1]물질정보!B:C,2,0)</f>
        <v>818-61-1</v>
      </c>
      <c r="D932" t="str">
        <f>VLOOKUP(B932,[1]물질정보!B:D,3,0)</f>
        <v>2-hydroxyethyl acrylate</v>
      </c>
      <c r="E932" t="str">
        <f>VLOOKUP(B932,[1]물질정보!B:E,4,0)</f>
        <v>C5H8O3</v>
      </c>
      <c r="F932" t="str">
        <f>VLOOKUP(B932,[1]물질정보!B:F,5,0)</f>
        <v>116.11 g/mol</v>
      </c>
      <c r="G932" s="5" t="str">
        <f>VLOOKUP(B932,[1]물질정보!B:G,6,0)</f>
        <v>C=CC(=O)OCCO</v>
      </c>
      <c r="H932" t="s">
        <v>26</v>
      </c>
      <c r="I932" t="s">
        <v>304</v>
      </c>
      <c r="J932" t="s">
        <v>305</v>
      </c>
      <c r="K932">
        <v>32.9</v>
      </c>
      <c r="L932" t="s">
        <v>306</v>
      </c>
      <c r="M932" t="s">
        <v>29</v>
      </c>
      <c r="N932" t="s">
        <v>29</v>
      </c>
      <c r="O932" t="s">
        <v>29</v>
      </c>
      <c r="P932">
        <v>28</v>
      </c>
      <c r="Q932" t="s">
        <v>307</v>
      </c>
      <c r="R932" t="s">
        <v>159</v>
      </c>
      <c r="S932" t="s">
        <v>308</v>
      </c>
      <c r="T932" t="s">
        <v>29</v>
      </c>
      <c r="U932" t="s">
        <v>29</v>
      </c>
      <c r="V932" s="6" t="s">
        <v>160</v>
      </c>
      <c r="W932" t="s">
        <v>29</v>
      </c>
      <c r="X932" t="s">
        <v>148</v>
      </c>
      <c r="Y932" s="6" t="s">
        <v>305</v>
      </c>
    </row>
    <row r="933" spans="2:25" x14ac:dyDescent="0.3">
      <c r="B933" s="5" t="s">
        <v>67</v>
      </c>
      <c r="C933" s="5" t="str">
        <f>VLOOKUP(B933,[1]물질정보!B:C,2,0)</f>
        <v>818-61-1</v>
      </c>
      <c r="D933" t="str">
        <f>VLOOKUP(B933,[1]물질정보!B:D,3,0)</f>
        <v>2-hydroxyethyl acrylate</v>
      </c>
      <c r="E933" t="str">
        <f>VLOOKUP(B933,[1]물질정보!B:E,4,0)</f>
        <v>C5H8O3</v>
      </c>
      <c r="F933" t="str">
        <f>VLOOKUP(B933,[1]물질정보!B:F,5,0)</f>
        <v>116.11 g/mol</v>
      </c>
      <c r="G933" s="5" t="str">
        <f>VLOOKUP(B933,[1]물질정보!B:G,6,0)</f>
        <v>C=CC(=O)OCCO</v>
      </c>
      <c r="H933" t="s">
        <v>26</v>
      </c>
      <c r="I933" t="s">
        <v>304</v>
      </c>
      <c r="J933" t="s">
        <v>29</v>
      </c>
      <c r="K933" t="s">
        <v>338</v>
      </c>
      <c r="L933" t="s">
        <v>306</v>
      </c>
      <c r="M933" t="s">
        <v>29</v>
      </c>
      <c r="N933" t="s">
        <v>29</v>
      </c>
      <c r="O933" t="s">
        <v>29</v>
      </c>
      <c r="P933">
        <v>4</v>
      </c>
      <c r="Q933" t="s">
        <v>313</v>
      </c>
      <c r="R933" t="s">
        <v>159</v>
      </c>
      <c r="S933" t="s">
        <v>339</v>
      </c>
      <c r="T933" t="s">
        <v>29</v>
      </c>
      <c r="U933" t="s">
        <v>29</v>
      </c>
      <c r="V933" s="6" t="s">
        <v>163</v>
      </c>
      <c r="W933" t="s">
        <v>29</v>
      </c>
      <c r="X933" t="s">
        <v>319</v>
      </c>
    </row>
    <row r="934" spans="2:25" x14ac:dyDescent="0.3">
      <c r="B934" s="5" t="s">
        <v>67</v>
      </c>
      <c r="C934" s="5" t="str">
        <f>VLOOKUP(B934,[1]물질정보!B:C,2,0)</f>
        <v>818-61-1</v>
      </c>
      <c r="D934" t="str">
        <f>VLOOKUP(B934,[1]물질정보!B:D,3,0)</f>
        <v>2-hydroxyethyl acrylate</v>
      </c>
      <c r="E934" t="str">
        <f>VLOOKUP(B934,[1]물질정보!B:E,4,0)</f>
        <v>C5H8O3</v>
      </c>
      <c r="F934" t="str">
        <f>VLOOKUP(B934,[1]물질정보!B:F,5,0)</f>
        <v>116.11 g/mol</v>
      </c>
      <c r="G934" s="5" t="str">
        <f>VLOOKUP(B934,[1]물질정보!B:G,6,0)</f>
        <v>C=CC(=O)OCCO</v>
      </c>
      <c r="H934" t="s">
        <v>26</v>
      </c>
      <c r="I934" t="s">
        <v>304</v>
      </c>
      <c r="J934" t="s">
        <v>340</v>
      </c>
      <c r="K934">
        <v>78</v>
      </c>
      <c r="L934" t="s">
        <v>306</v>
      </c>
      <c r="M934" t="s">
        <v>29</v>
      </c>
      <c r="N934" t="s">
        <v>29</v>
      </c>
      <c r="O934" t="s">
        <v>29</v>
      </c>
      <c r="P934">
        <v>4</v>
      </c>
      <c r="Q934" t="s">
        <v>313</v>
      </c>
      <c r="R934" t="s">
        <v>159</v>
      </c>
      <c r="S934" t="s">
        <v>314</v>
      </c>
      <c r="T934" t="s">
        <v>29</v>
      </c>
      <c r="U934" t="s">
        <v>29</v>
      </c>
      <c r="V934" s="6" t="s">
        <v>163</v>
      </c>
      <c r="W934" t="s">
        <v>29</v>
      </c>
      <c r="X934" t="s">
        <v>319</v>
      </c>
      <c r="Y934" s="6" t="s">
        <v>340</v>
      </c>
    </row>
    <row r="935" spans="2:25" x14ac:dyDescent="0.3">
      <c r="B935" s="5" t="s">
        <v>67</v>
      </c>
      <c r="C935" s="5" t="str">
        <f>VLOOKUP(B935,[1]물질정보!B:C,2,0)</f>
        <v>818-61-1</v>
      </c>
      <c r="D935" t="str">
        <f>VLOOKUP(B935,[1]물질정보!B:D,3,0)</f>
        <v>2-hydroxyethyl acrylate</v>
      </c>
      <c r="E935" t="str">
        <f>VLOOKUP(B935,[1]물질정보!B:E,4,0)</f>
        <v>C5H8O3</v>
      </c>
      <c r="F935" t="str">
        <f>VLOOKUP(B935,[1]물질정보!B:F,5,0)</f>
        <v>116.11 g/mol</v>
      </c>
      <c r="G935" s="5" t="str">
        <f>VLOOKUP(B935,[1]물질정보!B:G,6,0)</f>
        <v>C=CC(=O)OCCO</v>
      </c>
      <c r="H935" t="s">
        <v>26</v>
      </c>
      <c r="I935" t="s">
        <v>304</v>
      </c>
      <c r="J935" t="s">
        <v>29</v>
      </c>
      <c r="K935" t="s">
        <v>155</v>
      </c>
      <c r="L935" t="s">
        <v>29</v>
      </c>
      <c r="M935" t="s">
        <v>29</v>
      </c>
      <c r="N935" t="s">
        <v>29</v>
      </c>
      <c r="O935" t="s">
        <v>29</v>
      </c>
      <c r="P935" t="s">
        <v>29</v>
      </c>
      <c r="Q935" t="s">
        <v>29</v>
      </c>
      <c r="R935" t="s">
        <v>159</v>
      </c>
      <c r="S935" t="s">
        <v>29</v>
      </c>
      <c r="T935" t="s">
        <v>29</v>
      </c>
      <c r="U935" t="s">
        <v>29</v>
      </c>
      <c r="V935" s="6" t="s">
        <v>168</v>
      </c>
      <c r="W935" t="s">
        <v>29</v>
      </c>
      <c r="X935" t="s">
        <v>29</v>
      </c>
    </row>
    <row r="936" spans="2:25" x14ac:dyDescent="0.3">
      <c r="B936" s="5" t="s">
        <v>67</v>
      </c>
      <c r="C936" s="5" t="str">
        <f>VLOOKUP(B936,[1]물질정보!B:C,2,0)</f>
        <v>818-61-1</v>
      </c>
      <c r="D936" t="str">
        <f>VLOOKUP(B936,[1]물질정보!B:D,3,0)</f>
        <v>2-hydroxyethyl acrylate</v>
      </c>
      <c r="E936" t="str">
        <f>VLOOKUP(B936,[1]물질정보!B:E,4,0)</f>
        <v>C5H8O3</v>
      </c>
      <c r="F936" t="str">
        <f>VLOOKUP(B936,[1]물질정보!B:F,5,0)</f>
        <v>116.11 g/mol</v>
      </c>
      <c r="G936" s="5" t="str">
        <f>VLOOKUP(B936,[1]물질정보!B:G,6,0)</f>
        <v>C=CC(=O)OCCO</v>
      </c>
      <c r="H936" t="s">
        <v>26</v>
      </c>
      <c r="I936" t="s">
        <v>304</v>
      </c>
      <c r="J936" t="s">
        <v>29</v>
      </c>
      <c r="K936" t="s">
        <v>155</v>
      </c>
      <c r="L936" t="s">
        <v>29</v>
      </c>
      <c r="M936" t="s">
        <v>29</v>
      </c>
      <c r="N936" t="s">
        <v>29</v>
      </c>
      <c r="O936" t="s">
        <v>29</v>
      </c>
      <c r="P936" t="s">
        <v>29</v>
      </c>
      <c r="Q936" t="s">
        <v>29</v>
      </c>
      <c r="R936" t="s">
        <v>159</v>
      </c>
      <c r="S936" t="s">
        <v>29</v>
      </c>
      <c r="T936" t="s">
        <v>29</v>
      </c>
      <c r="U936" t="s">
        <v>29</v>
      </c>
      <c r="V936" s="6" t="s">
        <v>169</v>
      </c>
      <c r="W936" t="s">
        <v>29</v>
      </c>
      <c r="X936" t="s">
        <v>29</v>
      </c>
    </row>
    <row r="937" spans="2:25" x14ac:dyDescent="0.3">
      <c r="B937" s="5" t="s">
        <v>65</v>
      </c>
      <c r="C937" s="5" t="str">
        <f>VLOOKUP(B937,[1]물질정보!B:C,2,0)</f>
        <v>141-32-2</v>
      </c>
      <c r="D937" t="str">
        <f>VLOOKUP(B937,[1]물질정보!B:D,3,0)</f>
        <v>butyl acrylate</v>
      </c>
      <c r="E937" t="str">
        <f>VLOOKUP(B937,[1]물질정보!B:E,4,0)</f>
        <v>C7H12O2</v>
      </c>
      <c r="F937" t="str">
        <f>VLOOKUP(B937,[1]물질정보!B:F,5,0)</f>
        <v>128.169 g/mol</v>
      </c>
      <c r="G937" s="5" t="str">
        <f>VLOOKUP(B937,[1]물질정보!B:G,6,0)</f>
        <v>CCCCOC(=O)C=C</v>
      </c>
      <c r="H937" t="s">
        <v>26</v>
      </c>
      <c r="I937" t="s">
        <v>304</v>
      </c>
      <c r="J937" t="s">
        <v>333</v>
      </c>
      <c r="K937" t="s">
        <v>327</v>
      </c>
      <c r="L937" t="s">
        <v>306</v>
      </c>
      <c r="M937" t="s">
        <v>29</v>
      </c>
      <c r="N937" t="s">
        <v>29</v>
      </c>
      <c r="O937" t="s">
        <v>29</v>
      </c>
      <c r="P937">
        <v>28</v>
      </c>
      <c r="Q937" t="s">
        <v>307</v>
      </c>
      <c r="R937" t="s">
        <v>159</v>
      </c>
      <c r="S937" t="s">
        <v>341</v>
      </c>
      <c r="T937" t="s">
        <v>29</v>
      </c>
      <c r="U937" t="s">
        <v>29</v>
      </c>
      <c r="V937" s="6" t="s">
        <v>160</v>
      </c>
      <c r="W937" t="s">
        <v>29</v>
      </c>
      <c r="X937" t="s">
        <v>148</v>
      </c>
      <c r="Y937" s="6" t="s">
        <v>326</v>
      </c>
    </row>
    <row r="938" spans="2:25" x14ac:dyDescent="0.3">
      <c r="B938" s="5" t="s">
        <v>65</v>
      </c>
      <c r="C938" s="5" t="str">
        <f>VLOOKUP(B938,[1]물질정보!B:C,2,0)</f>
        <v>141-32-2</v>
      </c>
      <c r="D938" t="str">
        <f>VLOOKUP(B938,[1]물질정보!B:D,3,0)</f>
        <v>butyl acrylate</v>
      </c>
      <c r="E938" t="str">
        <f>VLOOKUP(B938,[1]물질정보!B:E,4,0)</f>
        <v>C7H12O2</v>
      </c>
      <c r="F938" t="str">
        <f>VLOOKUP(B938,[1]물질정보!B:F,5,0)</f>
        <v>128.169 g/mol</v>
      </c>
      <c r="G938" s="5" t="str">
        <f>VLOOKUP(B938,[1]물질정보!B:G,6,0)</f>
        <v>CCCCOC(=O)C=C</v>
      </c>
      <c r="H938" t="s">
        <v>26</v>
      </c>
      <c r="I938" t="s">
        <v>304</v>
      </c>
      <c r="J938" t="s">
        <v>342</v>
      </c>
      <c r="K938" t="s">
        <v>343</v>
      </c>
      <c r="L938" t="s">
        <v>306</v>
      </c>
      <c r="M938" t="s">
        <v>29</v>
      </c>
      <c r="N938" t="s">
        <v>29</v>
      </c>
      <c r="O938" t="s">
        <v>29</v>
      </c>
      <c r="P938">
        <v>14</v>
      </c>
      <c r="Q938" t="s">
        <v>307</v>
      </c>
      <c r="R938" t="s">
        <v>159</v>
      </c>
      <c r="S938" t="s">
        <v>316</v>
      </c>
      <c r="T938" t="s">
        <v>29</v>
      </c>
      <c r="U938" t="s">
        <v>29</v>
      </c>
      <c r="V938" s="6" t="s">
        <v>160</v>
      </c>
      <c r="W938" t="s">
        <v>29</v>
      </c>
      <c r="X938" t="s">
        <v>320</v>
      </c>
      <c r="Y938" s="6" t="s">
        <v>305</v>
      </c>
    </row>
    <row r="939" spans="2:25" x14ac:dyDescent="0.3">
      <c r="B939" s="5" t="s">
        <v>65</v>
      </c>
      <c r="C939" s="5" t="str">
        <f>VLOOKUP(B939,[1]물질정보!B:C,2,0)</f>
        <v>141-32-2</v>
      </c>
      <c r="D939" t="str">
        <f>VLOOKUP(B939,[1]물질정보!B:D,3,0)</f>
        <v>butyl acrylate</v>
      </c>
      <c r="E939" t="str">
        <f>VLOOKUP(B939,[1]물질정보!B:E,4,0)</f>
        <v>C7H12O2</v>
      </c>
      <c r="F939" t="str">
        <f>VLOOKUP(B939,[1]물질정보!B:F,5,0)</f>
        <v>128.169 g/mol</v>
      </c>
      <c r="G939" s="5" t="str">
        <f>VLOOKUP(B939,[1]물질정보!B:G,6,0)</f>
        <v>CCCCOC(=O)C=C</v>
      </c>
      <c r="H939" t="s">
        <v>26</v>
      </c>
      <c r="I939" t="s">
        <v>304</v>
      </c>
      <c r="J939" t="s">
        <v>305</v>
      </c>
      <c r="K939" t="s">
        <v>329</v>
      </c>
      <c r="L939" t="s">
        <v>306</v>
      </c>
      <c r="M939" t="s">
        <v>29</v>
      </c>
      <c r="N939" t="s">
        <v>29</v>
      </c>
      <c r="O939" t="s">
        <v>29</v>
      </c>
      <c r="P939">
        <v>28</v>
      </c>
      <c r="Q939" t="s">
        <v>307</v>
      </c>
      <c r="R939" t="s">
        <v>159</v>
      </c>
      <c r="S939" t="s">
        <v>308</v>
      </c>
      <c r="T939" t="s">
        <v>29</v>
      </c>
      <c r="U939" t="s">
        <v>29</v>
      </c>
      <c r="V939" s="6" t="s">
        <v>160</v>
      </c>
      <c r="W939" t="s">
        <v>29</v>
      </c>
      <c r="X939" t="s">
        <v>148</v>
      </c>
      <c r="Y939" s="6" t="s">
        <v>305</v>
      </c>
    </row>
    <row r="940" spans="2:25" x14ac:dyDescent="0.3">
      <c r="B940" s="5" t="s">
        <v>65</v>
      </c>
      <c r="C940" s="5" t="str">
        <f>VLOOKUP(B940,[1]물질정보!B:C,2,0)</f>
        <v>141-32-2</v>
      </c>
      <c r="D940" t="str">
        <f>VLOOKUP(B940,[1]물질정보!B:D,3,0)</f>
        <v>butyl acrylate</v>
      </c>
      <c r="E940" t="str">
        <f>VLOOKUP(B940,[1]물질정보!B:E,4,0)</f>
        <v>C7H12O2</v>
      </c>
      <c r="F940" t="str">
        <f>VLOOKUP(B940,[1]물질정보!B:F,5,0)</f>
        <v>128.169 g/mol</v>
      </c>
      <c r="G940" s="5" t="str">
        <f>VLOOKUP(B940,[1]물질정보!B:G,6,0)</f>
        <v>CCCCOC(=O)C=C</v>
      </c>
      <c r="H940" t="s">
        <v>26</v>
      </c>
      <c r="I940" t="s">
        <v>304</v>
      </c>
      <c r="J940" t="s">
        <v>317</v>
      </c>
      <c r="K940">
        <v>61.3</v>
      </c>
      <c r="L940" t="s">
        <v>306</v>
      </c>
      <c r="M940" t="s">
        <v>29</v>
      </c>
      <c r="N940" t="s">
        <v>29</v>
      </c>
      <c r="O940" t="s">
        <v>29</v>
      </c>
      <c r="P940">
        <v>14</v>
      </c>
      <c r="Q940" t="s">
        <v>307</v>
      </c>
      <c r="R940" t="s">
        <v>159</v>
      </c>
      <c r="S940" t="s">
        <v>314</v>
      </c>
      <c r="T940" t="s">
        <v>29</v>
      </c>
      <c r="U940" t="s">
        <v>29</v>
      </c>
      <c r="V940" s="6" t="s">
        <v>163</v>
      </c>
      <c r="W940" t="s">
        <v>29</v>
      </c>
      <c r="X940" t="s">
        <v>320</v>
      </c>
      <c r="Y940" s="6" t="s">
        <v>317</v>
      </c>
    </row>
    <row r="941" spans="2:25" x14ac:dyDescent="0.3">
      <c r="B941" s="5" t="s">
        <v>65</v>
      </c>
      <c r="C941" s="5" t="str">
        <f>VLOOKUP(B941,[1]물질정보!B:C,2,0)</f>
        <v>141-32-2</v>
      </c>
      <c r="D941" t="str">
        <f>VLOOKUP(B941,[1]물질정보!B:D,3,0)</f>
        <v>butyl acrylate</v>
      </c>
      <c r="E941" t="str">
        <f>VLOOKUP(B941,[1]물질정보!B:E,4,0)</f>
        <v>C7H12O2</v>
      </c>
      <c r="F941" t="str">
        <f>VLOOKUP(B941,[1]물질정보!B:F,5,0)</f>
        <v>128.169 g/mol</v>
      </c>
      <c r="G941" s="5" t="str">
        <f>VLOOKUP(B941,[1]물질정보!B:G,6,0)</f>
        <v>CCCCOC(=O)C=C</v>
      </c>
      <c r="H941" t="s">
        <v>26</v>
      </c>
      <c r="I941" t="s">
        <v>304</v>
      </c>
      <c r="J941" t="s">
        <v>317</v>
      </c>
      <c r="K941">
        <v>40</v>
      </c>
      <c r="L941" t="s">
        <v>306</v>
      </c>
      <c r="M941" t="s">
        <v>29</v>
      </c>
      <c r="N941" t="s">
        <v>29</v>
      </c>
      <c r="O941" t="s">
        <v>29</v>
      </c>
      <c r="P941" t="s">
        <v>29</v>
      </c>
      <c r="Q941" t="s">
        <v>29</v>
      </c>
      <c r="R941" t="s">
        <v>159</v>
      </c>
      <c r="S941" t="s">
        <v>344</v>
      </c>
      <c r="T941" t="s">
        <v>29</v>
      </c>
      <c r="U941" t="s">
        <v>29</v>
      </c>
      <c r="V941" s="6" t="s">
        <v>163</v>
      </c>
      <c r="W941" t="s">
        <v>29</v>
      </c>
      <c r="X941" t="s">
        <v>29</v>
      </c>
      <c r="Y941" s="6" t="s">
        <v>317</v>
      </c>
    </row>
    <row r="942" spans="2:25" x14ac:dyDescent="0.3">
      <c r="B942" s="5" t="s">
        <v>65</v>
      </c>
      <c r="C942" s="5" t="str">
        <f>VLOOKUP(B942,[1]물질정보!B:C,2,0)</f>
        <v>141-32-2</v>
      </c>
      <c r="D942" t="str">
        <f>VLOOKUP(B942,[1]물질정보!B:D,3,0)</f>
        <v>butyl acrylate</v>
      </c>
      <c r="E942" t="str">
        <f>VLOOKUP(B942,[1]물질정보!B:E,4,0)</f>
        <v>C7H12O2</v>
      </c>
      <c r="F942" t="str">
        <f>VLOOKUP(B942,[1]물질정보!B:F,5,0)</f>
        <v>128.169 g/mol</v>
      </c>
      <c r="G942" s="5" t="str">
        <f>VLOOKUP(B942,[1]물질정보!B:G,6,0)</f>
        <v>CCCCOC(=O)C=C</v>
      </c>
      <c r="H942" t="s">
        <v>26</v>
      </c>
      <c r="I942" t="s">
        <v>304</v>
      </c>
      <c r="J942" t="s">
        <v>317</v>
      </c>
      <c r="K942">
        <v>56</v>
      </c>
      <c r="L942" t="s">
        <v>306</v>
      </c>
      <c r="M942" t="s">
        <v>29</v>
      </c>
      <c r="N942" t="s">
        <v>29</v>
      </c>
      <c r="O942" t="s">
        <v>29</v>
      </c>
      <c r="P942" t="s">
        <v>29</v>
      </c>
      <c r="Q942" t="s">
        <v>29</v>
      </c>
      <c r="R942" t="s">
        <v>159</v>
      </c>
      <c r="S942" t="s">
        <v>344</v>
      </c>
      <c r="T942" t="s">
        <v>29</v>
      </c>
      <c r="U942" t="s">
        <v>29</v>
      </c>
      <c r="V942" s="6" t="s">
        <v>163</v>
      </c>
      <c r="W942" t="s">
        <v>29</v>
      </c>
      <c r="X942" t="s">
        <v>29</v>
      </c>
      <c r="Y942" s="6" t="s">
        <v>317</v>
      </c>
    </row>
    <row r="943" spans="2:25" x14ac:dyDescent="0.3">
      <c r="B943" s="5" t="s">
        <v>65</v>
      </c>
      <c r="C943" s="5" t="str">
        <f>VLOOKUP(B943,[1]물질정보!B:C,2,0)</f>
        <v>141-32-2</v>
      </c>
      <c r="D943" t="str">
        <f>VLOOKUP(B943,[1]물질정보!B:D,3,0)</f>
        <v>butyl acrylate</v>
      </c>
      <c r="E943" t="str">
        <f>VLOOKUP(B943,[1]물질정보!B:E,4,0)</f>
        <v>C7H12O2</v>
      </c>
      <c r="F943" t="str">
        <f>VLOOKUP(B943,[1]물질정보!B:F,5,0)</f>
        <v>128.169 g/mol</v>
      </c>
      <c r="G943" s="5" t="str">
        <f>VLOOKUP(B943,[1]물질정보!B:G,6,0)</f>
        <v>CCCCOC(=O)C=C</v>
      </c>
      <c r="H943" t="s">
        <v>26</v>
      </c>
      <c r="I943" t="s">
        <v>304</v>
      </c>
      <c r="J943" t="s">
        <v>29</v>
      </c>
      <c r="K943" t="s">
        <v>155</v>
      </c>
      <c r="L943" t="s">
        <v>29</v>
      </c>
      <c r="M943" t="s">
        <v>29</v>
      </c>
      <c r="N943" t="s">
        <v>29</v>
      </c>
      <c r="O943" t="s">
        <v>29</v>
      </c>
      <c r="P943" t="s">
        <v>29</v>
      </c>
      <c r="Q943" t="s">
        <v>29</v>
      </c>
      <c r="R943" t="s">
        <v>159</v>
      </c>
      <c r="S943" t="s">
        <v>29</v>
      </c>
      <c r="T943" t="s">
        <v>29</v>
      </c>
      <c r="U943" t="s">
        <v>29</v>
      </c>
      <c r="V943" s="6" t="s">
        <v>168</v>
      </c>
      <c r="W943" t="s">
        <v>29</v>
      </c>
      <c r="X943" t="s">
        <v>29</v>
      </c>
    </row>
    <row r="944" spans="2:25" x14ac:dyDescent="0.3">
      <c r="B944" s="5" t="s">
        <v>65</v>
      </c>
      <c r="C944" s="5" t="str">
        <f>VLOOKUP(B944,[1]물질정보!B:C,2,0)</f>
        <v>141-32-2</v>
      </c>
      <c r="D944" t="str">
        <f>VLOOKUP(B944,[1]물질정보!B:D,3,0)</f>
        <v>butyl acrylate</v>
      </c>
      <c r="E944" t="str">
        <f>VLOOKUP(B944,[1]물질정보!B:E,4,0)</f>
        <v>C7H12O2</v>
      </c>
      <c r="F944" t="str">
        <f>VLOOKUP(B944,[1]물질정보!B:F,5,0)</f>
        <v>128.169 g/mol</v>
      </c>
      <c r="G944" s="5" t="str">
        <f>VLOOKUP(B944,[1]물질정보!B:G,6,0)</f>
        <v>CCCCOC(=O)C=C</v>
      </c>
      <c r="H944" t="s">
        <v>26</v>
      </c>
      <c r="I944" t="s">
        <v>304</v>
      </c>
      <c r="J944" t="s">
        <v>29</v>
      </c>
      <c r="K944" t="s">
        <v>155</v>
      </c>
      <c r="L944" t="s">
        <v>29</v>
      </c>
      <c r="M944" t="s">
        <v>29</v>
      </c>
      <c r="N944" t="s">
        <v>29</v>
      </c>
      <c r="O944" t="s">
        <v>29</v>
      </c>
      <c r="P944" t="s">
        <v>29</v>
      </c>
      <c r="Q944" t="s">
        <v>29</v>
      </c>
      <c r="R944" t="s">
        <v>159</v>
      </c>
      <c r="S944" t="s">
        <v>29</v>
      </c>
      <c r="T944" t="s">
        <v>29</v>
      </c>
      <c r="U944" t="s">
        <v>29</v>
      </c>
      <c r="V944" s="6" t="s">
        <v>169</v>
      </c>
      <c r="W944" t="s">
        <v>29</v>
      </c>
      <c r="X944" t="s">
        <v>29</v>
      </c>
    </row>
    <row r="945" spans="2:25" x14ac:dyDescent="0.3">
      <c r="B945" s="5" t="s">
        <v>64</v>
      </c>
      <c r="C945" s="5" t="str">
        <f>VLOOKUP(B945,[1]물질정보!B:C,2,0)</f>
        <v>2478-10-6</v>
      </c>
      <c r="D945" t="str">
        <f>VLOOKUP(B945,[1]물질정보!B:D,3,0)</f>
        <v>4-hydroxybutyl acrylate</v>
      </c>
      <c r="E945" t="str">
        <f>VLOOKUP(B945,[1]물질정보!B:E,4,0)</f>
        <v>C7H12O3</v>
      </c>
      <c r="F945" t="str">
        <f>VLOOKUP(B945,[1]물질정보!B:F,5,0)</f>
        <v>144.17 g/mol</v>
      </c>
      <c r="G945" s="5" t="str">
        <f>VLOOKUP(B945,[1]물질정보!B:G,6,0)</f>
        <v>C=CC(=O)OCCCCO</v>
      </c>
      <c r="H945" t="s">
        <v>26</v>
      </c>
      <c r="I945" t="s">
        <v>304</v>
      </c>
      <c r="J945" t="s">
        <v>345</v>
      </c>
      <c r="K945" t="s">
        <v>346</v>
      </c>
      <c r="L945" t="s">
        <v>306</v>
      </c>
      <c r="M945" t="s">
        <v>29</v>
      </c>
      <c r="N945" t="s">
        <v>29</v>
      </c>
      <c r="O945" t="s">
        <v>29</v>
      </c>
      <c r="P945">
        <v>21</v>
      </c>
      <c r="Q945" t="s">
        <v>307</v>
      </c>
      <c r="R945" t="s">
        <v>159</v>
      </c>
      <c r="S945" t="s">
        <v>347</v>
      </c>
      <c r="T945" t="s">
        <v>29</v>
      </c>
      <c r="U945" t="s">
        <v>29</v>
      </c>
      <c r="V945" s="6" t="s">
        <v>160</v>
      </c>
      <c r="W945" t="s">
        <v>29</v>
      </c>
      <c r="X945" t="s">
        <v>309</v>
      </c>
      <c r="Y945" s="6" t="s">
        <v>336</v>
      </c>
    </row>
    <row r="946" spans="2:25" x14ac:dyDescent="0.3">
      <c r="B946" s="5" t="s">
        <v>64</v>
      </c>
      <c r="C946" s="5" t="str">
        <f>VLOOKUP(B946,[1]물질정보!B:C,2,0)</f>
        <v>2478-10-6</v>
      </c>
      <c r="D946" t="str">
        <f>VLOOKUP(B946,[1]물질정보!B:D,3,0)</f>
        <v>4-hydroxybutyl acrylate</v>
      </c>
      <c r="E946" t="str">
        <f>VLOOKUP(B946,[1]물질정보!B:E,4,0)</f>
        <v>C7H12O3</v>
      </c>
      <c r="F946" t="str">
        <f>VLOOKUP(B946,[1]물질정보!B:F,5,0)</f>
        <v>144.17 g/mol</v>
      </c>
      <c r="G946" s="5" t="str">
        <f>VLOOKUP(B946,[1]물질정보!B:G,6,0)</f>
        <v>C=CC(=O)OCCCCO</v>
      </c>
      <c r="H946" t="s">
        <v>26</v>
      </c>
      <c r="I946" t="s">
        <v>304</v>
      </c>
      <c r="J946" t="s">
        <v>336</v>
      </c>
      <c r="K946" t="s">
        <v>346</v>
      </c>
      <c r="L946" t="s">
        <v>306</v>
      </c>
      <c r="M946" t="s">
        <v>29</v>
      </c>
      <c r="N946" t="s">
        <v>29</v>
      </c>
      <c r="O946" t="s">
        <v>29</v>
      </c>
      <c r="P946">
        <v>21</v>
      </c>
      <c r="Q946" t="s">
        <v>307</v>
      </c>
      <c r="R946" t="s">
        <v>159</v>
      </c>
      <c r="S946" t="s">
        <v>348</v>
      </c>
      <c r="T946" t="s">
        <v>29</v>
      </c>
      <c r="U946" t="s">
        <v>29</v>
      </c>
      <c r="V946" s="6" t="s">
        <v>160</v>
      </c>
      <c r="W946" t="s">
        <v>29</v>
      </c>
      <c r="X946" t="s">
        <v>309</v>
      </c>
      <c r="Y946" s="6" t="s">
        <v>336</v>
      </c>
    </row>
    <row r="947" spans="2:25" x14ac:dyDescent="0.3">
      <c r="B947" s="5" t="s">
        <v>64</v>
      </c>
      <c r="C947" s="5" t="str">
        <f>VLOOKUP(B947,[1]물질정보!B:C,2,0)</f>
        <v>2478-10-6</v>
      </c>
      <c r="D947" t="str">
        <f>VLOOKUP(B947,[1]물질정보!B:D,3,0)</f>
        <v>4-hydroxybutyl acrylate</v>
      </c>
      <c r="E947" t="str">
        <f>VLOOKUP(B947,[1]물질정보!B:E,4,0)</f>
        <v>C7H12O3</v>
      </c>
      <c r="F947" t="str">
        <f>VLOOKUP(B947,[1]물질정보!B:F,5,0)</f>
        <v>144.17 g/mol</v>
      </c>
      <c r="G947" s="5" t="str">
        <f>VLOOKUP(B947,[1]물질정보!B:G,6,0)</f>
        <v>C=CC(=O)OCCCCO</v>
      </c>
      <c r="H947" t="s">
        <v>26</v>
      </c>
      <c r="I947" t="s">
        <v>304</v>
      </c>
      <c r="J947" t="s">
        <v>336</v>
      </c>
      <c r="K947" t="s">
        <v>346</v>
      </c>
      <c r="L947" t="s">
        <v>306</v>
      </c>
      <c r="M947" t="s">
        <v>29</v>
      </c>
      <c r="N947" t="s">
        <v>29</v>
      </c>
      <c r="O947" t="s">
        <v>29</v>
      </c>
      <c r="P947">
        <v>21</v>
      </c>
      <c r="Q947" t="s">
        <v>307</v>
      </c>
      <c r="R947" t="s">
        <v>159</v>
      </c>
      <c r="S947" t="s">
        <v>349</v>
      </c>
      <c r="T947" t="s">
        <v>29</v>
      </c>
      <c r="U947" t="s">
        <v>29</v>
      </c>
      <c r="V947" s="6" t="s">
        <v>160</v>
      </c>
      <c r="W947" t="s">
        <v>29</v>
      </c>
      <c r="X947" t="s">
        <v>309</v>
      </c>
      <c r="Y947" s="6" t="s">
        <v>336</v>
      </c>
    </row>
    <row r="948" spans="2:25" x14ac:dyDescent="0.3">
      <c r="B948" s="5" t="s">
        <v>64</v>
      </c>
      <c r="C948" s="5" t="str">
        <f>VLOOKUP(B948,[1]물질정보!B:C,2,0)</f>
        <v>2478-10-6</v>
      </c>
      <c r="D948" t="str">
        <f>VLOOKUP(B948,[1]물질정보!B:D,3,0)</f>
        <v>4-hydroxybutyl acrylate</v>
      </c>
      <c r="E948" t="str">
        <f>VLOOKUP(B948,[1]물질정보!B:E,4,0)</f>
        <v>C7H12O3</v>
      </c>
      <c r="F948" t="str">
        <f>VLOOKUP(B948,[1]물질정보!B:F,5,0)</f>
        <v>144.17 g/mol</v>
      </c>
      <c r="G948" s="5" t="str">
        <f>VLOOKUP(B948,[1]물질정보!B:G,6,0)</f>
        <v>C=CC(=O)OCCCCO</v>
      </c>
      <c r="H948" t="s">
        <v>26</v>
      </c>
      <c r="I948" t="s">
        <v>304</v>
      </c>
      <c r="J948" t="s">
        <v>336</v>
      </c>
      <c r="K948" t="s">
        <v>346</v>
      </c>
      <c r="L948" t="s">
        <v>306</v>
      </c>
      <c r="M948" t="s">
        <v>29</v>
      </c>
      <c r="N948" t="s">
        <v>29</v>
      </c>
      <c r="O948" t="s">
        <v>29</v>
      </c>
      <c r="P948">
        <v>8</v>
      </c>
      <c r="Q948" t="s">
        <v>307</v>
      </c>
      <c r="R948" t="s">
        <v>159</v>
      </c>
      <c r="S948" t="s">
        <v>332</v>
      </c>
      <c r="T948" t="s">
        <v>29</v>
      </c>
      <c r="U948" t="s">
        <v>29</v>
      </c>
      <c r="V948" s="6" t="s">
        <v>29</v>
      </c>
      <c r="W948" t="s">
        <v>29</v>
      </c>
      <c r="X948" t="s">
        <v>350</v>
      </c>
      <c r="Y948" s="6" t="s">
        <v>336</v>
      </c>
    </row>
    <row r="949" spans="2:25" x14ac:dyDescent="0.3">
      <c r="B949" s="5" t="s">
        <v>64</v>
      </c>
      <c r="C949" s="5" t="str">
        <f>VLOOKUP(B949,[1]물질정보!B:C,2,0)</f>
        <v>2478-10-6</v>
      </c>
      <c r="D949" t="str">
        <f>VLOOKUP(B949,[1]물질정보!B:D,3,0)</f>
        <v>4-hydroxybutyl acrylate</v>
      </c>
      <c r="E949" t="str">
        <f>VLOOKUP(B949,[1]물질정보!B:E,4,0)</f>
        <v>C7H12O3</v>
      </c>
      <c r="F949" t="str">
        <f>VLOOKUP(B949,[1]물질정보!B:F,5,0)</f>
        <v>144.17 g/mol</v>
      </c>
      <c r="G949" s="5" t="str">
        <f>VLOOKUP(B949,[1]물질정보!B:G,6,0)</f>
        <v>C=CC(=O)OCCCCO</v>
      </c>
      <c r="H949" t="s">
        <v>26</v>
      </c>
      <c r="I949" t="s">
        <v>304</v>
      </c>
      <c r="J949" t="s">
        <v>336</v>
      </c>
      <c r="K949" t="s">
        <v>346</v>
      </c>
      <c r="L949" t="s">
        <v>306</v>
      </c>
      <c r="M949" t="s">
        <v>29</v>
      </c>
      <c r="N949" t="s">
        <v>29</v>
      </c>
      <c r="O949" t="s">
        <v>29</v>
      </c>
      <c r="P949">
        <v>8</v>
      </c>
      <c r="Q949" t="s">
        <v>307</v>
      </c>
      <c r="R949" t="s">
        <v>159</v>
      </c>
      <c r="S949" t="s">
        <v>29</v>
      </c>
      <c r="T949" t="s">
        <v>29</v>
      </c>
      <c r="U949" t="s">
        <v>29</v>
      </c>
      <c r="V949" s="6" t="s">
        <v>29</v>
      </c>
      <c r="W949" t="s">
        <v>29</v>
      </c>
      <c r="X949" t="s">
        <v>350</v>
      </c>
      <c r="Y949" s="6" t="s">
        <v>336</v>
      </c>
    </row>
    <row r="950" spans="2:25" x14ac:dyDescent="0.3">
      <c r="B950" s="5" t="s">
        <v>59</v>
      </c>
      <c r="C950" s="5" t="str">
        <f>VLOOKUP(B950,[1]물질정보!B:C,2,0)</f>
        <v>2499-95-8</v>
      </c>
      <c r="D950" t="str">
        <f>VLOOKUP(B950,[1]물질정보!B:D,3,0)</f>
        <v>hexyl acrylate</v>
      </c>
      <c r="E950" t="str">
        <f>VLOOKUP(B950,[1]물질정보!B:E,4,0)</f>
        <v>C9H16O2</v>
      </c>
      <c r="F950" t="str">
        <f>VLOOKUP(B950,[1]물질정보!B:F,5,0)</f>
        <v>156.22 g/mol</v>
      </c>
      <c r="G950" s="5" t="str">
        <f>VLOOKUP(B950,[1]물질정보!B:G,6,0)</f>
        <v>CCCCCCOC(=O)C=C</v>
      </c>
      <c r="H950" t="s">
        <v>26</v>
      </c>
      <c r="I950" t="s">
        <v>304</v>
      </c>
      <c r="J950" t="s">
        <v>305</v>
      </c>
      <c r="K950">
        <v>0.33</v>
      </c>
      <c r="L950" t="s">
        <v>306</v>
      </c>
      <c r="M950" t="s">
        <v>29</v>
      </c>
      <c r="N950" t="s">
        <v>29</v>
      </c>
      <c r="O950" t="s">
        <v>29</v>
      </c>
      <c r="P950">
        <v>2</v>
      </c>
      <c r="Q950" t="s">
        <v>307</v>
      </c>
      <c r="R950" t="s">
        <v>159</v>
      </c>
      <c r="S950" t="s">
        <v>351</v>
      </c>
      <c r="T950" t="s">
        <v>29</v>
      </c>
      <c r="U950" t="s">
        <v>29</v>
      </c>
      <c r="V950" s="6" t="s">
        <v>160</v>
      </c>
      <c r="W950" t="s">
        <v>29</v>
      </c>
      <c r="X950" t="s">
        <v>352</v>
      </c>
      <c r="Y950" s="6" t="s">
        <v>305</v>
      </c>
    </row>
    <row r="951" spans="2:25" x14ac:dyDescent="0.3">
      <c r="B951" s="5" t="s">
        <v>59</v>
      </c>
      <c r="C951" s="5" t="str">
        <f>VLOOKUP(B951,[1]물질정보!B:C,2,0)</f>
        <v>2499-95-8</v>
      </c>
      <c r="D951" t="str">
        <f>VLOOKUP(B951,[1]물질정보!B:D,3,0)</f>
        <v>hexyl acrylate</v>
      </c>
      <c r="E951" t="str">
        <f>VLOOKUP(B951,[1]물질정보!B:E,4,0)</f>
        <v>C9H16O2</v>
      </c>
      <c r="F951" t="str">
        <f>VLOOKUP(B951,[1]물질정보!B:F,5,0)</f>
        <v>156.22 g/mol</v>
      </c>
      <c r="G951" s="5" t="str">
        <f>VLOOKUP(B951,[1]물질정보!B:G,6,0)</f>
        <v>CCCCCCOC(=O)C=C</v>
      </c>
      <c r="H951" t="s">
        <v>26</v>
      </c>
      <c r="I951" t="s">
        <v>304</v>
      </c>
      <c r="J951" t="s">
        <v>305</v>
      </c>
      <c r="K951">
        <v>17.23</v>
      </c>
      <c r="L951" t="s">
        <v>306</v>
      </c>
      <c r="M951" t="s">
        <v>29</v>
      </c>
      <c r="N951" t="s">
        <v>29</v>
      </c>
      <c r="O951" t="s">
        <v>29</v>
      </c>
      <c r="P951">
        <v>3</v>
      </c>
      <c r="Q951" t="s">
        <v>307</v>
      </c>
      <c r="R951" t="s">
        <v>159</v>
      </c>
      <c r="S951" t="s">
        <v>351</v>
      </c>
      <c r="T951" t="s">
        <v>29</v>
      </c>
      <c r="U951" t="s">
        <v>29</v>
      </c>
      <c r="V951" s="6" t="s">
        <v>160</v>
      </c>
      <c r="W951" t="s">
        <v>29</v>
      </c>
      <c r="X951" t="s">
        <v>353</v>
      </c>
      <c r="Y951" s="6" t="s">
        <v>305</v>
      </c>
    </row>
    <row r="952" spans="2:25" x14ac:dyDescent="0.3">
      <c r="B952" s="5" t="s">
        <v>59</v>
      </c>
      <c r="C952" s="5" t="str">
        <f>VLOOKUP(B952,[1]물질정보!B:C,2,0)</f>
        <v>2499-95-8</v>
      </c>
      <c r="D952" t="str">
        <f>VLOOKUP(B952,[1]물질정보!B:D,3,0)</f>
        <v>hexyl acrylate</v>
      </c>
      <c r="E952" t="str">
        <f>VLOOKUP(B952,[1]물질정보!B:E,4,0)</f>
        <v>C9H16O2</v>
      </c>
      <c r="F952" t="str">
        <f>VLOOKUP(B952,[1]물질정보!B:F,5,0)</f>
        <v>156.22 g/mol</v>
      </c>
      <c r="G952" s="5" t="str">
        <f>VLOOKUP(B952,[1]물질정보!B:G,6,0)</f>
        <v>CCCCCCOC(=O)C=C</v>
      </c>
      <c r="H952" t="s">
        <v>26</v>
      </c>
      <c r="I952" t="s">
        <v>304</v>
      </c>
      <c r="J952" t="s">
        <v>305</v>
      </c>
      <c r="K952">
        <v>59.95</v>
      </c>
      <c r="L952" t="s">
        <v>306</v>
      </c>
      <c r="M952" t="s">
        <v>29</v>
      </c>
      <c r="N952" t="s">
        <v>29</v>
      </c>
      <c r="O952" t="s">
        <v>29</v>
      </c>
      <c r="P952">
        <v>11</v>
      </c>
      <c r="Q952" t="s">
        <v>307</v>
      </c>
      <c r="R952" t="s">
        <v>159</v>
      </c>
      <c r="S952" t="s">
        <v>351</v>
      </c>
      <c r="T952" t="s">
        <v>29</v>
      </c>
      <c r="U952" t="s">
        <v>29</v>
      </c>
      <c r="V952" s="6" t="s">
        <v>160</v>
      </c>
      <c r="W952" t="s">
        <v>29</v>
      </c>
      <c r="X952" t="s">
        <v>325</v>
      </c>
      <c r="Y952" s="6" t="s">
        <v>305</v>
      </c>
    </row>
    <row r="953" spans="2:25" x14ac:dyDescent="0.3">
      <c r="B953" s="5" t="s">
        <v>59</v>
      </c>
      <c r="C953" s="5" t="str">
        <f>VLOOKUP(B953,[1]물질정보!B:C,2,0)</f>
        <v>2499-95-8</v>
      </c>
      <c r="D953" t="str">
        <f>VLOOKUP(B953,[1]물질정보!B:D,3,0)</f>
        <v>hexyl acrylate</v>
      </c>
      <c r="E953" t="str">
        <f>VLOOKUP(B953,[1]물질정보!B:E,4,0)</f>
        <v>C9H16O2</v>
      </c>
      <c r="F953" t="str">
        <f>VLOOKUP(B953,[1]물질정보!B:F,5,0)</f>
        <v>156.22 g/mol</v>
      </c>
      <c r="G953" s="5" t="str">
        <f>VLOOKUP(B953,[1]물질정보!B:G,6,0)</f>
        <v>CCCCCCOC(=O)C=C</v>
      </c>
      <c r="H953" t="s">
        <v>26</v>
      </c>
      <c r="I953" t="s">
        <v>304</v>
      </c>
      <c r="J953" t="s">
        <v>305</v>
      </c>
      <c r="K953">
        <v>76.2</v>
      </c>
      <c r="L953" t="s">
        <v>306</v>
      </c>
      <c r="M953" t="s">
        <v>29</v>
      </c>
      <c r="N953" t="s">
        <v>29</v>
      </c>
      <c r="O953" t="s">
        <v>29</v>
      </c>
      <c r="P953">
        <v>21</v>
      </c>
      <c r="Q953" t="s">
        <v>307</v>
      </c>
      <c r="R953" t="s">
        <v>159</v>
      </c>
      <c r="S953" t="s">
        <v>351</v>
      </c>
      <c r="T953" t="s">
        <v>29</v>
      </c>
      <c r="U953" t="s">
        <v>29</v>
      </c>
      <c r="V953" s="6" t="s">
        <v>160</v>
      </c>
      <c r="W953" t="s">
        <v>29</v>
      </c>
      <c r="X953" t="s">
        <v>309</v>
      </c>
      <c r="Y953" s="6" t="s">
        <v>305</v>
      </c>
    </row>
    <row r="954" spans="2:25" x14ac:dyDescent="0.3">
      <c r="B954" s="5" t="s">
        <v>59</v>
      </c>
      <c r="C954" s="5" t="str">
        <f>VLOOKUP(B954,[1]물질정보!B:C,2,0)</f>
        <v>2499-95-8</v>
      </c>
      <c r="D954" t="str">
        <f>VLOOKUP(B954,[1]물질정보!B:D,3,0)</f>
        <v>hexyl acrylate</v>
      </c>
      <c r="E954" t="str">
        <f>VLOOKUP(B954,[1]물질정보!B:E,4,0)</f>
        <v>C9H16O2</v>
      </c>
      <c r="F954" t="str">
        <f>VLOOKUP(B954,[1]물질정보!B:F,5,0)</f>
        <v>156.22 g/mol</v>
      </c>
      <c r="G954" s="5" t="str">
        <f>VLOOKUP(B954,[1]물질정보!B:G,6,0)</f>
        <v>CCCCCCOC(=O)C=C</v>
      </c>
      <c r="H954" t="s">
        <v>26</v>
      </c>
      <c r="I954" t="s">
        <v>304</v>
      </c>
      <c r="J954" t="s">
        <v>305</v>
      </c>
      <c r="K954">
        <v>83.5</v>
      </c>
      <c r="L954" t="s">
        <v>306</v>
      </c>
      <c r="M954" t="s">
        <v>29</v>
      </c>
      <c r="N954" t="s">
        <v>29</v>
      </c>
      <c r="O954" t="s">
        <v>29</v>
      </c>
      <c r="P954">
        <v>28</v>
      </c>
      <c r="Q954" t="s">
        <v>307</v>
      </c>
      <c r="R954" t="s">
        <v>159</v>
      </c>
      <c r="S954" t="s">
        <v>351</v>
      </c>
      <c r="T954" t="s">
        <v>29</v>
      </c>
      <c r="U954" t="s">
        <v>29</v>
      </c>
      <c r="V954" s="6" t="s">
        <v>160</v>
      </c>
      <c r="W954" t="s">
        <v>29</v>
      </c>
      <c r="X954" t="s">
        <v>148</v>
      </c>
      <c r="Y954" s="6" t="s">
        <v>305</v>
      </c>
    </row>
    <row r="955" spans="2:25" x14ac:dyDescent="0.3">
      <c r="B955" s="5" t="s">
        <v>78</v>
      </c>
      <c r="C955" s="5" t="str">
        <f>VLOOKUP(B955,[1]물질정보!B:C,2,0)</f>
        <v>-</v>
      </c>
      <c r="D955" t="str">
        <f>VLOOKUP(B955,[1]물질정보!B:D,3,0)</f>
        <v xml:space="preserve">9-(9H-Carbazol-9-yl)-7H-benzo[c]carbazole </v>
      </c>
      <c r="E955" t="str">
        <f>VLOOKUP(B955,[1]물질정보!B:E,4,0)</f>
        <v>C28H18N2</v>
      </c>
      <c r="F955" t="str">
        <f>VLOOKUP(B955,[1]물질정보!B:F,5,0)</f>
        <v>382.5 g/mol</v>
      </c>
      <c r="G955" s="5" t="str">
        <f>VLOOKUP(B955,[1]물질정보!B:G,6,0)</f>
        <v>C1=CC=C2C(=C1)C=CC3=C2C4=C(N3)C=C(C=C4)N5C6=CC=CC=C6C7=CC=CC=C75</v>
      </c>
      <c r="H955" t="s">
        <v>79</v>
      </c>
      <c r="I955" t="s">
        <v>137</v>
      </c>
      <c r="J955" t="s">
        <v>89</v>
      </c>
      <c r="K955" t="s">
        <v>354</v>
      </c>
      <c r="R955" t="s">
        <v>355</v>
      </c>
      <c r="V955" s="6" t="s">
        <v>356</v>
      </c>
      <c r="X955" t="s">
        <v>825</v>
      </c>
      <c r="Y955" s="6" t="s">
        <v>89</v>
      </c>
    </row>
    <row r="956" spans="2:25" x14ac:dyDescent="0.3">
      <c r="B956" s="5" t="s">
        <v>78</v>
      </c>
      <c r="C956" s="5" t="str">
        <f>VLOOKUP(B956,[1]물질정보!B:C,2,0)</f>
        <v>-</v>
      </c>
      <c r="D956" t="str">
        <f>VLOOKUP(B956,[1]물질정보!B:D,3,0)</f>
        <v xml:space="preserve">9-(9H-Carbazol-9-yl)-7H-benzo[c]carbazole </v>
      </c>
      <c r="E956" t="str">
        <f>VLOOKUP(B956,[1]물질정보!B:E,4,0)</f>
        <v>C28H18N2</v>
      </c>
      <c r="F956" t="str">
        <f>VLOOKUP(B956,[1]물질정보!B:F,5,0)</f>
        <v>382.5 g/mol</v>
      </c>
      <c r="G956" s="5" t="str">
        <f>VLOOKUP(B956,[1]물질정보!B:G,6,0)</f>
        <v>C1=CC=C2C(=C1)C=CC3=C2C4=C(N3)C=C(C=C4)N5C6=CC=CC=C6C7=CC=CC=C75</v>
      </c>
      <c r="H956" t="s">
        <v>79</v>
      </c>
      <c r="I956" t="s">
        <v>97</v>
      </c>
      <c r="J956" t="s">
        <v>98</v>
      </c>
      <c r="K956" t="s">
        <v>357</v>
      </c>
      <c r="R956" t="s">
        <v>355</v>
      </c>
      <c r="V956" s="6" t="s">
        <v>356</v>
      </c>
      <c r="X956" t="s">
        <v>825</v>
      </c>
      <c r="Y956" s="6" t="s">
        <v>98</v>
      </c>
    </row>
    <row r="957" spans="2:25" x14ac:dyDescent="0.3">
      <c r="B957" s="5" t="s">
        <v>78</v>
      </c>
      <c r="C957" s="5" t="str">
        <f>VLOOKUP(B957,[1]물질정보!B:C,2,0)</f>
        <v>-</v>
      </c>
      <c r="D957" t="str">
        <f>VLOOKUP(B957,[1]물질정보!B:D,3,0)</f>
        <v xml:space="preserve">9-(9H-Carbazol-9-yl)-7H-benzo[c]carbazole </v>
      </c>
      <c r="E957" t="str">
        <f>VLOOKUP(B957,[1]물질정보!B:E,4,0)</f>
        <v>C28H18N2</v>
      </c>
      <c r="F957" t="str">
        <f>VLOOKUP(B957,[1]물질정보!B:F,5,0)</f>
        <v>382.5 g/mol</v>
      </c>
      <c r="G957" s="5" t="str">
        <f>VLOOKUP(B957,[1]물질정보!B:G,6,0)</f>
        <v>C1=CC=C2C(=C1)C=CC3=C2C4=C(N3)C=C(C=C4)N5C6=CC=CC=C6C7=CC=CC=C75</v>
      </c>
      <c r="H957" t="s">
        <v>79</v>
      </c>
      <c r="I957" t="s">
        <v>141</v>
      </c>
      <c r="J957" t="s">
        <v>824</v>
      </c>
      <c r="K957" t="s">
        <v>358</v>
      </c>
      <c r="R957" t="s">
        <v>355</v>
      </c>
      <c r="V957" s="6" t="s">
        <v>356</v>
      </c>
      <c r="W957" t="s">
        <v>112</v>
      </c>
      <c r="X957" t="s">
        <v>825</v>
      </c>
      <c r="Y957" s="6" t="s">
        <v>753</v>
      </c>
    </row>
    <row r="958" spans="2:25" x14ac:dyDescent="0.3">
      <c r="B958" s="5" t="s">
        <v>359</v>
      </c>
      <c r="C958" s="5" t="str">
        <f>VLOOKUP(B958,[1]물질정보!B:C,2,0)</f>
        <v>205-25-4</v>
      </c>
      <c r="D958" t="str">
        <f>VLOOKUP(B958,[1]물질정보!B:D,3,0)</f>
        <v xml:space="preserve">7H-Benzo[c]carbazole </v>
      </c>
      <c r="E958" t="str">
        <f>VLOOKUP(B958,[1]물질정보!B:E,4,0)</f>
        <v>C16H11N</v>
      </c>
      <c r="F958" t="str">
        <f>VLOOKUP(B958,[1]물질정보!B:F,5,0)</f>
        <v>217.26 g/mol</v>
      </c>
      <c r="G958" s="5" t="str">
        <f>VLOOKUP(B958,[1]물질정보!B:G,6,0)</f>
        <v>C1=CC=C2C(=C1)C=CC3=C2C4=CC=CC=C4N3</v>
      </c>
      <c r="H958" t="s">
        <v>79</v>
      </c>
      <c r="I958" t="s">
        <v>137</v>
      </c>
      <c r="J958" t="s">
        <v>89</v>
      </c>
      <c r="K958" t="s">
        <v>360</v>
      </c>
      <c r="R958" t="s">
        <v>355</v>
      </c>
      <c r="V958" s="6" t="s">
        <v>356</v>
      </c>
      <c r="X958" t="s">
        <v>825</v>
      </c>
      <c r="Y958" s="6" t="s">
        <v>89</v>
      </c>
    </row>
    <row r="959" spans="2:25" x14ac:dyDescent="0.3">
      <c r="B959" s="5" t="s">
        <v>359</v>
      </c>
      <c r="C959" s="5" t="str">
        <f>VLOOKUP(B959,[1]물질정보!B:C,2,0)</f>
        <v>205-25-4</v>
      </c>
      <c r="D959" t="str">
        <f>VLOOKUP(B959,[1]물질정보!B:D,3,0)</f>
        <v xml:space="preserve">7H-Benzo[c]carbazole </v>
      </c>
      <c r="E959" t="str">
        <f>VLOOKUP(B959,[1]물질정보!B:E,4,0)</f>
        <v>C16H11N</v>
      </c>
      <c r="F959" t="str">
        <f>VLOOKUP(B959,[1]물질정보!B:F,5,0)</f>
        <v>217.26 g/mol</v>
      </c>
      <c r="G959" s="5" t="str">
        <f>VLOOKUP(B959,[1]물질정보!B:G,6,0)</f>
        <v>C1=CC=C2C(=C1)C=CC3=C2C4=CC=CC=C4N3</v>
      </c>
      <c r="H959" t="s">
        <v>79</v>
      </c>
      <c r="I959" t="s">
        <v>97</v>
      </c>
      <c r="J959" t="s">
        <v>98</v>
      </c>
      <c r="K959" t="s">
        <v>361</v>
      </c>
      <c r="R959" t="s">
        <v>355</v>
      </c>
      <c r="V959" s="6" t="s">
        <v>356</v>
      </c>
      <c r="X959" t="s">
        <v>825</v>
      </c>
      <c r="Y959" s="6" t="s">
        <v>98</v>
      </c>
    </row>
    <row r="960" spans="2:25" x14ac:dyDescent="0.3">
      <c r="B960" s="5" t="s">
        <v>359</v>
      </c>
      <c r="C960" s="5" t="str">
        <f>VLOOKUP(B960,[1]물질정보!B:C,2,0)</f>
        <v>205-25-4</v>
      </c>
      <c r="D960" t="str">
        <f>VLOOKUP(B960,[1]물질정보!B:D,3,0)</f>
        <v xml:space="preserve">7H-Benzo[c]carbazole </v>
      </c>
      <c r="E960" t="str">
        <f>VLOOKUP(B960,[1]물질정보!B:E,4,0)</f>
        <v>C16H11N</v>
      </c>
      <c r="F960" t="str">
        <f>VLOOKUP(B960,[1]물질정보!B:F,5,0)</f>
        <v>217.26 g/mol</v>
      </c>
      <c r="G960" s="5" t="str">
        <f>VLOOKUP(B960,[1]물질정보!B:G,6,0)</f>
        <v>C1=CC=C2C(=C1)C=CC3=C2C4=CC=CC=C4N3</v>
      </c>
      <c r="H960" t="s">
        <v>79</v>
      </c>
      <c r="I960" t="s">
        <v>141</v>
      </c>
      <c r="J960" t="s">
        <v>824</v>
      </c>
      <c r="K960" t="s">
        <v>362</v>
      </c>
      <c r="R960" t="s">
        <v>355</v>
      </c>
      <c r="V960" s="6" t="s">
        <v>356</v>
      </c>
      <c r="W960" t="s">
        <v>112</v>
      </c>
      <c r="X960" t="s">
        <v>825</v>
      </c>
      <c r="Y960" s="6" t="s">
        <v>753</v>
      </c>
    </row>
    <row r="961" spans="2:25" x14ac:dyDescent="0.3">
      <c r="B961" s="5" t="s">
        <v>77</v>
      </c>
      <c r="C961" s="5" t="str">
        <f>VLOOKUP(B961,[1]물질정보!B:C,2,0)</f>
        <v>140-88-5</v>
      </c>
      <c r="D961" t="str">
        <f>VLOOKUP(B961,[1]물질정보!B:D,3,0)</f>
        <v>ethyl acrylate</v>
      </c>
      <c r="E961" t="str">
        <f>VLOOKUP(B961,[1]물질정보!B:E,4,0)</f>
        <v>C5H8O2</v>
      </c>
      <c r="F961" t="str">
        <f>VLOOKUP(B961,[1]물질정보!B:F,5,0)</f>
        <v>100.12 g/mol</v>
      </c>
      <c r="G961" s="5" t="str">
        <f>VLOOKUP(B961,[1]물질정보!B:G,6,0)</f>
        <v>CCOC(=O)C=C</v>
      </c>
      <c r="H961" t="s">
        <v>79</v>
      </c>
      <c r="I961" t="s">
        <v>137</v>
      </c>
      <c r="J961" t="s">
        <v>89</v>
      </c>
      <c r="K961" t="s">
        <v>363</v>
      </c>
      <c r="R961" t="s">
        <v>355</v>
      </c>
      <c r="V961" s="6" t="s">
        <v>356</v>
      </c>
      <c r="X961" t="s">
        <v>825</v>
      </c>
      <c r="Y961" s="6" t="s">
        <v>89</v>
      </c>
    </row>
    <row r="962" spans="2:25" x14ac:dyDescent="0.3">
      <c r="B962" s="5" t="s">
        <v>67</v>
      </c>
      <c r="C962" s="5" t="str">
        <f>VLOOKUP(B962,[1]물질정보!B:C,2,0)</f>
        <v>818-61-1</v>
      </c>
      <c r="D962" t="str">
        <f>VLOOKUP(B962,[1]물질정보!B:D,3,0)</f>
        <v>2-hydroxyethyl acrylate</v>
      </c>
      <c r="E962" t="str">
        <f>VLOOKUP(B962,[1]물질정보!B:E,4,0)</f>
        <v>C5H8O3</v>
      </c>
      <c r="F962" t="str">
        <f>VLOOKUP(B962,[1]물질정보!B:F,5,0)</f>
        <v>116.11 g/mol</v>
      </c>
      <c r="G962" s="5" t="str">
        <f>VLOOKUP(B962,[1]물질정보!B:G,6,0)</f>
        <v>C=CC(=O)OCCO</v>
      </c>
      <c r="H962" t="s">
        <v>79</v>
      </c>
      <c r="I962" t="s">
        <v>137</v>
      </c>
      <c r="J962" t="s">
        <v>89</v>
      </c>
      <c r="K962" t="s">
        <v>363</v>
      </c>
      <c r="R962" t="s">
        <v>355</v>
      </c>
      <c r="V962" s="6" t="s">
        <v>356</v>
      </c>
      <c r="X962" t="s">
        <v>825</v>
      </c>
      <c r="Y962" s="6" t="s">
        <v>89</v>
      </c>
    </row>
    <row r="963" spans="2:25" x14ac:dyDescent="0.3">
      <c r="B963" s="5" t="s">
        <v>65</v>
      </c>
      <c r="C963" s="5" t="str">
        <f>VLOOKUP(B963,[1]물질정보!B:C,2,0)</f>
        <v>141-32-2</v>
      </c>
      <c r="D963" t="str">
        <f>VLOOKUP(B963,[1]물질정보!B:D,3,0)</f>
        <v>butyl acrylate</v>
      </c>
      <c r="E963" t="str">
        <f>VLOOKUP(B963,[1]물질정보!B:E,4,0)</f>
        <v>C7H12O2</v>
      </c>
      <c r="F963" t="str">
        <f>VLOOKUP(B963,[1]물질정보!B:F,5,0)</f>
        <v>128.169 g/mol</v>
      </c>
      <c r="G963" s="5" t="str">
        <f>VLOOKUP(B963,[1]물질정보!B:G,6,0)</f>
        <v>CCCCOC(=O)C=C</v>
      </c>
      <c r="H963" t="s">
        <v>79</v>
      </c>
      <c r="I963" t="s">
        <v>137</v>
      </c>
      <c r="J963" t="s">
        <v>89</v>
      </c>
      <c r="K963" t="s">
        <v>363</v>
      </c>
      <c r="R963" t="s">
        <v>355</v>
      </c>
      <c r="V963" s="6" t="s">
        <v>356</v>
      </c>
      <c r="X963" t="s">
        <v>825</v>
      </c>
      <c r="Y963" s="6" t="s">
        <v>89</v>
      </c>
    </row>
    <row r="964" spans="2:25" x14ac:dyDescent="0.3">
      <c r="B964" s="5" t="s">
        <v>364</v>
      </c>
      <c r="C964" s="5" t="str">
        <f>VLOOKUP(B964,[1]물질정보!B:C,2,0)</f>
        <v>2478-10-6</v>
      </c>
      <c r="D964" t="str">
        <f>VLOOKUP(B964,[1]물질정보!B:D,3,0)</f>
        <v>4-hydroxybutyl acrylate</v>
      </c>
      <c r="E964" t="str">
        <f>VLOOKUP(B964,[1]물질정보!B:E,4,0)</f>
        <v>C7H12O3</v>
      </c>
      <c r="F964" t="str">
        <f>VLOOKUP(B964,[1]물질정보!B:F,5,0)</f>
        <v>144.17 g/mol</v>
      </c>
      <c r="G964" s="5" t="str">
        <f>VLOOKUP(B964,[1]물질정보!B:G,6,0)</f>
        <v>C=CC(=O)OCCCCO</v>
      </c>
      <c r="H964" t="s">
        <v>79</v>
      </c>
      <c r="I964" t="s">
        <v>137</v>
      </c>
      <c r="J964" t="s">
        <v>89</v>
      </c>
      <c r="K964" t="s">
        <v>363</v>
      </c>
      <c r="R964" t="s">
        <v>355</v>
      </c>
      <c r="V964" s="6" t="s">
        <v>356</v>
      </c>
      <c r="X964" t="s">
        <v>825</v>
      </c>
      <c r="Y964" s="6" t="s">
        <v>89</v>
      </c>
    </row>
    <row r="965" spans="2:25" x14ac:dyDescent="0.3">
      <c r="B965" s="5" t="s">
        <v>59</v>
      </c>
      <c r="C965" s="5" t="str">
        <f>VLOOKUP(B965,[1]물질정보!B:C,2,0)</f>
        <v>2499-95-8</v>
      </c>
      <c r="D965" t="str">
        <f>VLOOKUP(B965,[1]물질정보!B:D,3,0)</f>
        <v>hexyl acrylate</v>
      </c>
      <c r="E965" t="str">
        <f>VLOOKUP(B965,[1]물질정보!B:E,4,0)</f>
        <v>C9H16O2</v>
      </c>
      <c r="F965" t="str">
        <f>VLOOKUP(B965,[1]물질정보!B:F,5,0)</f>
        <v>156.22 g/mol</v>
      </c>
      <c r="G965" s="5" t="str">
        <f>VLOOKUP(B965,[1]물질정보!B:G,6,0)</f>
        <v>CCCCCCOC(=O)C=C</v>
      </c>
      <c r="H965" t="s">
        <v>79</v>
      </c>
      <c r="I965" t="s">
        <v>137</v>
      </c>
      <c r="J965" t="s">
        <v>89</v>
      </c>
      <c r="K965" t="s">
        <v>363</v>
      </c>
      <c r="R965" t="s">
        <v>355</v>
      </c>
      <c r="V965" s="6" t="s">
        <v>356</v>
      </c>
      <c r="X965" t="s">
        <v>825</v>
      </c>
      <c r="Y965" s="6" t="s">
        <v>89</v>
      </c>
    </row>
    <row r="966" spans="2:25" x14ac:dyDescent="0.3">
      <c r="B966" s="5" t="s">
        <v>70</v>
      </c>
      <c r="C966" s="5" t="str">
        <f>VLOOKUP(B966,[1]물질정보!B:C,2,0)</f>
        <v>10095-14-4</v>
      </c>
      <c r="D966" t="str">
        <f>VLOOKUP(B966,[1]물질정보!B:D,3,0)</f>
        <v>6-hydroxybutyl acrylate</v>
      </c>
      <c r="E966" t="str">
        <f>VLOOKUP(B966,[1]물질정보!B:E,4,0)</f>
        <v>C9H16O3</v>
      </c>
      <c r="F966" t="str">
        <f>VLOOKUP(B966,[1]물질정보!B:F,5,0)</f>
        <v>172.22 g/mol</v>
      </c>
      <c r="G966" s="5" t="str">
        <f>VLOOKUP(B966,[1]물질정보!B:G,6,0)</f>
        <v>C=CC(=O)OCCCCCCO</v>
      </c>
      <c r="H966" t="s">
        <v>79</v>
      </c>
      <c r="I966" t="s">
        <v>137</v>
      </c>
      <c r="J966" t="s">
        <v>89</v>
      </c>
      <c r="K966" t="s">
        <v>363</v>
      </c>
      <c r="R966" t="s">
        <v>355</v>
      </c>
      <c r="V966" s="6" t="s">
        <v>356</v>
      </c>
      <c r="X966" t="s">
        <v>825</v>
      </c>
      <c r="Y966" s="6" t="s">
        <v>89</v>
      </c>
    </row>
    <row r="967" spans="2:25" x14ac:dyDescent="0.3">
      <c r="B967" s="5" t="s">
        <v>71</v>
      </c>
      <c r="C967" s="5" t="str">
        <f>VLOOKUP(B967,[1]물질정보!B:C,2,0)</f>
        <v>97-63-2</v>
      </c>
      <c r="D967" t="str">
        <f>VLOOKUP(B967,[1]물질정보!B:D,3,0)</f>
        <v>ethyl methacrylate</v>
      </c>
      <c r="E967" t="str">
        <f>VLOOKUP(B967,[1]물질정보!B:E,4,0)</f>
        <v>C6H10O2</v>
      </c>
      <c r="F967" t="str">
        <f>VLOOKUP(B967,[1]물질정보!B:F,5,0)</f>
        <v>114.14 g/mol</v>
      </c>
      <c r="G967" s="5" t="str">
        <f>VLOOKUP(B967,[1]물질정보!B:G,6,0)</f>
        <v>CCOC(=O)C(=C)C</v>
      </c>
      <c r="H967" t="s">
        <v>79</v>
      </c>
      <c r="I967" t="s">
        <v>137</v>
      </c>
      <c r="J967" t="s">
        <v>89</v>
      </c>
      <c r="K967" t="s">
        <v>363</v>
      </c>
      <c r="R967" t="s">
        <v>355</v>
      </c>
      <c r="V967" s="6" t="s">
        <v>356</v>
      </c>
      <c r="X967" t="s">
        <v>825</v>
      </c>
      <c r="Y967" s="6" t="s">
        <v>89</v>
      </c>
    </row>
    <row r="968" spans="2:25" x14ac:dyDescent="0.3">
      <c r="B968" s="5" t="s">
        <v>365</v>
      </c>
      <c r="C968" s="5" t="str">
        <f>VLOOKUP(B968,[1]물질정보!B:C,2,0)</f>
        <v>868-77-9</v>
      </c>
      <c r="D968" t="str">
        <f>VLOOKUP(B968,[1]물질정보!B:D,3,0)</f>
        <v>2-hydroxyethyl methacrylate</v>
      </c>
      <c r="E968" t="str">
        <f>VLOOKUP(B968,[1]물질정보!B:E,4,0)</f>
        <v>C6H10O3</v>
      </c>
      <c r="F968" t="str">
        <f>VLOOKUP(B968,[1]물질정보!B:F,5,0)</f>
        <v>130.139 g/mol</v>
      </c>
      <c r="G968" s="5" t="str">
        <f>VLOOKUP(B968,[1]물질정보!B:G,6,0)</f>
        <v>CC(=C)C(=O)OCCO</v>
      </c>
      <c r="H968" t="s">
        <v>79</v>
      </c>
      <c r="I968" t="s">
        <v>137</v>
      </c>
      <c r="J968" t="s">
        <v>89</v>
      </c>
      <c r="K968" t="s">
        <v>363</v>
      </c>
      <c r="R968" t="s">
        <v>355</v>
      </c>
      <c r="V968" s="6" t="s">
        <v>356</v>
      </c>
      <c r="X968" t="s">
        <v>825</v>
      </c>
      <c r="Y968" s="6" t="s">
        <v>89</v>
      </c>
    </row>
    <row r="969" spans="2:25" x14ac:dyDescent="0.3">
      <c r="B969" s="5" t="s">
        <v>25</v>
      </c>
      <c r="C969" s="5" t="str">
        <f>VLOOKUP(B969,[1]물질정보!B:C,2,0)</f>
        <v>97-88-1</v>
      </c>
      <c r="D969" t="str">
        <f>VLOOKUP(B969,[1]물질정보!B:D,3,0)</f>
        <v>butyl methacrylate</v>
      </c>
      <c r="E969" t="str">
        <f>VLOOKUP(B969,[1]물질정보!B:E,4,0)</f>
        <v>C8H14O2</v>
      </c>
      <c r="F969" t="str">
        <f>VLOOKUP(B969,[1]물질정보!B:F,5,0)</f>
        <v>142.2 g/mol</v>
      </c>
      <c r="G969" s="5" t="str">
        <f>VLOOKUP(B969,[1]물질정보!B:G,6,0)</f>
        <v>CCCCOC(=O)C(=C)C</v>
      </c>
      <c r="H969" t="s">
        <v>79</v>
      </c>
      <c r="I969" t="s">
        <v>137</v>
      </c>
      <c r="J969" t="s">
        <v>89</v>
      </c>
      <c r="K969" t="s">
        <v>363</v>
      </c>
      <c r="R969" t="s">
        <v>355</v>
      </c>
      <c r="V969" s="6" t="s">
        <v>356</v>
      </c>
      <c r="X969" t="s">
        <v>825</v>
      </c>
      <c r="Y969" s="6" t="s">
        <v>89</v>
      </c>
    </row>
    <row r="970" spans="2:25" x14ac:dyDescent="0.3">
      <c r="B970" s="5" t="s">
        <v>68</v>
      </c>
      <c r="C970" s="5" t="str">
        <f>VLOOKUP(B970,[1]물질정보!B:C,2,0)</f>
        <v>997-46-6</v>
      </c>
      <c r="D970" t="str">
        <f>VLOOKUP(B970,[1]물질정보!B:D,3,0)</f>
        <v>4-hydroxybutyl methacrylate</v>
      </c>
      <c r="E970" t="str">
        <f>VLOOKUP(B970,[1]물질정보!B:E,4,0)</f>
        <v>C8H14O3</v>
      </c>
      <c r="F970" t="str">
        <f>VLOOKUP(B970,[1]물질정보!B:F,5,0)</f>
        <v>158.19 g/mol</v>
      </c>
      <c r="G970" s="5" t="str">
        <f>VLOOKUP(B970,[1]물질정보!B:G,6,0)</f>
        <v>CC(=C)C(=O)OCCCCO</v>
      </c>
      <c r="H970" t="s">
        <v>79</v>
      </c>
      <c r="I970" t="s">
        <v>137</v>
      </c>
      <c r="J970" t="s">
        <v>89</v>
      </c>
      <c r="K970" t="s">
        <v>363</v>
      </c>
      <c r="R970" t="s">
        <v>355</v>
      </c>
      <c r="V970" s="6" t="s">
        <v>356</v>
      </c>
      <c r="X970" t="s">
        <v>825</v>
      </c>
      <c r="Y970" s="6" t="s">
        <v>89</v>
      </c>
    </row>
    <row r="971" spans="2:25" x14ac:dyDescent="0.3">
      <c r="B971" s="5" t="s">
        <v>77</v>
      </c>
      <c r="C971" s="5" t="str">
        <f>VLOOKUP(B971,[1]물질정보!B:C,2,0)</f>
        <v>140-88-5</v>
      </c>
      <c r="D971" t="str">
        <f>VLOOKUP(B971,[1]물질정보!B:D,3,0)</f>
        <v>ethyl acrylate</v>
      </c>
      <c r="E971" t="str">
        <f>VLOOKUP(B971,[1]물질정보!B:E,4,0)</f>
        <v>C5H8O2</v>
      </c>
      <c r="F971" t="str">
        <f>VLOOKUP(B971,[1]물질정보!B:F,5,0)</f>
        <v>100.12 g/mol</v>
      </c>
      <c r="G971" s="5" t="str">
        <f>VLOOKUP(B971,[1]물질정보!B:G,6,0)</f>
        <v>CCOC(=O)C=C</v>
      </c>
      <c r="H971" t="s">
        <v>79</v>
      </c>
      <c r="I971" t="s">
        <v>97</v>
      </c>
      <c r="J971" t="s">
        <v>98</v>
      </c>
      <c r="K971" t="s">
        <v>366</v>
      </c>
      <c r="R971" t="s">
        <v>355</v>
      </c>
      <c r="V971" s="6" t="s">
        <v>356</v>
      </c>
      <c r="X971" t="s">
        <v>825</v>
      </c>
      <c r="Y971" s="6" t="s">
        <v>98</v>
      </c>
    </row>
    <row r="972" spans="2:25" x14ac:dyDescent="0.3">
      <c r="B972" s="5" t="s">
        <v>67</v>
      </c>
      <c r="C972" s="5" t="str">
        <f>VLOOKUP(B972,[1]물질정보!B:C,2,0)</f>
        <v>818-61-1</v>
      </c>
      <c r="D972" t="str">
        <f>VLOOKUP(B972,[1]물질정보!B:D,3,0)</f>
        <v>2-hydroxyethyl acrylate</v>
      </c>
      <c r="E972" t="str">
        <f>VLOOKUP(B972,[1]물질정보!B:E,4,0)</f>
        <v>C5H8O3</v>
      </c>
      <c r="F972" t="str">
        <f>VLOOKUP(B972,[1]물질정보!B:F,5,0)</f>
        <v>116.11 g/mol</v>
      </c>
      <c r="G972" s="5" t="str">
        <f>VLOOKUP(B972,[1]물질정보!B:G,6,0)</f>
        <v>C=CC(=O)OCCO</v>
      </c>
      <c r="H972" t="s">
        <v>79</v>
      </c>
      <c r="I972" t="s">
        <v>97</v>
      </c>
      <c r="J972" t="s">
        <v>98</v>
      </c>
      <c r="K972" t="s">
        <v>367</v>
      </c>
      <c r="R972" t="s">
        <v>355</v>
      </c>
      <c r="V972" s="6" t="s">
        <v>356</v>
      </c>
      <c r="X972" t="s">
        <v>825</v>
      </c>
      <c r="Y972" s="6" t="s">
        <v>98</v>
      </c>
    </row>
    <row r="973" spans="2:25" x14ac:dyDescent="0.3">
      <c r="B973" s="5" t="s">
        <v>65</v>
      </c>
      <c r="C973" s="5" t="str">
        <f>VLOOKUP(B973,[1]물질정보!B:C,2,0)</f>
        <v>141-32-2</v>
      </c>
      <c r="D973" t="str">
        <f>VLOOKUP(B973,[1]물질정보!B:D,3,0)</f>
        <v>butyl acrylate</v>
      </c>
      <c r="E973" t="str">
        <f>VLOOKUP(B973,[1]물질정보!B:E,4,0)</f>
        <v>C7H12O2</v>
      </c>
      <c r="F973" t="str">
        <f>VLOOKUP(B973,[1]물질정보!B:F,5,0)</f>
        <v>128.169 g/mol</v>
      </c>
      <c r="G973" s="5" t="str">
        <f>VLOOKUP(B973,[1]물질정보!B:G,6,0)</f>
        <v>CCCCOC(=O)C=C</v>
      </c>
      <c r="H973" t="s">
        <v>79</v>
      </c>
      <c r="I973" t="s">
        <v>97</v>
      </c>
      <c r="J973" t="s">
        <v>98</v>
      </c>
      <c r="K973" t="s">
        <v>368</v>
      </c>
      <c r="R973" t="s">
        <v>355</v>
      </c>
      <c r="V973" s="6" t="s">
        <v>356</v>
      </c>
      <c r="X973" t="s">
        <v>825</v>
      </c>
      <c r="Y973" s="6" t="s">
        <v>98</v>
      </c>
    </row>
    <row r="974" spans="2:25" x14ac:dyDescent="0.3">
      <c r="B974" s="5" t="s">
        <v>364</v>
      </c>
      <c r="C974" s="5" t="str">
        <f>VLOOKUP(B974,[1]물질정보!B:C,2,0)</f>
        <v>2478-10-6</v>
      </c>
      <c r="D974" t="str">
        <f>VLOOKUP(B974,[1]물질정보!B:D,3,0)</f>
        <v>4-hydroxybutyl acrylate</v>
      </c>
      <c r="E974" t="str">
        <f>VLOOKUP(B974,[1]물질정보!B:E,4,0)</f>
        <v>C7H12O3</v>
      </c>
      <c r="F974" t="str">
        <f>VLOOKUP(B974,[1]물질정보!B:F,5,0)</f>
        <v>144.17 g/mol</v>
      </c>
      <c r="G974" s="5" t="str">
        <f>VLOOKUP(B974,[1]물질정보!B:G,6,0)</f>
        <v>C=CC(=O)OCCCCO</v>
      </c>
      <c r="H974" t="s">
        <v>79</v>
      </c>
      <c r="I974" t="s">
        <v>97</v>
      </c>
      <c r="J974" t="s">
        <v>98</v>
      </c>
      <c r="K974" t="s">
        <v>369</v>
      </c>
      <c r="R974" t="s">
        <v>355</v>
      </c>
      <c r="V974" s="6" t="s">
        <v>356</v>
      </c>
      <c r="X974" t="s">
        <v>825</v>
      </c>
      <c r="Y974" s="6" t="s">
        <v>98</v>
      </c>
    </row>
    <row r="975" spans="2:25" x14ac:dyDescent="0.3">
      <c r="B975" s="5" t="s">
        <v>59</v>
      </c>
      <c r="C975" s="5" t="str">
        <f>VLOOKUP(B975,[1]물질정보!B:C,2,0)</f>
        <v>2499-95-8</v>
      </c>
      <c r="D975" t="str">
        <f>VLOOKUP(B975,[1]물질정보!B:D,3,0)</f>
        <v>hexyl acrylate</v>
      </c>
      <c r="E975" t="str">
        <f>VLOOKUP(B975,[1]물질정보!B:E,4,0)</f>
        <v>C9H16O2</v>
      </c>
      <c r="F975" t="str">
        <f>VLOOKUP(B975,[1]물질정보!B:F,5,0)</f>
        <v>156.22 g/mol</v>
      </c>
      <c r="G975" s="5" t="str">
        <f>VLOOKUP(B975,[1]물질정보!B:G,6,0)</f>
        <v>CCCCCCOC(=O)C=C</v>
      </c>
      <c r="H975" t="s">
        <v>79</v>
      </c>
      <c r="I975" t="s">
        <v>97</v>
      </c>
      <c r="J975" t="s">
        <v>98</v>
      </c>
      <c r="K975" t="s">
        <v>370</v>
      </c>
      <c r="R975" t="s">
        <v>355</v>
      </c>
      <c r="V975" s="6" t="s">
        <v>356</v>
      </c>
      <c r="X975" t="s">
        <v>825</v>
      </c>
      <c r="Y975" s="6" t="s">
        <v>98</v>
      </c>
    </row>
    <row r="976" spans="2:25" x14ac:dyDescent="0.3">
      <c r="B976" s="5" t="s">
        <v>70</v>
      </c>
      <c r="C976" s="5" t="str">
        <f>VLOOKUP(B976,[1]물질정보!B:C,2,0)</f>
        <v>10095-14-4</v>
      </c>
      <c r="D976" t="str">
        <f>VLOOKUP(B976,[1]물질정보!B:D,3,0)</f>
        <v>6-hydroxybutyl acrylate</v>
      </c>
      <c r="E976" t="str">
        <f>VLOOKUP(B976,[1]물질정보!B:E,4,0)</f>
        <v>C9H16O3</v>
      </c>
      <c r="F976" t="str">
        <f>VLOOKUP(B976,[1]물질정보!B:F,5,0)</f>
        <v>172.22 g/mol</v>
      </c>
      <c r="G976" s="5" t="str">
        <f>VLOOKUP(B976,[1]물질정보!B:G,6,0)</f>
        <v>C=CC(=O)OCCCCCCO</v>
      </c>
      <c r="H976" t="s">
        <v>79</v>
      </c>
      <c r="I976" t="s">
        <v>97</v>
      </c>
      <c r="J976" t="s">
        <v>98</v>
      </c>
      <c r="K976" t="s">
        <v>371</v>
      </c>
      <c r="R976" t="s">
        <v>355</v>
      </c>
      <c r="V976" s="6" t="s">
        <v>356</v>
      </c>
      <c r="X976" t="s">
        <v>825</v>
      </c>
      <c r="Y976" s="6" t="s">
        <v>98</v>
      </c>
    </row>
    <row r="977" spans="2:25" x14ac:dyDescent="0.3">
      <c r="B977" s="5" t="s">
        <v>71</v>
      </c>
      <c r="C977" s="5" t="str">
        <f>VLOOKUP(B977,[1]물질정보!B:C,2,0)</f>
        <v>97-63-2</v>
      </c>
      <c r="D977" t="str">
        <f>VLOOKUP(B977,[1]물질정보!B:D,3,0)</f>
        <v>ethyl methacrylate</v>
      </c>
      <c r="E977" t="str">
        <f>VLOOKUP(B977,[1]물질정보!B:E,4,0)</f>
        <v>C6H10O2</v>
      </c>
      <c r="F977" t="str">
        <f>VLOOKUP(B977,[1]물질정보!B:F,5,0)</f>
        <v>114.14 g/mol</v>
      </c>
      <c r="G977" s="5" t="str">
        <f>VLOOKUP(B977,[1]물질정보!B:G,6,0)</f>
        <v>CCOC(=O)C(=C)C</v>
      </c>
      <c r="H977" t="s">
        <v>79</v>
      </c>
      <c r="I977" t="s">
        <v>97</v>
      </c>
      <c r="J977" t="s">
        <v>98</v>
      </c>
      <c r="K977" t="s">
        <v>372</v>
      </c>
      <c r="R977" t="s">
        <v>355</v>
      </c>
      <c r="V977" s="6" t="s">
        <v>356</v>
      </c>
      <c r="X977" t="s">
        <v>825</v>
      </c>
      <c r="Y977" s="6" t="s">
        <v>98</v>
      </c>
    </row>
    <row r="978" spans="2:25" x14ac:dyDescent="0.3">
      <c r="B978" s="5" t="s">
        <v>365</v>
      </c>
      <c r="C978" s="5" t="str">
        <f>VLOOKUP(B978,[1]물질정보!B:C,2,0)</f>
        <v>868-77-9</v>
      </c>
      <c r="D978" t="str">
        <f>VLOOKUP(B978,[1]물질정보!B:D,3,0)</f>
        <v>2-hydroxyethyl methacrylate</v>
      </c>
      <c r="E978" t="str">
        <f>VLOOKUP(B978,[1]물질정보!B:E,4,0)</f>
        <v>C6H10O3</v>
      </c>
      <c r="F978" t="str">
        <f>VLOOKUP(B978,[1]물질정보!B:F,5,0)</f>
        <v>130.139 g/mol</v>
      </c>
      <c r="G978" s="5" t="str">
        <f>VLOOKUP(B978,[1]물질정보!B:G,6,0)</f>
        <v>CC(=C)C(=O)OCCO</v>
      </c>
      <c r="H978" t="s">
        <v>79</v>
      </c>
      <c r="I978" t="s">
        <v>97</v>
      </c>
      <c r="J978" t="s">
        <v>98</v>
      </c>
      <c r="K978" t="s">
        <v>373</v>
      </c>
      <c r="R978" t="s">
        <v>355</v>
      </c>
      <c r="V978" s="6" t="s">
        <v>356</v>
      </c>
      <c r="X978" t="s">
        <v>825</v>
      </c>
      <c r="Y978" s="6" t="s">
        <v>98</v>
      </c>
    </row>
    <row r="979" spans="2:25" x14ac:dyDescent="0.3">
      <c r="B979" s="5" t="s">
        <v>25</v>
      </c>
      <c r="C979" s="5" t="str">
        <f>VLOOKUP(B979,[1]물질정보!B:C,2,0)</f>
        <v>97-88-1</v>
      </c>
      <c r="D979" t="str">
        <f>VLOOKUP(B979,[1]물질정보!B:D,3,0)</f>
        <v>butyl methacrylate</v>
      </c>
      <c r="E979" t="str">
        <f>VLOOKUP(B979,[1]물질정보!B:E,4,0)</f>
        <v>C8H14O2</v>
      </c>
      <c r="F979" t="str">
        <f>VLOOKUP(B979,[1]물질정보!B:F,5,0)</f>
        <v>142.2 g/mol</v>
      </c>
      <c r="G979" s="5" t="str">
        <f>VLOOKUP(B979,[1]물질정보!B:G,6,0)</f>
        <v>CCCCOC(=O)C(=C)C</v>
      </c>
      <c r="H979" t="s">
        <v>79</v>
      </c>
      <c r="I979" t="s">
        <v>97</v>
      </c>
      <c r="J979" t="s">
        <v>98</v>
      </c>
      <c r="K979" t="s">
        <v>374</v>
      </c>
      <c r="R979" t="s">
        <v>355</v>
      </c>
      <c r="V979" s="6" t="s">
        <v>356</v>
      </c>
      <c r="X979" t="s">
        <v>825</v>
      </c>
      <c r="Y979" s="6" t="s">
        <v>98</v>
      </c>
    </row>
    <row r="980" spans="2:25" x14ac:dyDescent="0.3">
      <c r="B980" s="5" t="s">
        <v>68</v>
      </c>
      <c r="C980" s="5" t="str">
        <f>VLOOKUP(B980,[1]물질정보!B:C,2,0)</f>
        <v>997-46-6</v>
      </c>
      <c r="D980" t="str">
        <f>VLOOKUP(B980,[1]물질정보!B:D,3,0)</f>
        <v>4-hydroxybutyl methacrylate</v>
      </c>
      <c r="E980" t="str">
        <f>VLOOKUP(B980,[1]물질정보!B:E,4,0)</f>
        <v>C8H14O3</v>
      </c>
      <c r="F980" t="str">
        <f>VLOOKUP(B980,[1]물질정보!B:F,5,0)</f>
        <v>158.19 g/mol</v>
      </c>
      <c r="G980" s="5" t="str">
        <f>VLOOKUP(B980,[1]물질정보!B:G,6,0)</f>
        <v>CC(=C)C(=O)OCCCCO</v>
      </c>
      <c r="H980" t="s">
        <v>79</v>
      </c>
      <c r="I980" t="s">
        <v>97</v>
      </c>
      <c r="J980" t="s">
        <v>98</v>
      </c>
      <c r="K980" t="s">
        <v>375</v>
      </c>
      <c r="R980" t="s">
        <v>355</v>
      </c>
      <c r="V980" s="6" t="s">
        <v>356</v>
      </c>
      <c r="X980" t="s">
        <v>825</v>
      </c>
      <c r="Y980" s="6" t="s">
        <v>98</v>
      </c>
    </row>
    <row r="981" spans="2:25" x14ac:dyDescent="0.3">
      <c r="B981" s="5" t="s">
        <v>77</v>
      </c>
      <c r="C981" s="5" t="str">
        <f>VLOOKUP(B981,[1]물질정보!B:C,2,0)</f>
        <v>140-88-5</v>
      </c>
      <c r="D981" t="str">
        <f>VLOOKUP(B981,[1]물질정보!B:D,3,0)</f>
        <v>ethyl acrylate</v>
      </c>
      <c r="E981" t="str">
        <f>VLOOKUP(B981,[1]물질정보!B:E,4,0)</f>
        <v>C5H8O2</v>
      </c>
      <c r="F981" t="str">
        <f>VLOOKUP(B981,[1]물질정보!B:F,5,0)</f>
        <v>100.12 g/mol</v>
      </c>
      <c r="G981" s="5" t="str">
        <f>VLOOKUP(B981,[1]물질정보!B:G,6,0)</f>
        <v>CCOC(=O)C=C</v>
      </c>
      <c r="H981" t="s">
        <v>79</v>
      </c>
      <c r="I981" t="s">
        <v>141</v>
      </c>
      <c r="J981" t="s">
        <v>824</v>
      </c>
      <c r="K981" t="s">
        <v>376</v>
      </c>
      <c r="R981" t="s">
        <v>355</v>
      </c>
      <c r="V981" s="6" t="s">
        <v>356</v>
      </c>
      <c r="W981" t="s">
        <v>112</v>
      </c>
      <c r="X981" t="s">
        <v>825</v>
      </c>
      <c r="Y981" s="6" t="s">
        <v>753</v>
      </c>
    </row>
    <row r="982" spans="2:25" x14ac:dyDescent="0.3">
      <c r="B982" s="5" t="s">
        <v>67</v>
      </c>
      <c r="C982" s="5" t="str">
        <f>VLOOKUP(B982,[1]물질정보!B:C,2,0)</f>
        <v>818-61-1</v>
      </c>
      <c r="D982" t="str">
        <f>VLOOKUP(B982,[1]물질정보!B:D,3,0)</f>
        <v>2-hydroxyethyl acrylate</v>
      </c>
      <c r="E982" t="str">
        <f>VLOOKUP(B982,[1]물질정보!B:E,4,0)</f>
        <v>C5H8O3</v>
      </c>
      <c r="F982" t="str">
        <f>VLOOKUP(B982,[1]물질정보!B:F,5,0)</f>
        <v>116.11 g/mol</v>
      </c>
      <c r="G982" s="5" t="str">
        <f>VLOOKUP(B982,[1]물질정보!B:G,6,0)</f>
        <v>C=CC(=O)OCCO</v>
      </c>
      <c r="H982" t="s">
        <v>79</v>
      </c>
      <c r="I982" t="s">
        <v>141</v>
      </c>
      <c r="J982" t="s">
        <v>824</v>
      </c>
      <c r="K982" t="s">
        <v>377</v>
      </c>
      <c r="R982" t="s">
        <v>355</v>
      </c>
      <c r="V982" s="6" t="s">
        <v>356</v>
      </c>
      <c r="W982" t="s">
        <v>112</v>
      </c>
      <c r="X982" t="s">
        <v>825</v>
      </c>
      <c r="Y982" s="6" t="s">
        <v>753</v>
      </c>
    </row>
    <row r="983" spans="2:25" x14ac:dyDescent="0.3">
      <c r="B983" s="5" t="s">
        <v>65</v>
      </c>
      <c r="C983" s="5" t="str">
        <f>VLOOKUP(B983,[1]물질정보!B:C,2,0)</f>
        <v>141-32-2</v>
      </c>
      <c r="D983" t="str">
        <f>VLOOKUP(B983,[1]물질정보!B:D,3,0)</f>
        <v>butyl acrylate</v>
      </c>
      <c r="E983" t="str">
        <f>VLOOKUP(B983,[1]물질정보!B:E,4,0)</f>
        <v>C7H12O2</v>
      </c>
      <c r="F983" t="str">
        <f>VLOOKUP(B983,[1]물질정보!B:F,5,0)</f>
        <v>128.169 g/mol</v>
      </c>
      <c r="G983" s="5" t="str">
        <f>VLOOKUP(B983,[1]물질정보!B:G,6,0)</f>
        <v>CCCCOC(=O)C=C</v>
      </c>
      <c r="H983" t="s">
        <v>79</v>
      </c>
      <c r="I983" t="s">
        <v>141</v>
      </c>
      <c r="J983" t="s">
        <v>824</v>
      </c>
      <c r="K983" t="s">
        <v>378</v>
      </c>
      <c r="R983" t="s">
        <v>355</v>
      </c>
      <c r="V983" s="6" t="s">
        <v>356</v>
      </c>
      <c r="W983" t="s">
        <v>112</v>
      </c>
      <c r="X983" t="s">
        <v>825</v>
      </c>
      <c r="Y983" s="6" t="s">
        <v>753</v>
      </c>
    </row>
    <row r="984" spans="2:25" x14ac:dyDescent="0.3">
      <c r="B984" s="5" t="s">
        <v>364</v>
      </c>
      <c r="C984" s="5" t="str">
        <f>VLOOKUP(B984,[1]물질정보!B:C,2,0)</f>
        <v>2478-10-6</v>
      </c>
      <c r="D984" t="str">
        <f>VLOOKUP(B984,[1]물질정보!B:D,3,0)</f>
        <v>4-hydroxybutyl acrylate</v>
      </c>
      <c r="E984" t="str">
        <f>VLOOKUP(B984,[1]물질정보!B:E,4,0)</f>
        <v>C7H12O3</v>
      </c>
      <c r="F984" t="str">
        <f>VLOOKUP(B984,[1]물질정보!B:F,5,0)</f>
        <v>144.17 g/mol</v>
      </c>
      <c r="G984" s="5" t="str">
        <f>VLOOKUP(B984,[1]물질정보!B:G,6,0)</f>
        <v>C=CC(=O)OCCCCO</v>
      </c>
      <c r="H984" t="s">
        <v>79</v>
      </c>
      <c r="I984" t="s">
        <v>141</v>
      </c>
      <c r="J984" t="s">
        <v>824</v>
      </c>
      <c r="K984" t="s">
        <v>379</v>
      </c>
      <c r="R984" t="s">
        <v>355</v>
      </c>
      <c r="V984" s="6" t="s">
        <v>356</v>
      </c>
      <c r="W984" t="s">
        <v>112</v>
      </c>
      <c r="X984" t="s">
        <v>825</v>
      </c>
      <c r="Y984" s="6" t="s">
        <v>753</v>
      </c>
    </row>
    <row r="985" spans="2:25" x14ac:dyDescent="0.3">
      <c r="B985" s="5" t="s">
        <v>59</v>
      </c>
      <c r="C985" s="5" t="str">
        <f>VLOOKUP(B985,[1]물질정보!B:C,2,0)</f>
        <v>2499-95-8</v>
      </c>
      <c r="D985" t="str">
        <f>VLOOKUP(B985,[1]물질정보!B:D,3,0)</f>
        <v>hexyl acrylate</v>
      </c>
      <c r="E985" t="str">
        <f>VLOOKUP(B985,[1]물질정보!B:E,4,0)</f>
        <v>C9H16O2</v>
      </c>
      <c r="F985" t="str">
        <f>VLOOKUP(B985,[1]물질정보!B:F,5,0)</f>
        <v>156.22 g/mol</v>
      </c>
      <c r="G985" s="5" t="str">
        <f>VLOOKUP(B985,[1]물질정보!B:G,6,0)</f>
        <v>CCCCCCOC(=O)C=C</v>
      </c>
      <c r="H985" t="s">
        <v>79</v>
      </c>
      <c r="I985" t="s">
        <v>141</v>
      </c>
      <c r="J985" t="s">
        <v>824</v>
      </c>
      <c r="K985" t="s">
        <v>380</v>
      </c>
      <c r="R985" t="s">
        <v>355</v>
      </c>
      <c r="V985" s="6" t="s">
        <v>356</v>
      </c>
      <c r="W985" t="s">
        <v>112</v>
      </c>
      <c r="X985" t="s">
        <v>825</v>
      </c>
      <c r="Y985" s="6" t="s">
        <v>753</v>
      </c>
    </row>
    <row r="986" spans="2:25" x14ac:dyDescent="0.3">
      <c r="B986" s="5" t="s">
        <v>70</v>
      </c>
      <c r="C986" s="5" t="str">
        <f>VLOOKUP(B986,[1]물질정보!B:C,2,0)</f>
        <v>10095-14-4</v>
      </c>
      <c r="D986" t="str">
        <f>VLOOKUP(B986,[1]물질정보!B:D,3,0)</f>
        <v>6-hydroxybutyl acrylate</v>
      </c>
      <c r="E986" t="str">
        <f>VLOOKUP(B986,[1]물질정보!B:E,4,0)</f>
        <v>C9H16O3</v>
      </c>
      <c r="F986" t="str">
        <f>VLOOKUP(B986,[1]물질정보!B:F,5,0)</f>
        <v>172.22 g/mol</v>
      </c>
      <c r="G986" s="5" t="str">
        <f>VLOOKUP(B986,[1]물질정보!B:G,6,0)</f>
        <v>C=CC(=O)OCCCCCCO</v>
      </c>
      <c r="H986" t="s">
        <v>79</v>
      </c>
      <c r="I986" t="s">
        <v>141</v>
      </c>
      <c r="J986" t="s">
        <v>824</v>
      </c>
      <c r="K986" t="s">
        <v>379</v>
      </c>
      <c r="R986" t="s">
        <v>355</v>
      </c>
      <c r="V986" s="6" t="s">
        <v>356</v>
      </c>
      <c r="W986" t="s">
        <v>112</v>
      </c>
      <c r="X986" t="s">
        <v>825</v>
      </c>
      <c r="Y986" s="6" t="s">
        <v>753</v>
      </c>
    </row>
    <row r="987" spans="2:25" x14ac:dyDescent="0.3">
      <c r="B987" s="5" t="s">
        <v>71</v>
      </c>
      <c r="C987" s="5" t="str">
        <f>VLOOKUP(B987,[1]물질정보!B:C,2,0)</f>
        <v>97-63-2</v>
      </c>
      <c r="D987" t="str">
        <f>VLOOKUP(B987,[1]물질정보!B:D,3,0)</f>
        <v>ethyl methacrylate</v>
      </c>
      <c r="E987" t="str">
        <f>VLOOKUP(B987,[1]물질정보!B:E,4,0)</f>
        <v>C6H10O2</v>
      </c>
      <c r="F987" t="str">
        <f>VLOOKUP(B987,[1]물질정보!B:F,5,0)</f>
        <v>114.14 g/mol</v>
      </c>
      <c r="G987" s="5" t="str">
        <f>VLOOKUP(B987,[1]물질정보!B:G,6,0)</f>
        <v>CCOC(=O)C(=C)C</v>
      </c>
      <c r="H987" t="s">
        <v>79</v>
      </c>
      <c r="I987" t="s">
        <v>141</v>
      </c>
      <c r="J987" t="s">
        <v>824</v>
      </c>
      <c r="K987" t="s">
        <v>381</v>
      </c>
      <c r="R987" t="s">
        <v>355</v>
      </c>
      <c r="V987" s="6" t="s">
        <v>356</v>
      </c>
      <c r="W987" t="s">
        <v>112</v>
      </c>
      <c r="X987" t="s">
        <v>825</v>
      </c>
      <c r="Y987" s="6" t="s">
        <v>753</v>
      </c>
    </row>
    <row r="988" spans="2:25" x14ac:dyDescent="0.3">
      <c r="B988" s="5" t="s">
        <v>365</v>
      </c>
      <c r="C988" s="5" t="str">
        <f>VLOOKUP(B988,[1]물질정보!B:C,2,0)</f>
        <v>868-77-9</v>
      </c>
      <c r="D988" t="str">
        <f>VLOOKUP(B988,[1]물질정보!B:D,3,0)</f>
        <v>2-hydroxyethyl methacrylate</v>
      </c>
      <c r="E988" t="str">
        <f>VLOOKUP(B988,[1]물질정보!B:E,4,0)</f>
        <v>C6H10O3</v>
      </c>
      <c r="F988" t="str">
        <f>VLOOKUP(B988,[1]물질정보!B:F,5,0)</f>
        <v>130.139 g/mol</v>
      </c>
      <c r="G988" s="5" t="str">
        <f>VLOOKUP(B988,[1]물질정보!B:G,6,0)</f>
        <v>CC(=C)C(=O)OCCO</v>
      </c>
      <c r="H988" t="s">
        <v>79</v>
      </c>
      <c r="I988" t="s">
        <v>141</v>
      </c>
      <c r="J988" t="s">
        <v>824</v>
      </c>
      <c r="K988" t="s">
        <v>382</v>
      </c>
      <c r="R988" t="s">
        <v>355</v>
      </c>
      <c r="V988" s="6" t="s">
        <v>356</v>
      </c>
      <c r="W988" t="s">
        <v>112</v>
      </c>
      <c r="X988" t="s">
        <v>825</v>
      </c>
      <c r="Y988" s="6" t="s">
        <v>753</v>
      </c>
    </row>
    <row r="989" spans="2:25" x14ac:dyDescent="0.3">
      <c r="B989" s="5" t="s">
        <v>25</v>
      </c>
      <c r="C989" s="5" t="str">
        <f>VLOOKUP(B989,[1]물질정보!B:C,2,0)</f>
        <v>97-88-1</v>
      </c>
      <c r="D989" t="str">
        <f>VLOOKUP(B989,[1]물질정보!B:D,3,0)</f>
        <v>butyl methacrylate</v>
      </c>
      <c r="E989" t="str">
        <f>VLOOKUP(B989,[1]물질정보!B:E,4,0)</f>
        <v>C8H14O2</v>
      </c>
      <c r="F989" t="str">
        <f>VLOOKUP(B989,[1]물질정보!B:F,5,0)</f>
        <v>142.2 g/mol</v>
      </c>
      <c r="G989" s="5" t="str">
        <f>VLOOKUP(B989,[1]물질정보!B:G,6,0)</f>
        <v>CCCCOC(=O)C(=C)C</v>
      </c>
      <c r="H989" t="s">
        <v>79</v>
      </c>
      <c r="I989" t="s">
        <v>141</v>
      </c>
      <c r="J989" t="s">
        <v>824</v>
      </c>
      <c r="K989" t="s">
        <v>383</v>
      </c>
      <c r="R989" t="s">
        <v>355</v>
      </c>
      <c r="V989" s="6" t="s">
        <v>356</v>
      </c>
      <c r="W989" t="s">
        <v>112</v>
      </c>
      <c r="X989" t="s">
        <v>825</v>
      </c>
      <c r="Y989" s="6" t="s">
        <v>753</v>
      </c>
    </row>
    <row r="990" spans="2:25" x14ac:dyDescent="0.3">
      <c r="B990" s="5" t="s">
        <v>68</v>
      </c>
      <c r="C990" s="5" t="str">
        <f>VLOOKUP(B990,[1]물질정보!B:C,2,0)</f>
        <v>997-46-6</v>
      </c>
      <c r="D990" t="str">
        <f>VLOOKUP(B990,[1]물질정보!B:D,3,0)</f>
        <v>4-hydroxybutyl methacrylate</v>
      </c>
      <c r="E990" t="str">
        <f>VLOOKUP(B990,[1]물질정보!B:E,4,0)</f>
        <v>C8H14O3</v>
      </c>
      <c r="F990" t="str">
        <f>VLOOKUP(B990,[1]물질정보!B:F,5,0)</f>
        <v>158.19 g/mol</v>
      </c>
      <c r="G990" s="5" t="str">
        <f>VLOOKUP(B990,[1]물질정보!B:G,6,0)</f>
        <v>CC(=C)C(=O)OCCCCO</v>
      </c>
      <c r="H990" t="s">
        <v>79</v>
      </c>
      <c r="I990" t="s">
        <v>141</v>
      </c>
      <c r="J990" t="s">
        <v>824</v>
      </c>
      <c r="K990" t="s">
        <v>384</v>
      </c>
      <c r="R990" t="s">
        <v>355</v>
      </c>
      <c r="V990" s="6" t="s">
        <v>356</v>
      </c>
      <c r="W990" t="s">
        <v>112</v>
      </c>
      <c r="X990" t="s">
        <v>825</v>
      </c>
      <c r="Y990" s="6" t="s">
        <v>753</v>
      </c>
    </row>
    <row r="991" spans="2:25" x14ac:dyDescent="0.3">
      <c r="B991" t="s">
        <v>67</v>
      </c>
      <c r="C991" s="5" t="str">
        <f>VLOOKUP(B991,[1]물질정보!B:C,2,0)</f>
        <v>818-61-1</v>
      </c>
      <c r="D991" t="str">
        <f>VLOOKUP(B991,[1]물질정보!B:D,3,0)</f>
        <v>2-hydroxyethyl acrylate</v>
      </c>
      <c r="E991" t="str">
        <f>VLOOKUP(B991,[1]물질정보!B:E,4,0)</f>
        <v>C5H8O3</v>
      </c>
      <c r="F991" t="str">
        <f>VLOOKUP(B991,[1]물질정보!B:F,5,0)</f>
        <v>116.11 g/mol</v>
      </c>
      <c r="G991" s="5" t="str">
        <f>VLOOKUP(B991,[1]물질정보!B:G,6,0)</f>
        <v>C=CC(=O)OCCO</v>
      </c>
      <c r="I991" t="s">
        <v>385</v>
      </c>
      <c r="K991" t="s">
        <v>99</v>
      </c>
      <c r="M991" t="s">
        <v>120</v>
      </c>
      <c r="P991" t="s">
        <v>386</v>
      </c>
      <c r="Q991" t="s">
        <v>31</v>
      </c>
      <c r="R991" t="s">
        <v>159</v>
      </c>
      <c r="S991" t="s">
        <v>387</v>
      </c>
      <c r="V991" s="6" t="s">
        <v>160</v>
      </c>
      <c r="W991" t="s">
        <v>120</v>
      </c>
    </row>
    <row r="992" spans="2:25" x14ac:dyDescent="0.3">
      <c r="B992" t="s">
        <v>67</v>
      </c>
      <c r="C992" s="5" t="str">
        <f>VLOOKUP(B992,[1]물질정보!B:C,2,0)</f>
        <v>818-61-1</v>
      </c>
      <c r="D992" t="str">
        <f>VLOOKUP(B992,[1]물질정보!B:D,3,0)</f>
        <v>2-hydroxyethyl acrylate</v>
      </c>
      <c r="E992" t="str">
        <f>VLOOKUP(B992,[1]물질정보!B:E,4,0)</f>
        <v>C5H8O3</v>
      </c>
      <c r="F992" t="str">
        <f>VLOOKUP(B992,[1]물질정보!B:F,5,0)</f>
        <v>116.11 g/mol</v>
      </c>
      <c r="G992" s="5" t="str">
        <f>VLOOKUP(B992,[1]물질정보!B:G,6,0)</f>
        <v>C=CC(=O)OCCO</v>
      </c>
      <c r="I992" t="s">
        <v>385</v>
      </c>
      <c r="K992" t="s">
        <v>99</v>
      </c>
      <c r="M992" t="s">
        <v>120</v>
      </c>
      <c r="P992" t="s">
        <v>386</v>
      </c>
      <c r="Q992" t="s">
        <v>31</v>
      </c>
      <c r="R992" t="s">
        <v>159</v>
      </c>
      <c r="S992" t="s">
        <v>387</v>
      </c>
      <c r="V992" s="6" t="s">
        <v>160</v>
      </c>
      <c r="W992" t="s">
        <v>120</v>
      </c>
    </row>
    <row r="993" spans="2:23" x14ac:dyDescent="0.3">
      <c r="B993" t="s">
        <v>67</v>
      </c>
      <c r="C993" s="5" t="str">
        <f>VLOOKUP(B993,[1]물질정보!B:C,2,0)</f>
        <v>818-61-1</v>
      </c>
      <c r="D993" t="str">
        <f>VLOOKUP(B993,[1]물질정보!B:D,3,0)</f>
        <v>2-hydroxyethyl acrylate</v>
      </c>
      <c r="E993" t="str">
        <f>VLOOKUP(B993,[1]물질정보!B:E,4,0)</f>
        <v>C5H8O3</v>
      </c>
      <c r="F993" t="str">
        <f>VLOOKUP(B993,[1]물질정보!B:F,5,0)</f>
        <v>116.11 g/mol</v>
      </c>
      <c r="G993" s="5" t="str">
        <f>VLOOKUP(B993,[1]물질정보!B:G,6,0)</f>
        <v>C=CC(=O)OCCO</v>
      </c>
      <c r="I993" t="s">
        <v>385</v>
      </c>
      <c r="K993" t="s">
        <v>99</v>
      </c>
      <c r="R993" t="s">
        <v>159</v>
      </c>
      <c r="V993" s="6" t="s">
        <v>163</v>
      </c>
      <c r="W993" t="s">
        <v>29</v>
      </c>
    </row>
    <row r="994" spans="2:23" x14ac:dyDescent="0.3">
      <c r="B994" t="s">
        <v>67</v>
      </c>
      <c r="C994" s="5" t="str">
        <f>VLOOKUP(B994,[1]물질정보!B:C,2,0)</f>
        <v>818-61-1</v>
      </c>
      <c r="D994" t="str">
        <f>VLOOKUP(B994,[1]물질정보!B:D,3,0)</f>
        <v>2-hydroxyethyl acrylate</v>
      </c>
      <c r="E994" t="str">
        <f>VLOOKUP(B994,[1]물질정보!B:E,4,0)</f>
        <v>C5H8O3</v>
      </c>
      <c r="F994" t="str">
        <f>VLOOKUP(B994,[1]물질정보!B:F,5,0)</f>
        <v>116.11 g/mol</v>
      </c>
      <c r="G994" s="5" t="str">
        <f>VLOOKUP(B994,[1]물질정보!B:G,6,0)</f>
        <v>C=CC(=O)OCCO</v>
      </c>
      <c r="I994" t="s">
        <v>385</v>
      </c>
      <c r="K994" t="s">
        <v>99</v>
      </c>
      <c r="R994" t="s">
        <v>159</v>
      </c>
      <c r="V994" s="6" t="s">
        <v>168</v>
      </c>
      <c r="W994" t="s">
        <v>29</v>
      </c>
    </row>
    <row r="995" spans="2:23" x14ac:dyDescent="0.3">
      <c r="B995" t="s">
        <v>67</v>
      </c>
      <c r="C995" s="5" t="str">
        <f>VLOOKUP(B995,[1]물질정보!B:C,2,0)</f>
        <v>818-61-1</v>
      </c>
      <c r="D995" t="str">
        <f>VLOOKUP(B995,[1]물질정보!B:D,3,0)</f>
        <v>2-hydroxyethyl acrylate</v>
      </c>
      <c r="E995" t="str">
        <f>VLOOKUP(B995,[1]물질정보!B:E,4,0)</f>
        <v>C5H8O3</v>
      </c>
      <c r="F995" t="str">
        <f>VLOOKUP(B995,[1]물질정보!B:F,5,0)</f>
        <v>116.11 g/mol</v>
      </c>
      <c r="G995" s="5" t="str">
        <f>VLOOKUP(B995,[1]물질정보!B:G,6,0)</f>
        <v>C=CC(=O)OCCO</v>
      </c>
      <c r="I995" t="s">
        <v>385</v>
      </c>
      <c r="K995" t="s">
        <v>99</v>
      </c>
      <c r="R995" t="s">
        <v>159</v>
      </c>
      <c r="V995" s="6" t="s">
        <v>169</v>
      </c>
      <c r="W995" t="s">
        <v>29</v>
      </c>
    </row>
    <row r="996" spans="2:23" x14ac:dyDescent="0.3">
      <c r="B996" t="s">
        <v>71</v>
      </c>
      <c r="C996" s="5" t="str">
        <f>VLOOKUP(B996,[1]물질정보!B:C,2,0)</f>
        <v>97-63-2</v>
      </c>
      <c r="D996" t="str">
        <f>VLOOKUP(B996,[1]물질정보!B:D,3,0)</f>
        <v>ethyl methacrylate</v>
      </c>
      <c r="E996" t="str">
        <f>VLOOKUP(B996,[1]물질정보!B:E,4,0)</f>
        <v>C6H10O2</v>
      </c>
      <c r="F996" t="str">
        <f>VLOOKUP(B996,[1]물질정보!B:F,5,0)</f>
        <v>114.14 g/mol</v>
      </c>
      <c r="G996" s="5" t="str">
        <f>VLOOKUP(B996,[1]물질정보!B:G,6,0)</f>
        <v>CCOC(=O)C(=C)C</v>
      </c>
      <c r="I996" t="s">
        <v>385</v>
      </c>
      <c r="J996" t="s">
        <v>388</v>
      </c>
      <c r="K996">
        <v>0.33</v>
      </c>
      <c r="M996" t="s">
        <v>389</v>
      </c>
      <c r="P996">
        <v>2</v>
      </c>
      <c r="Q996" t="s">
        <v>31</v>
      </c>
      <c r="R996" t="s">
        <v>159</v>
      </c>
      <c r="S996" t="s">
        <v>390</v>
      </c>
      <c r="V996" s="6" t="s">
        <v>160</v>
      </c>
      <c r="W996" t="s">
        <v>120</v>
      </c>
    </row>
    <row r="997" spans="2:23" x14ac:dyDescent="0.3">
      <c r="B997" t="s">
        <v>71</v>
      </c>
      <c r="C997" s="5" t="str">
        <f>VLOOKUP(B997,[1]물질정보!B:C,2,0)</f>
        <v>97-63-2</v>
      </c>
      <c r="D997" t="str">
        <f>VLOOKUP(B997,[1]물질정보!B:D,3,0)</f>
        <v>ethyl methacrylate</v>
      </c>
      <c r="E997" t="str">
        <f>VLOOKUP(B997,[1]물질정보!B:E,4,0)</f>
        <v>C6H10O2</v>
      </c>
      <c r="F997" t="str">
        <f>VLOOKUP(B997,[1]물질정보!B:F,5,0)</f>
        <v>114.14 g/mol</v>
      </c>
      <c r="G997" s="5" t="str">
        <f>VLOOKUP(B997,[1]물질정보!B:G,6,0)</f>
        <v>CCOC(=O)C(=C)C</v>
      </c>
      <c r="I997" t="s">
        <v>385</v>
      </c>
      <c r="J997" t="s">
        <v>391</v>
      </c>
      <c r="K997">
        <v>8.3000000000000004E-2</v>
      </c>
      <c r="M997" t="s">
        <v>389</v>
      </c>
      <c r="P997">
        <v>2</v>
      </c>
      <c r="Q997" t="s">
        <v>31</v>
      </c>
      <c r="R997" t="s">
        <v>159</v>
      </c>
      <c r="S997" t="s">
        <v>390</v>
      </c>
      <c r="V997" s="6" t="s">
        <v>160</v>
      </c>
      <c r="W997" t="s">
        <v>120</v>
      </c>
    </row>
    <row r="998" spans="2:23" x14ac:dyDescent="0.3">
      <c r="B998" t="s">
        <v>71</v>
      </c>
      <c r="C998" s="5" t="str">
        <f>VLOOKUP(B998,[1]물질정보!B:C,2,0)</f>
        <v>97-63-2</v>
      </c>
      <c r="D998" t="str">
        <f>VLOOKUP(B998,[1]물질정보!B:D,3,0)</f>
        <v>ethyl methacrylate</v>
      </c>
      <c r="E998" t="str">
        <f>VLOOKUP(B998,[1]물질정보!B:E,4,0)</f>
        <v>C6H10O2</v>
      </c>
      <c r="F998" t="str">
        <f>VLOOKUP(B998,[1]물질정보!B:F,5,0)</f>
        <v>114.14 g/mol</v>
      </c>
      <c r="G998" s="5" t="str">
        <f>VLOOKUP(B998,[1]물질정보!B:G,6,0)</f>
        <v>CCOC(=O)C(=C)C</v>
      </c>
      <c r="I998" t="s">
        <v>385</v>
      </c>
      <c r="J998" t="s">
        <v>388</v>
      </c>
      <c r="K998">
        <v>0</v>
      </c>
      <c r="M998" t="s">
        <v>389</v>
      </c>
      <c r="P998">
        <v>2</v>
      </c>
      <c r="Q998" t="s">
        <v>31</v>
      </c>
      <c r="R998" t="s">
        <v>159</v>
      </c>
      <c r="S998" t="s">
        <v>390</v>
      </c>
      <c r="V998" s="6" t="s">
        <v>160</v>
      </c>
      <c r="W998" t="s">
        <v>120</v>
      </c>
    </row>
    <row r="999" spans="2:23" x14ac:dyDescent="0.3">
      <c r="B999" t="s">
        <v>71</v>
      </c>
      <c r="C999" s="5" t="str">
        <f>VLOOKUP(B999,[1]물질정보!B:C,2,0)</f>
        <v>97-63-2</v>
      </c>
      <c r="D999" t="str">
        <f>VLOOKUP(B999,[1]물질정보!B:D,3,0)</f>
        <v>ethyl methacrylate</v>
      </c>
      <c r="E999" t="str">
        <f>VLOOKUP(B999,[1]물질정보!B:E,4,0)</f>
        <v>C6H10O2</v>
      </c>
      <c r="F999" t="str">
        <f>VLOOKUP(B999,[1]물질정보!B:F,5,0)</f>
        <v>114.14 g/mol</v>
      </c>
      <c r="G999" s="5" t="str">
        <f>VLOOKUP(B999,[1]물질정보!B:G,6,0)</f>
        <v>CCOC(=O)C(=C)C</v>
      </c>
      <c r="I999" t="s">
        <v>385</v>
      </c>
      <c r="J999" t="s">
        <v>388</v>
      </c>
      <c r="K999">
        <v>1</v>
      </c>
      <c r="M999" t="s">
        <v>389</v>
      </c>
      <c r="P999">
        <v>2</v>
      </c>
      <c r="Q999" t="s">
        <v>31</v>
      </c>
      <c r="R999" t="s">
        <v>159</v>
      </c>
      <c r="S999" t="s">
        <v>390</v>
      </c>
      <c r="V999" s="6" t="s">
        <v>160</v>
      </c>
      <c r="W999" t="s">
        <v>120</v>
      </c>
    </row>
    <row r="1000" spans="2:23" x14ac:dyDescent="0.3">
      <c r="B1000" t="s">
        <v>71</v>
      </c>
      <c r="C1000" s="5" t="str">
        <f>VLOOKUP(B1000,[1]물질정보!B:C,2,0)</f>
        <v>97-63-2</v>
      </c>
      <c r="D1000" t="str">
        <f>VLOOKUP(B1000,[1]물질정보!B:D,3,0)</f>
        <v>ethyl methacrylate</v>
      </c>
      <c r="E1000" t="str">
        <f>VLOOKUP(B1000,[1]물질정보!B:E,4,0)</f>
        <v>C6H10O2</v>
      </c>
      <c r="F1000" t="str">
        <f>VLOOKUP(B1000,[1]물질정보!B:F,5,0)</f>
        <v>114.14 g/mol</v>
      </c>
      <c r="G1000" s="5" t="str">
        <f>VLOOKUP(B1000,[1]물질정보!B:G,6,0)</f>
        <v>CCOC(=O)C(=C)C</v>
      </c>
      <c r="I1000" t="s">
        <v>385</v>
      </c>
      <c r="J1000" t="s">
        <v>391</v>
      </c>
      <c r="K1000">
        <v>0.5</v>
      </c>
      <c r="M1000" t="s">
        <v>389</v>
      </c>
      <c r="P1000">
        <v>2</v>
      </c>
      <c r="Q1000" t="s">
        <v>31</v>
      </c>
      <c r="R1000" t="s">
        <v>159</v>
      </c>
      <c r="S1000" t="s">
        <v>390</v>
      </c>
      <c r="V1000" s="6" t="s">
        <v>160</v>
      </c>
      <c r="W1000" t="s">
        <v>120</v>
      </c>
    </row>
    <row r="1001" spans="2:23" x14ac:dyDescent="0.3">
      <c r="B1001" t="s">
        <v>71</v>
      </c>
      <c r="C1001" s="5" t="str">
        <f>VLOOKUP(B1001,[1]물질정보!B:C,2,0)</f>
        <v>97-63-2</v>
      </c>
      <c r="D1001" t="str">
        <f>VLOOKUP(B1001,[1]물질정보!B:D,3,0)</f>
        <v>ethyl methacrylate</v>
      </c>
      <c r="E1001" t="str">
        <f>VLOOKUP(B1001,[1]물질정보!B:E,4,0)</f>
        <v>C6H10O2</v>
      </c>
      <c r="F1001" t="str">
        <f>VLOOKUP(B1001,[1]물질정보!B:F,5,0)</f>
        <v>114.14 g/mol</v>
      </c>
      <c r="G1001" s="5" t="str">
        <f>VLOOKUP(B1001,[1]물질정보!B:G,6,0)</f>
        <v>CCOC(=O)C(=C)C</v>
      </c>
      <c r="I1001" t="s">
        <v>385</v>
      </c>
      <c r="J1001" t="s">
        <v>391</v>
      </c>
      <c r="K1001">
        <v>1.67</v>
      </c>
      <c r="M1001" t="s">
        <v>389</v>
      </c>
      <c r="P1001">
        <v>24</v>
      </c>
      <c r="Q1001" t="s">
        <v>31</v>
      </c>
      <c r="R1001" t="s">
        <v>159</v>
      </c>
      <c r="S1001" t="s">
        <v>392</v>
      </c>
      <c r="V1001" s="6" t="s">
        <v>160</v>
      </c>
      <c r="W1001" t="s">
        <v>120</v>
      </c>
    </row>
    <row r="1002" spans="2:23" x14ac:dyDescent="0.3">
      <c r="B1002" t="s">
        <v>71</v>
      </c>
      <c r="C1002" s="5" t="str">
        <f>VLOOKUP(B1002,[1]물질정보!B:C,2,0)</f>
        <v>97-63-2</v>
      </c>
      <c r="D1002" t="str">
        <f>VLOOKUP(B1002,[1]물질정보!B:D,3,0)</f>
        <v>ethyl methacrylate</v>
      </c>
      <c r="E1002" t="str">
        <f>VLOOKUP(B1002,[1]물질정보!B:E,4,0)</f>
        <v>C6H10O2</v>
      </c>
      <c r="F1002" t="str">
        <f>VLOOKUP(B1002,[1]물질정보!B:F,5,0)</f>
        <v>114.14 g/mol</v>
      </c>
      <c r="G1002" s="5" t="str">
        <f>VLOOKUP(B1002,[1]물질정보!B:G,6,0)</f>
        <v>CCOC(=O)C(=C)C</v>
      </c>
      <c r="I1002" t="s">
        <v>385</v>
      </c>
      <c r="J1002" t="s">
        <v>388</v>
      </c>
      <c r="K1002">
        <v>1.34</v>
      </c>
      <c r="M1002" t="s">
        <v>389</v>
      </c>
      <c r="P1002">
        <v>24</v>
      </c>
      <c r="Q1002" t="s">
        <v>31</v>
      </c>
      <c r="R1002" t="s">
        <v>159</v>
      </c>
      <c r="S1002" t="s">
        <v>392</v>
      </c>
      <c r="V1002" s="6" t="s">
        <v>160</v>
      </c>
      <c r="W1002" t="s">
        <v>120</v>
      </c>
    </row>
    <row r="1003" spans="2:23" x14ac:dyDescent="0.3">
      <c r="B1003" t="s">
        <v>71</v>
      </c>
      <c r="C1003" s="5" t="str">
        <f>VLOOKUP(B1003,[1]물질정보!B:C,2,0)</f>
        <v>97-63-2</v>
      </c>
      <c r="D1003" t="str">
        <f>VLOOKUP(B1003,[1]물질정보!B:D,3,0)</f>
        <v>ethyl methacrylate</v>
      </c>
      <c r="E1003" t="str">
        <f>VLOOKUP(B1003,[1]물질정보!B:E,4,0)</f>
        <v>C6H10O2</v>
      </c>
      <c r="F1003" t="str">
        <f>VLOOKUP(B1003,[1]물질정보!B:F,5,0)</f>
        <v>114.14 g/mol</v>
      </c>
      <c r="G1003" s="5" t="str">
        <f>VLOOKUP(B1003,[1]물질정보!B:G,6,0)</f>
        <v>CCOC(=O)C(=C)C</v>
      </c>
      <c r="I1003" t="s">
        <v>385</v>
      </c>
      <c r="J1003" t="s">
        <v>388</v>
      </c>
      <c r="K1003">
        <v>1.4</v>
      </c>
      <c r="M1003" t="s">
        <v>389</v>
      </c>
      <c r="P1003">
        <v>24</v>
      </c>
      <c r="Q1003" t="s">
        <v>31</v>
      </c>
      <c r="R1003" t="s">
        <v>159</v>
      </c>
      <c r="S1003" t="s">
        <v>392</v>
      </c>
      <c r="V1003" s="6" t="s">
        <v>160</v>
      </c>
      <c r="W1003" t="s">
        <v>120</v>
      </c>
    </row>
    <row r="1004" spans="2:23" x14ac:dyDescent="0.3">
      <c r="B1004" t="s">
        <v>71</v>
      </c>
      <c r="C1004" s="5" t="str">
        <f>VLOOKUP(B1004,[1]물질정보!B:C,2,0)</f>
        <v>97-63-2</v>
      </c>
      <c r="D1004" t="str">
        <f>VLOOKUP(B1004,[1]물질정보!B:D,3,0)</f>
        <v>ethyl methacrylate</v>
      </c>
      <c r="E1004" t="str">
        <f>VLOOKUP(B1004,[1]물질정보!B:E,4,0)</f>
        <v>C6H10O2</v>
      </c>
      <c r="F1004" t="str">
        <f>VLOOKUP(B1004,[1]물질정보!B:F,5,0)</f>
        <v>114.14 g/mol</v>
      </c>
      <c r="G1004" s="5" t="str">
        <f>VLOOKUP(B1004,[1]물질정보!B:G,6,0)</f>
        <v>CCOC(=O)C(=C)C</v>
      </c>
      <c r="I1004" t="s">
        <v>385</v>
      </c>
      <c r="J1004" t="s">
        <v>388</v>
      </c>
      <c r="K1004">
        <v>0.5</v>
      </c>
      <c r="M1004" t="s">
        <v>389</v>
      </c>
      <c r="P1004">
        <v>24</v>
      </c>
      <c r="Q1004" t="s">
        <v>31</v>
      </c>
      <c r="R1004" t="s">
        <v>159</v>
      </c>
      <c r="S1004" t="s">
        <v>392</v>
      </c>
      <c r="V1004" s="6" t="s">
        <v>160</v>
      </c>
      <c r="W1004" t="s">
        <v>120</v>
      </c>
    </row>
    <row r="1005" spans="2:23" x14ac:dyDescent="0.3">
      <c r="B1005" t="s">
        <v>71</v>
      </c>
      <c r="C1005" s="5" t="str">
        <f>VLOOKUP(B1005,[1]물질정보!B:C,2,0)</f>
        <v>97-63-2</v>
      </c>
      <c r="D1005" t="str">
        <f>VLOOKUP(B1005,[1]물질정보!B:D,3,0)</f>
        <v>ethyl methacrylate</v>
      </c>
      <c r="E1005" t="str">
        <f>VLOOKUP(B1005,[1]물질정보!B:E,4,0)</f>
        <v>C6H10O2</v>
      </c>
      <c r="F1005" t="str">
        <f>VLOOKUP(B1005,[1]물질정보!B:F,5,0)</f>
        <v>114.14 g/mol</v>
      </c>
      <c r="G1005" s="5" t="str">
        <f>VLOOKUP(B1005,[1]물질정보!B:G,6,0)</f>
        <v>CCOC(=O)C(=C)C</v>
      </c>
      <c r="I1005" t="s">
        <v>385</v>
      </c>
      <c r="J1005" t="s">
        <v>388</v>
      </c>
      <c r="K1005">
        <v>1.5</v>
      </c>
      <c r="M1005" t="s">
        <v>389</v>
      </c>
      <c r="P1005">
        <v>24</v>
      </c>
      <c r="Q1005" t="s">
        <v>31</v>
      </c>
      <c r="R1005" t="s">
        <v>159</v>
      </c>
      <c r="S1005" t="s">
        <v>392</v>
      </c>
      <c r="V1005" s="6" t="s">
        <v>160</v>
      </c>
      <c r="W1005" t="s">
        <v>120</v>
      </c>
    </row>
    <row r="1006" spans="2:23" x14ac:dyDescent="0.3">
      <c r="B1006" t="s">
        <v>71</v>
      </c>
      <c r="C1006" s="5" t="str">
        <f>VLOOKUP(B1006,[1]물질정보!B:C,2,0)</f>
        <v>97-63-2</v>
      </c>
      <c r="D1006" t="str">
        <f>VLOOKUP(B1006,[1]물질정보!B:D,3,0)</f>
        <v>ethyl methacrylate</v>
      </c>
      <c r="E1006" t="str">
        <f>VLOOKUP(B1006,[1]물질정보!B:E,4,0)</f>
        <v>C6H10O2</v>
      </c>
      <c r="F1006" t="str">
        <f>VLOOKUP(B1006,[1]물질정보!B:F,5,0)</f>
        <v>114.14 g/mol</v>
      </c>
      <c r="G1006" s="5" t="str">
        <f>VLOOKUP(B1006,[1]물질정보!B:G,6,0)</f>
        <v>CCOC(=O)C(=C)C</v>
      </c>
      <c r="I1006" t="s">
        <v>385</v>
      </c>
      <c r="J1006" t="s">
        <v>388</v>
      </c>
      <c r="K1006">
        <v>2</v>
      </c>
      <c r="M1006" t="s">
        <v>389</v>
      </c>
      <c r="P1006">
        <v>24</v>
      </c>
      <c r="Q1006" t="s">
        <v>31</v>
      </c>
      <c r="R1006" t="s">
        <v>159</v>
      </c>
      <c r="S1006" t="s">
        <v>392</v>
      </c>
      <c r="V1006" s="6" t="s">
        <v>160</v>
      </c>
      <c r="W1006" t="s">
        <v>120</v>
      </c>
    </row>
    <row r="1007" spans="2:23" x14ac:dyDescent="0.3">
      <c r="B1007" t="s">
        <v>71</v>
      </c>
      <c r="C1007" s="5" t="str">
        <f>VLOOKUP(B1007,[1]물질정보!B:C,2,0)</f>
        <v>97-63-2</v>
      </c>
      <c r="D1007" t="str">
        <f>VLOOKUP(B1007,[1]물질정보!B:D,3,0)</f>
        <v>ethyl methacrylate</v>
      </c>
      <c r="E1007" t="str">
        <f>VLOOKUP(B1007,[1]물질정보!B:E,4,0)</f>
        <v>C6H10O2</v>
      </c>
      <c r="F1007" t="str">
        <f>VLOOKUP(B1007,[1]물질정보!B:F,5,0)</f>
        <v>114.14 g/mol</v>
      </c>
      <c r="G1007" s="5" t="str">
        <f>VLOOKUP(B1007,[1]물질정보!B:G,6,0)</f>
        <v>CCOC(=O)C(=C)C</v>
      </c>
      <c r="I1007" t="s">
        <v>385</v>
      </c>
      <c r="J1007" t="s">
        <v>391</v>
      </c>
      <c r="K1007">
        <v>2</v>
      </c>
      <c r="M1007" t="s">
        <v>389</v>
      </c>
      <c r="P1007">
        <v>24</v>
      </c>
      <c r="Q1007" t="s">
        <v>31</v>
      </c>
      <c r="R1007" t="s">
        <v>159</v>
      </c>
      <c r="S1007" t="s">
        <v>392</v>
      </c>
      <c r="V1007" s="6" t="s">
        <v>160</v>
      </c>
      <c r="W1007" t="s">
        <v>120</v>
      </c>
    </row>
    <row r="1008" spans="2:23" x14ac:dyDescent="0.3">
      <c r="B1008" t="s">
        <v>71</v>
      </c>
      <c r="C1008" s="5" t="str">
        <f>VLOOKUP(B1008,[1]물질정보!B:C,2,0)</f>
        <v>97-63-2</v>
      </c>
      <c r="D1008" t="str">
        <f>VLOOKUP(B1008,[1]물질정보!B:D,3,0)</f>
        <v>ethyl methacrylate</v>
      </c>
      <c r="E1008" t="str">
        <f>VLOOKUP(B1008,[1]물질정보!B:E,4,0)</f>
        <v>C6H10O2</v>
      </c>
      <c r="F1008" t="str">
        <f>VLOOKUP(B1008,[1]물질정보!B:F,5,0)</f>
        <v>114.14 g/mol</v>
      </c>
      <c r="G1008" s="5" t="str">
        <f>VLOOKUP(B1008,[1]물질정보!B:G,6,0)</f>
        <v>CCOC(=O)C(=C)C</v>
      </c>
      <c r="I1008" t="s">
        <v>385</v>
      </c>
      <c r="J1008" t="s">
        <v>391</v>
      </c>
      <c r="K1008">
        <v>2.5</v>
      </c>
      <c r="M1008" t="s">
        <v>389</v>
      </c>
      <c r="P1008">
        <v>24</v>
      </c>
      <c r="Q1008" t="s">
        <v>31</v>
      </c>
      <c r="R1008" t="s">
        <v>159</v>
      </c>
      <c r="S1008" t="s">
        <v>392</v>
      </c>
      <c r="V1008" s="6" t="s">
        <v>160</v>
      </c>
      <c r="W1008" t="s">
        <v>120</v>
      </c>
    </row>
    <row r="1009" spans="2:23" x14ac:dyDescent="0.3">
      <c r="B1009" t="s">
        <v>71</v>
      </c>
      <c r="C1009" s="5" t="str">
        <f>VLOOKUP(B1009,[1]물질정보!B:C,2,0)</f>
        <v>97-63-2</v>
      </c>
      <c r="D1009" t="str">
        <f>VLOOKUP(B1009,[1]물질정보!B:D,3,0)</f>
        <v>ethyl methacrylate</v>
      </c>
      <c r="E1009" t="str">
        <f>VLOOKUP(B1009,[1]물질정보!B:E,4,0)</f>
        <v>C6H10O2</v>
      </c>
      <c r="F1009" t="str">
        <f>VLOOKUP(B1009,[1]물질정보!B:F,5,0)</f>
        <v>114.14 g/mol</v>
      </c>
      <c r="G1009" s="5" t="str">
        <f>VLOOKUP(B1009,[1]물질정보!B:G,6,0)</f>
        <v>CCOC(=O)C(=C)C</v>
      </c>
      <c r="I1009" t="s">
        <v>385</v>
      </c>
      <c r="J1009" t="s">
        <v>391</v>
      </c>
      <c r="K1009">
        <v>3</v>
      </c>
      <c r="M1009" t="s">
        <v>389</v>
      </c>
      <c r="P1009">
        <v>24</v>
      </c>
      <c r="Q1009" t="s">
        <v>31</v>
      </c>
      <c r="R1009" t="s">
        <v>159</v>
      </c>
      <c r="S1009" t="s">
        <v>392</v>
      </c>
      <c r="V1009" s="6" t="s">
        <v>160</v>
      </c>
      <c r="W1009" t="s">
        <v>120</v>
      </c>
    </row>
    <row r="1010" spans="2:23" x14ac:dyDescent="0.3">
      <c r="B1010" t="s">
        <v>71</v>
      </c>
      <c r="C1010" s="5" t="str">
        <f>VLOOKUP(B1010,[1]물질정보!B:C,2,0)</f>
        <v>97-63-2</v>
      </c>
      <c r="D1010" t="str">
        <f>VLOOKUP(B1010,[1]물질정보!B:D,3,0)</f>
        <v>ethyl methacrylate</v>
      </c>
      <c r="E1010" t="str">
        <f>VLOOKUP(B1010,[1]물질정보!B:E,4,0)</f>
        <v>C6H10O2</v>
      </c>
      <c r="F1010" t="str">
        <f>VLOOKUP(B1010,[1]물질정보!B:F,5,0)</f>
        <v>114.14 g/mol</v>
      </c>
      <c r="G1010" s="5" t="str">
        <f>VLOOKUP(B1010,[1]물질정보!B:G,6,0)</f>
        <v>CCOC(=O)C(=C)C</v>
      </c>
      <c r="I1010" t="s">
        <v>385</v>
      </c>
      <c r="J1010" t="s">
        <v>388</v>
      </c>
      <c r="K1010">
        <v>2.5</v>
      </c>
      <c r="M1010" t="s">
        <v>120</v>
      </c>
      <c r="P1010">
        <v>24</v>
      </c>
      <c r="Q1010" t="s">
        <v>31</v>
      </c>
      <c r="R1010" t="s">
        <v>159</v>
      </c>
      <c r="S1010" t="s">
        <v>393</v>
      </c>
      <c r="V1010" s="6" t="s">
        <v>160</v>
      </c>
      <c r="W1010" t="s">
        <v>120</v>
      </c>
    </row>
    <row r="1011" spans="2:23" x14ac:dyDescent="0.3">
      <c r="B1011" t="s">
        <v>71</v>
      </c>
      <c r="C1011" s="5" t="str">
        <f>VLOOKUP(B1011,[1]물질정보!B:C,2,0)</f>
        <v>97-63-2</v>
      </c>
      <c r="D1011" t="str">
        <f>VLOOKUP(B1011,[1]물질정보!B:D,3,0)</f>
        <v>ethyl methacrylate</v>
      </c>
      <c r="E1011" t="str">
        <f>VLOOKUP(B1011,[1]물질정보!B:E,4,0)</f>
        <v>C6H10O2</v>
      </c>
      <c r="F1011" t="str">
        <f>VLOOKUP(B1011,[1]물질정보!B:F,5,0)</f>
        <v>114.14 g/mol</v>
      </c>
      <c r="G1011" s="5" t="str">
        <f>VLOOKUP(B1011,[1]물질정보!B:G,6,0)</f>
        <v>CCOC(=O)C(=C)C</v>
      </c>
      <c r="I1011" t="s">
        <v>385</v>
      </c>
      <c r="J1011" t="s">
        <v>391</v>
      </c>
      <c r="K1011">
        <v>0</v>
      </c>
      <c r="M1011" t="s">
        <v>120</v>
      </c>
      <c r="P1011">
        <v>24</v>
      </c>
      <c r="Q1011" t="s">
        <v>31</v>
      </c>
      <c r="R1011" t="s">
        <v>159</v>
      </c>
      <c r="S1011" t="s">
        <v>393</v>
      </c>
      <c r="V1011" s="6" t="s">
        <v>160</v>
      </c>
      <c r="W1011" t="s">
        <v>120</v>
      </c>
    </row>
    <row r="1012" spans="2:23" x14ac:dyDescent="0.3">
      <c r="B1012" t="s">
        <v>71</v>
      </c>
      <c r="C1012" s="5" t="str">
        <f>VLOOKUP(B1012,[1]물질정보!B:C,2,0)</f>
        <v>97-63-2</v>
      </c>
      <c r="D1012" t="str">
        <f>VLOOKUP(B1012,[1]물질정보!B:D,3,0)</f>
        <v>ethyl methacrylate</v>
      </c>
      <c r="E1012" t="str">
        <f>VLOOKUP(B1012,[1]물질정보!B:E,4,0)</f>
        <v>C6H10O2</v>
      </c>
      <c r="F1012" t="str">
        <f>VLOOKUP(B1012,[1]물질정보!B:F,5,0)</f>
        <v>114.14 g/mol</v>
      </c>
      <c r="G1012" s="5" t="str">
        <f>VLOOKUP(B1012,[1]물질정보!B:G,6,0)</f>
        <v>CCOC(=O)C(=C)C</v>
      </c>
      <c r="I1012" t="s">
        <v>385</v>
      </c>
      <c r="K1012" t="s">
        <v>99</v>
      </c>
      <c r="M1012" t="s">
        <v>389</v>
      </c>
      <c r="R1012" t="s">
        <v>159</v>
      </c>
      <c r="S1012" t="s">
        <v>392</v>
      </c>
      <c r="V1012" s="6" t="s">
        <v>162</v>
      </c>
      <c r="W1012" t="s">
        <v>120</v>
      </c>
    </row>
    <row r="1013" spans="2:23" x14ac:dyDescent="0.3">
      <c r="B1013" t="s">
        <v>71</v>
      </c>
      <c r="C1013" s="5" t="str">
        <f>VLOOKUP(B1013,[1]물질정보!B:C,2,0)</f>
        <v>97-63-2</v>
      </c>
      <c r="D1013" t="str">
        <f>VLOOKUP(B1013,[1]물질정보!B:D,3,0)</f>
        <v>ethyl methacrylate</v>
      </c>
      <c r="E1013" t="str">
        <f>VLOOKUP(B1013,[1]물질정보!B:E,4,0)</f>
        <v>C6H10O2</v>
      </c>
      <c r="F1013" t="str">
        <f>VLOOKUP(B1013,[1]물질정보!B:F,5,0)</f>
        <v>114.14 g/mol</v>
      </c>
      <c r="G1013" s="5" t="str">
        <f>VLOOKUP(B1013,[1]물질정보!B:G,6,0)</f>
        <v>CCOC(=O)C(=C)C</v>
      </c>
      <c r="I1013" t="s">
        <v>385</v>
      </c>
      <c r="K1013" t="s">
        <v>99</v>
      </c>
      <c r="M1013" t="s">
        <v>120</v>
      </c>
      <c r="R1013" t="s">
        <v>159</v>
      </c>
      <c r="S1013" t="s">
        <v>393</v>
      </c>
      <c r="V1013" s="6" t="s">
        <v>162</v>
      </c>
      <c r="W1013" t="s">
        <v>120</v>
      </c>
    </row>
    <row r="1014" spans="2:23" x14ac:dyDescent="0.3">
      <c r="B1014" t="s">
        <v>71</v>
      </c>
      <c r="C1014" s="5" t="str">
        <f>VLOOKUP(B1014,[1]물질정보!B:C,2,0)</f>
        <v>97-63-2</v>
      </c>
      <c r="D1014" t="str">
        <f>VLOOKUP(B1014,[1]물질정보!B:D,3,0)</f>
        <v>ethyl methacrylate</v>
      </c>
      <c r="E1014" t="str">
        <f>VLOOKUP(B1014,[1]물질정보!B:E,4,0)</f>
        <v>C6H10O2</v>
      </c>
      <c r="F1014" t="str">
        <f>VLOOKUP(B1014,[1]물질정보!B:F,5,0)</f>
        <v>114.14 g/mol</v>
      </c>
      <c r="G1014" s="5" t="str">
        <f>VLOOKUP(B1014,[1]물질정보!B:G,6,0)</f>
        <v>CCOC(=O)C(=C)C</v>
      </c>
      <c r="I1014" t="s">
        <v>385</v>
      </c>
      <c r="K1014" t="s">
        <v>99</v>
      </c>
      <c r="M1014" t="s">
        <v>389</v>
      </c>
      <c r="R1014" t="s">
        <v>159</v>
      </c>
      <c r="S1014" t="s">
        <v>390</v>
      </c>
      <c r="V1014" s="6" t="s">
        <v>162</v>
      </c>
      <c r="W1014" t="s">
        <v>120</v>
      </c>
    </row>
    <row r="1015" spans="2:23" x14ac:dyDescent="0.3">
      <c r="B1015" t="s">
        <v>71</v>
      </c>
      <c r="C1015" s="5" t="str">
        <f>VLOOKUP(B1015,[1]물질정보!B:C,2,0)</f>
        <v>97-63-2</v>
      </c>
      <c r="D1015" t="str">
        <f>VLOOKUP(B1015,[1]물질정보!B:D,3,0)</f>
        <v>ethyl methacrylate</v>
      </c>
      <c r="E1015" t="str">
        <f>VLOOKUP(B1015,[1]물질정보!B:E,4,0)</f>
        <v>C6H10O2</v>
      </c>
      <c r="F1015" t="str">
        <f>VLOOKUP(B1015,[1]물질정보!B:F,5,0)</f>
        <v>114.14 g/mol</v>
      </c>
      <c r="G1015" s="5" t="str">
        <f>VLOOKUP(B1015,[1]물질정보!B:G,6,0)</f>
        <v>CCOC(=O)C(=C)C</v>
      </c>
      <c r="I1015" t="s">
        <v>385</v>
      </c>
      <c r="K1015" t="s">
        <v>99</v>
      </c>
      <c r="R1015" t="s">
        <v>159</v>
      </c>
      <c r="V1015" s="6" t="s">
        <v>163</v>
      </c>
      <c r="W1015" t="s">
        <v>29</v>
      </c>
    </row>
    <row r="1016" spans="2:23" x14ac:dyDescent="0.3">
      <c r="B1016" t="s">
        <v>25</v>
      </c>
      <c r="C1016" s="5" t="str">
        <f>VLOOKUP(B1016,[1]물질정보!B:C,2,0)</f>
        <v>97-88-1</v>
      </c>
      <c r="D1016" t="str">
        <f>VLOOKUP(B1016,[1]물질정보!B:D,3,0)</f>
        <v>butyl methacrylate</v>
      </c>
      <c r="E1016" t="str">
        <f>VLOOKUP(B1016,[1]물질정보!B:E,4,0)</f>
        <v>C8H14O2</v>
      </c>
      <c r="F1016" t="str">
        <f>VLOOKUP(B1016,[1]물질정보!B:F,5,0)</f>
        <v>142.2 g/mol</v>
      </c>
      <c r="G1016" s="5" t="str">
        <f>VLOOKUP(B1016,[1]물질정보!B:G,6,0)</f>
        <v>CCCCOC(=O)C(=C)C</v>
      </c>
      <c r="I1016" t="s">
        <v>385</v>
      </c>
      <c r="J1016" t="s">
        <v>388</v>
      </c>
      <c r="K1016">
        <v>2.33</v>
      </c>
      <c r="M1016" t="s">
        <v>389</v>
      </c>
      <c r="P1016">
        <v>4</v>
      </c>
      <c r="Q1016" t="s">
        <v>31</v>
      </c>
      <c r="R1016" t="s">
        <v>159</v>
      </c>
      <c r="S1016" t="s">
        <v>394</v>
      </c>
      <c r="V1016" s="6" t="s">
        <v>160</v>
      </c>
      <c r="W1016" t="s">
        <v>120</v>
      </c>
    </row>
    <row r="1017" spans="2:23" x14ac:dyDescent="0.3">
      <c r="B1017" t="s">
        <v>25</v>
      </c>
      <c r="C1017" s="5" t="str">
        <f>VLOOKUP(B1017,[1]물질정보!B:C,2,0)</f>
        <v>97-88-1</v>
      </c>
      <c r="D1017" t="str">
        <f>VLOOKUP(B1017,[1]물질정보!B:D,3,0)</f>
        <v>butyl methacrylate</v>
      </c>
      <c r="E1017" t="str">
        <f>VLOOKUP(B1017,[1]물질정보!B:E,4,0)</f>
        <v>C8H14O2</v>
      </c>
      <c r="F1017" t="str">
        <f>VLOOKUP(B1017,[1]물질정보!B:F,5,0)</f>
        <v>142.2 g/mol</v>
      </c>
      <c r="G1017" s="5" t="str">
        <f>VLOOKUP(B1017,[1]물질정보!B:G,6,0)</f>
        <v>CCCCOC(=O)C(=C)C</v>
      </c>
      <c r="I1017" t="s">
        <v>385</v>
      </c>
      <c r="J1017" t="s">
        <v>388</v>
      </c>
      <c r="K1017">
        <v>3</v>
      </c>
      <c r="M1017" t="s">
        <v>389</v>
      </c>
      <c r="P1017">
        <v>4</v>
      </c>
      <c r="Q1017" t="s">
        <v>31</v>
      </c>
      <c r="R1017" t="s">
        <v>159</v>
      </c>
      <c r="S1017" t="s">
        <v>394</v>
      </c>
      <c r="V1017" s="6" t="s">
        <v>160</v>
      </c>
      <c r="W1017" t="s">
        <v>120</v>
      </c>
    </row>
    <row r="1018" spans="2:23" x14ac:dyDescent="0.3">
      <c r="B1018" t="s">
        <v>25</v>
      </c>
      <c r="C1018" s="5" t="str">
        <f>VLOOKUP(B1018,[1]물질정보!B:C,2,0)</f>
        <v>97-88-1</v>
      </c>
      <c r="D1018" t="str">
        <f>VLOOKUP(B1018,[1]물질정보!B:D,3,0)</f>
        <v>butyl methacrylate</v>
      </c>
      <c r="E1018" t="str">
        <f>VLOOKUP(B1018,[1]물질정보!B:E,4,0)</f>
        <v>C8H14O2</v>
      </c>
      <c r="F1018" t="str">
        <f>VLOOKUP(B1018,[1]물질정보!B:F,5,0)</f>
        <v>142.2 g/mol</v>
      </c>
      <c r="G1018" s="5" t="str">
        <f>VLOOKUP(B1018,[1]물질정보!B:G,6,0)</f>
        <v>CCCCOC(=O)C(=C)C</v>
      </c>
      <c r="I1018" t="s">
        <v>385</v>
      </c>
      <c r="J1018" t="s">
        <v>388</v>
      </c>
      <c r="K1018">
        <v>2</v>
      </c>
      <c r="M1018" t="s">
        <v>389</v>
      </c>
      <c r="P1018">
        <v>4</v>
      </c>
      <c r="Q1018" t="s">
        <v>31</v>
      </c>
      <c r="R1018" t="s">
        <v>159</v>
      </c>
      <c r="S1018" t="s">
        <v>394</v>
      </c>
      <c r="V1018" s="6" t="s">
        <v>160</v>
      </c>
      <c r="W1018" t="s">
        <v>120</v>
      </c>
    </row>
    <row r="1019" spans="2:23" x14ac:dyDescent="0.3">
      <c r="B1019" t="s">
        <v>25</v>
      </c>
      <c r="C1019" s="5" t="str">
        <f>VLOOKUP(B1019,[1]물질정보!B:C,2,0)</f>
        <v>97-88-1</v>
      </c>
      <c r="D1019" t="str">
        <f>VLOOKUP(B1019,[1]물질정보!B:D,3,0)</f>
        <v>butyl methacrylate</v>
      </c>
      <c r="E1019" t="str">
        <f>VLOOKUP(B1019,[1]물질정보!B:E,4,0)</f>
        <v>C8H14O2</v>
      </c>
      <c r="F1019" t="str">
        <f>VLOOKUP(B1019,[1]물질정보!B:F,5,0)</f>
        <v>142.2 g/mol</v>
      </c>
      <c r="G1019" s="5" t="str">
        <f>VLOOKUP(B1019,[1]물질정보!B:G,6,0)</f>
        <v>CCCCOC(=O)C(=C)C</v>
      </c>
      <c r="I1019" t="s">
        <v>385</v>
      </c>
      <c r="J1019" t="s">
        <v>388</v>
      </c>
      <c r="K1019">
        <v>2</v>
      </c>
      <c r="M1019" t="s">
        <v>389</v>
      </c>
      <c r="P1019">
        <v>4</v>
      </c>
      <c r="Q1019" t="s">
        <v>31</v>
      </c>
      <c r="R1019" t="s">
        <v>159</v>
      </c>
      <c r="S1019" t="s">
        <v>394</v>
      </c>
      <c r="V1019" s="6" t="s">
        <v>160</v>
      </c>
      <c r="W1019" t="s">
        <v>120</v>
      </c>
    </row>
    <row r="1020" spans="2:23" x14ac:dyDescent="0.3">
      <c r="B1020" t="s">
        <v>25</v>
      </c>
      <c r="C1020" s="5" t="str">
        <f>VLOOKUP(B1020,[1]물질정보!B:C,2,0)</f>
        <v>97-88-1</v>
      </c>
      <c r="D1020" t="str">
        <f>VLOOKUP(B1020,[1]물질정보!B:D,3,0)</f>
        <v>butyl methacrylate</v>
      </c>
      <c r="E1020" t="str">
        <f>VLOOKUP(B1020,[1]물질정보!B:E,4,0)</f>
        <v>C8H14O2</v>
      </c>
      <c r="F1020" t="str">
        <f>VLOOKUP(B1020,[1]물질정보!B:F,5,0)</f>
        <v>142.2 g/mol</v>
      </c>
      <c r="G1020" s="5" t="str">
        <f>VLOOKUP(B1020,[1]물질정보!B:G,6,0)</f>
        <v>CCCCOC(=O)C(=C)C</v>
      </c>
      <c r="I1020" t="s">
        <v>385</v>
      </c>
      <c r="J1020" t="s">
        <v>391</v>
      </c>
      <c r="K1020">
        <v>0</v>
      </c>
      <c r="M1020" t="s">
        <v>389</v>
      </c>
      <c r="P1020">
        <v>4</v>
      </c>
      <c r="Q1020" t="s">
        <v>31</v>
      </c>
      <c r="R1020" t="s">
        <v>159</v>
      </c>
      <c r="S1020" t="s">
        <v>394</v>
      </c>
      <c r="V1020" s="6" t="s">
        <v>160</v>
      </c>
      <c r="W1020" t="s">
        <v>120</v>
      </c>
    </row>
    <row r="1021" spans="2:23" x14ac:dyDescent="0.3">
      <c r="B1021" t="s">
        <v>25</v>
      </c>
      <c r="C1021" s="5" t="str">
        <f>VLOOKUP(B1021,[1]물질정보!B:C,2,0)</f>
        <v>97-88-1</v>
      </c>
      <c r="D1021" t="str">
        <f>VLOOKUP(B1021,[1]물질정보!B:D,3,0)</f>
        <v>butyl methacrylate</v>
      </c>
      <c r="E1021" t="str">
        <f>VLOOKUP(B1021,[1]물질정보!B:E,4,0)</f>
        <v>C8H14O2</v>
      </c>
      <c r="F1021" t="str">
        <f>VLOOKUP(B1021,[1]물질정보!B:F,5,0)</f>
        <v>142.2 g/mol</v>
      </c>
      <c r="G1021" s="5" t="str">
        <f>VLOOKUP(B1021,[1]물질정보!B:G,6,0)</f>
        <v>CCCCOC(=O)C(=C)C</v>
      </c>
      <c r="I1021" t="s">
        <v>385</v>
      </c>
      <c r="J1021" t="s">
        <v>391</v>
      </c>
      <c r="K1021">
        <v>0</v>
      </c>
      <c r="M1021" t="s">
        <v>389</v>
      </c>
      <c r="P1021">
        <v>4</v>
      </c>
      <c r="Q1021" t="s">
        <v>31</v>
      </c>
      <c r="R1021" t="s">
        <v>159</v>
      </c>
      <c r="S1021" t="s">
        <v>394</v>
      </c>
      <c r="V1021" s="6" t="s">
        <v>160</v>
      </c>
      <c r="W1021" t="s">
        <v>120</v>
      </c>
    </row>
    <row r="1022" spans="2:23" x14ac:dyDescent="0.3">
      <c r="B1022" t="s">
        <v>25</v>
      </c>
      <c r="C1022" s="5" t="str">
        <f>VLOOKUP(B1022,[1]물질정보!B:C,2,0)</f>
        <v>97-88-1</v>
      </c>
      <c r="D1022" t="str">
        <f>VLOOKUP(B1022,[1]물질정보!B:D,3,0)</f>
        <v>butyl methacrylate</v>
      </c>
      <c r="E1022" t="str">
        <f>VLOOKUP(B1022,[1]물질정보!B:E,4,0)</f>
        <v>C8H14O2</v>
      </c>
      <c r="F1022" t="str">
        <f>VLOOKUP(B1022,[1]물질정보!B:F,5,0)</f>
        <v>142.2 g/mol</v>
      </c>
      <c r="G1022" s="5" t="str">
        <f>VLOOKUP(B1022,[1]물질정보!B:G,6,0)</f>
        <v>CCCCOC(=O)C(=C)C</v>
      </c>
      <c r="I1022" t="s">
        <v>385</v>
      </c>
      <c r="J1022" t="s">
        <v>391</v>
      </c>
      <c r="K1022">
        <v>1.66</v>
      </c>
      <c r="M1022" t="s">
        <v>389</v>
      </c>
      <c r="P1022">
        <v>4</v>
      </c>
      <c r="Q1022" t="s">
        <v>31</v>
      </c>
      <c r="R1022" t="s">
        <v>159</v>
      </c>
      <c r="S1022" t="s">
        <v>394</v>
      </c>
      <c r="V1022" s="6" t="s">
        <v>160</v>
      </c>
      <c r="W1022" t="s">
        <v>120</v>
      </c>
    </row>
    <row r="1023" spans="2:23" x14ac:dyDescent="0.3">
      <c r="B1023" t="s">
        <v>25</v>
      </c>
      <c r="C1023" s="5" t="str">
        <f>VLOOKUP(B1023,[1]물질정보!B:C,2,0)</f>
        <v>97-88-1</v>
      </c>
      <c r="D1023" t="str">
        <f>VLOOKUP(B1023,[1]물질정보!B:D,3,0)</f>
        <v>butyl methacrylate</v>
      </c>
      <c r="E1023" t="str">
        <f>VLOOKUP(B1023,[1]물질정보!B:E,4,0)</f>
        <v>C8H14O2</v>
      </c>
      <c r="F1023" t="str">
        <f>VLOOKUP(B1023,[1]물질정보!B:F,5,0)</f>
        <v>142.2 g/mol</v>
      </c>
      <c r="G1023" s="5" t="str">
        <f>VLOOKUP(B1023,[1]물질정보!B:G,6,0)</f>
        <v>CCCCOC(=O)C(=C)C</v>
      </c>
      <c r="I1023" t="s">
        <v>385</v>
      </c>
      <c r="J1023" t="s">
        <v>391</v>
      </c>
      <c r="K1023">
        <v>0.41</v>
      </c>
      <c r="M1023" t="s">
        <v>389</v>
      </c>
      <c r="P1023">
        <v>4</v>
      </c>
      <c r="Q1023" t="s">
        <v>31</v>
      </c>
      <c r="R1023" t="s">
        <v>159</v>
      </c>
      <c r="S1023" t="s">
        <v>394</v>
      </c>
      <c r="V1023" s="6" t="s">
        <v>160</v>
      </c>
      <c r="W1023" t="s">
        <v>120</v>
      </c>
    </row>
    <row r="1024" spans="2:23" x14ac:dyDescent="0.3">
      <c r="B1024" t="s">
        <v>25</v>
      </c>
      <c r="C1024" s="5" t="str">
        <f>VLOOKUP(B1024,[1]물질정보!B:C,2,0)</f>
        <v>97-88-1</v>
      </c>
      <c r="D1024" t="str">
        <f>VLOOKUP(B1024,[1]물질정보!B:D,3,0)</f>
        <v>butyl methacrylate</v>
      </c>
      <c r="E1024" t="str">
        <f>VLOOKUP(B1024,[1]물질정보!B:E,4,0)</f>
        <v>C8H14O2</v>
      </c>
      <c r="F1024" t="str">
        <f>VLOOKUP(B1024,[1]물질정보!B:F,5,0)</f>
        <v>142.2 g/mol</v>
      </c>
      <c r="G1024" s="5" t="str">
        <f>VLOOKUP(B1024,[1]물질정보!B:G,6,0)</f>
        <v>CCCCOC(=O)C(=C)C</v>
      </c>
      <c r="I1024" t="s">
        <v>385</v>
      </c>
      <c r="J1024" t="s">
        <v>388</v>
      </c>
      <c r="K1024">
        <v>1.1100000000000001</v>
      </c>
      <c r="M1024" t="s">
        <v>389</v>
      </c>
      <c r="P1024" t="s">
        <v>395</v>
      </c>
      <c r="Q1024" t="s">
        <v>31</v>
      </c>
      <c r="R1024" t="s">
        <v>159</v>
      </c>
      <c r="S1024" t="s">
        <v>394</v>
      </c>
      <c r="V1024" s="6" t="s">
        <v>160</v>
      </c>
      <c r="W1024" t="s">
        <v>120</v>
      </c>
    </row>
    <row r="1025" spans="2:23" x14ac:dyDescent="0.3">
      <c r="B1025" t="s">
        <v>25</v>
      </c>
      <c r="C1025" s="5" t="str">
        <f>VLOOKUP(B1025,[1]물질정보!B:C,2,0)</f>
        <v>97-88-1</v>
      </c>
      <c r="D1025" t="str">
        <f>VLOOKUP(B1025,[1]물질정보!B:D,3,0)</f>
        <v>butyl methacrylate</v>
      </c>
      <c r="E1025" t="str">
        <f>VLOOKUP(B1025,[1]물질정보!B:E,4,0)</f>
        <v>C8H14O2</v>
      </c>
      <c r="F1025" t="str">
        <f>VLOOKUP(B1025,[1]물질정보!B:F,5,0)</f>
        <v>142.2 g/mol</v>
      </c>
      <c r="G1025" s="5" t="str">
        <f>VLOOKUP(B1025,[1]물질정보!B:G,6,0)</f>
        <v>CCCCOC(=O)C(=C)C</v>
      </c>
      <c r="I1025" t="s">
        <v>385</v>
      </c>
      <c r="J1025" t="s">
        <v>388</v>
      </c>
      <c r="K1025">
        <v>0.66</v>
      </c>
      <c r="M1025" t="s">
        <v>389</v>
      </c>
      <c r="P1025" t="s">
        <v>395</v>
      </c>
      <c r="Q1025" t="s">
        <v>31</v>
      </c>
      <c r="R1025" t="s">
        <v>159</v>
      </c>
      <c r="S1025" t="s">
        <v>394</v>
      </c>
      <c r="V1025" s="6" t="s">
        <v>160</v>
      </c>
      <c r="W1025" t="s">
        <v>120</v>
      </c>
    </row>
    <row r="1026" spans="2:23" x14ac:dyDescent="0.3">
      <c r="B1026" t="s">
        <v>25</v>
      </c>
      <c r="C1026" s="5" t="str">
        <f>VLOOKUP(B1026,[1]물질정보!B:C,2,0)</f>
        <v>97-88-1</v>
      </c>
      <c r="D1026" t="str">
        <f>VLOOKUP(B1026,[1]물질정보!B:D,3,0)</f>
        <v>butyl methacrylate</v>
      </c>
      <c r="E1026" t="str">
        <f>VLOOKUP(B1026,[1]물질정보!B:E,4,0)</f>
        <v>C8H14O2</v>
      </c>
      <c r="F1026" t="str">
        <f>VLOOKUP(B1026,[1]물질정보!B:F,5,0)</f>
        <v>142.2 g/mol</v>
      </c>
      <c r="G1026" s="5" t="str">
        <f>VLOOKUP(B1026,[1]물질정보!B:G,6,0)</f>
        <v>CCCCOC(=O)C(=C)C</v>
      </c>
      <c r="I1026" t="s">
        <v>385</v>
      </c>
      <c r="J1026" t="s">
        <v>388</v>
      </c>
      <c r="K1026">
        <v>1</v>
      </c>
      <c r="M1026" t="s">
        <v>389</v>
      </c>
      <c r="P1026" t="s">
        <v>395</v>
      </c>
      <c r="Q1026" t="s">
        <v>31</v>
      </c>
      <c r="R1026" t="s">
        <v>159</v>
      </c>
      <c r="S1026" t="s">
        <v>394</v>
      </c>
      <c r="V1026" s="6" t="s">
        <v>160</v>
      </c>
      <c r="W1026" t="s">
        <v>120</v>
      </c>
    </row>
    <row r="1027" spans="2:23" x14ac:dyDescent="0.3">
      <c r="B1027" t="s">
        <v>25</v>
      </c>
      <c r="C1027" s="5" t="str">
        <f>VLOOKUP(B1027,[1]물질정보!B:C,2,0)</f>
        <v>97-88-1</v>
      </c>
      <c r="D1027" t="str">
        <f>VLOOKUP(B1027,[1]물질정보!B:D,3,0)</f>
        <v>butyl methacrylate</v>
      </c>
      <c r="E1027" t="str">
        <f>VLOOKUP(B1027,[1]물질정보!B:E,4,0)</f>
        <v>C8H14O2</v>
      </c>
      <c r="F1027" t="str">
        <f>VLOOKUP(B1027,[1]물질정보!B:F,5,0)</f>
        <v>142.2 g/mol</v>
      </c>
      <c r="G1027" s="5" t="str">
        <f>VLOOKUP(B1027,[1]물질정보!B:G,6,0)</f>
        <v>CCCCOC(=O)C(=C)C</v>
      </c>
      <c r="I1027" t="s">
        <v>385</v>
      </c>
      <c r="J1027" t="s">
        <v>388</v>
      </c>
      <c r="K1027">
        <v>1.33</v>
      </c>
      <c r="M1027" t="s">
        <v>389</v>
      </c>
      <c r="P1027" t="s">
        <v>395</v>
      </c>
      <c r="Q1027" t="s">
        <v>31</v>
      </c>
      <c r="R1027" t="s">
        <v>159</v>
      </c>
      <c r="S1027" t="s">
        <v>394</v>
      </c>
      <c r="V1027" s="6" t="s">
        <v>160</v>
      </c>
      <c r="W1027" t="s">
        <v>120</v>
      </c>
    </row>
    <row r="1028" spans="2:23" x14ac:dyDescent="0.3">
      <c r="B1028" t="s">
        <v>25</v>
      </c>
      <c r="C1028" s="5" t="str">
        <f>VLOOKUP(B1028,[1]물질정보!B:C,2,0)</f>
        <v>97-88-1</v>
      </c>
      <c r="D1028" t="str">
        <f>VLOOKUP(B1028,[1]물질정보!B:D,3,0)</f>
        <v>butyl methacrylate</v>
      </c>
      <c r="E1028" t="str">
        <f>VLOOKUP(B1028,[1]물질정보!B:E,4,0)</f>
        <v>C8H14O2</v>
      </c>
      <c r="F1028" t="str">
        <f>VLOOKUP(B1028,[1]물질정보!B:F,5,0)</f>
        <v>142.2 g/mol</v>
      </c>
      <c r="G1028" s="5" t="str">
        <f>VLOOKUP(B1028,[1]물질정보!B:G,6,0)</f>
        <v>CCCCOC(=O)C(=C)C</v>
      </c>
      <c r="I1028" t="s">
        <v>385</v>
      </c>
      <c r="J1028" t="s">
        <v>388</v>
      </c>
      <c r="K1028">
        <v>1.66</v>
      </c>
      <c r="M1028" t="s">
        <v>389</v>
      </c>
      <c r="P1028" t="s">
        <v>395</v>
      </c>
      <c r="Q1028" t="s">
        <v>31</v>
      </c>
      <c r="R1028" t="s">
        <v>159</v>
      </c>
      <c r="S1028" t="s">
        <v>394</v>
      </c>
      <c r="V1028" s="6" t="s">
        <v>160</v>
      </c>
      <c r="W1028" t="s">
        <v>120</v>
      </c>
    </row>
    <row r="1029" spans="2:23" x14ac:dyDescent="0.3">
      <c r="B1029" t="s">
        <v>25</v>
      </c>
      <c r="C1029" s="5" t="str">
        <f>VLOOKUP(B1029,[1]물질정보!B:C,2,0)</f>
        <v>97-88-1</v>
      </c>
      <c r="D1029" t="str">
        <f>VLOOKUP(B1029,[1]물질정보!B:D,3,0)</f>
        <v>butyl methacrylate</v>
      </c>
      <c r="E1029" t="str">
        <f>VLOOKUP(B1029,[1]물질정보!B:E,4,0)</f>
        <v>C8H14O2</v>
      </c>
      <c r="F1029" t="str">
        <f>VLOOKUP(B1029,[1]물질정보!B:F,5,0)</f>
        <v>142.2 g/mol</v>
      </c>
      <c r="G1029" s="5" t="str">
        <f>VLOOKUP(B1029,[1]물질정보!B:G,6,0)</f>
        <v>CCCCOC(=O)C(=C)C</v>
      </c>
      <c r="I1029" t="s">
        <v>385</v>
      </c>
      <c r="J1029" t="s">
        <v>396</v>
      </c>
      <c r="K1029">
        <v>7.4</v>
      </c>
      <c r="L1029" t="s">
        <v>306</v>
      </c>
      <c r="M1029" t="s">
        <v>397</v>
      </c>
      <c r="P1029">
        <v>15</v>
      </c>
      <c r="Q1029" t="s">
        <v>186</v>
      </c>
      <c r="R1029" t="s">
        <v>159</v>
      </c>
      <c r="S1029" t="s">
        <v>398</v>
      </c>
      <c r="V1029" s="6" t="s">
        <v>160</v>
      </c>
      <c r="W1029" t="s">
        <v>399</v>
      </c>
    </row>
    <row r="1030" spans="2:23" x14ac:dyDescent="0.3">
      <c r="B1030" t="s">
        <v>25</v>
      </c>
      <c r="C1030" s="5" t="str">
        <f>VLOOKUP(B1030,[1]물질정보!B:C,2,0)</f>
        <v>97-88-1</v>
      </c>
      <c r="D1030" t="str">
        <f>VLOOKUP(B1030,[1]물질정보!B:D,3,0)</f>
        <v>butyl methacrylate</v>
      </c>
      <c r="E1030" t="str">
        <f>VLOOKUP(B1030,[1]물질정보!B:E,4,0)</f>
        <v>C8H14O2</v>
      </c>
      <c r="F1030" t="str">
        <f>VLOOKUP(B1030,[1]물질정보!B:F,5,0)</f>
        <v>142.2 g/mol</v>
      </c>
      <c r="G1030" s="5" t="str">
        <f>VLOOKUP(B1030,[1]물질정보!B:G,6,0)</f>
        <v>CCCCOC(=O)C(=C)C</v>
      </c>
      <c r="I1030" t="s">
        <v>385</v>
      </c>
      <c r="J1030" t="s">
        <v>396</v>
      </c>
      <c r="K1030">
        <v>15</v>
      </c>
      <c r="L1030" t="s">
        <v>306</v>
      </c>
      <c r="M1030" t="s">
        <v>397</v>
      </c>
      <c r="P1030">
        <v>15</v>
      </c>
      <c r="Q1030" t="s">
        <v>186</v>
      </c>
      <c r="R1030" t="s">
        <v>159</v>
      </c>
      <c r="S1030" t="s">
        <v>398</v>
      </c>
      <c r="V1030" s="6" t="s">
        <v>160</v>
      </c>
      <c r="W1030" t="s">
        <v>399</v>
      </c>
    </row>
    <row r="1031" spans="2:23" x14ac:dyDescent="0.3">
      <c r="B1031" t="s">
        <v>25</v>
      </c>
      <c r="C1031" s="5" t="str">
        <f>VLOOKUP(B1031,[1]물질정보!B:C,2,0)</f>
        <v>97-88-1</v>
      </c>
      <c r="D1031" t="str">
        <f>VLOOKUP(B1031,[1]물질정보!B:D,3,0)</f>
        <v>butyl methacrylate</v>
      </c>
      <c r="E1031" t="str">
        <f>VLOOKUP(B1031,[1]물질정보!B:E,4,0)</f>
        <v>C8H14O2</v>
      </c>
      <c r="F1031" t="str">
        <f>VLOOKUP(B1031,[1]물질정보!B:F,5,0)</f>
        <v>142.2 g/mol</v>
      </c>
      <c r="G1031" s="5" t="str">
        <f>VLOOKUP(B1031,[1]물질정보!B:G,6,0)</f>
        <v>CCCCOC(=O)C(=C)C</v>
      </c>
      <c r="I1031" t="s">
        <v>385</v>
      </c>
      <c r="J1031" t="s">
        <v>396</v>
      </c>
      <c r="K1031">
        <v>6.8</v>
      </c>
      <c r="L1031" t="s">
        <v>306</v>
      </c>
      <c r="M1031" t="s">
        <v>397</v>
      </c>
      <c r="P1031">
        <v>15</v>
      </c>
      <c r="Q1031" t="s">
        <v>186</v>
      </c>
      <c r="R1031" t="s">
        <v>159</v>
      </c>
      <c r="S1031" t="s">
        <v>398</v>
      </c>
      <c r="V1031" s="6" t="s">
        <v>160</v>
      </c>
      <c r="W1031" t="s">
        <v>399</v>
      </c>
    </row>
    <row r="1032" spans="2:23" x14ac:dyDescent="0.3">
      <c r="B1032" t="s">
        <v>25</v>
      </c>
      <c r="C1032" s="5" t="str">
        <f>VLOOKUP(B1032,[1]물질정보!B:C,2,0)</f>
        <v>97-88-1</v>
      </c>
      <c r="D1032" t="str">
        <f>VLOOKUP(B1032,[1]물질정보!B:D,3,0)</f>
        <v>butyl methacrylate</v>
      </c>
      <c r="E1032" t="str">
        <f>VLOOKUP(B1032,[1]물질정보!B:E,4,0)</f>
        <v>C8H14O2</v>
      </c>
      <c r="F1032" t="str">
        <f>VLOOKUP(B1032,[1]물질정보!B:F,5,0)</f>
        <v>142.2 g/mol</v>
      </c>
      <c r="G1032" s="5" t="str">
        <f>VLOOKUP(B1032,[1]물질정보!B:G,6,0)</f>
        <v>CCCCOC(=O)C(=C)C</v>
      </c>
      <c r="I1032" t="s">
        <v>385</v>
      </c>
      <c r="J1032" t="s">
        <v>396</v>
      </c>
      <c r="K1032">
        <v>13.5</v>
      </c>
      <c r="L1032" t="s">
        <v>306</v>
      </c>
      <c r="M1032" t="s">
        <v>397</v>
      </c>
      <c r="P1032">
        <v>15</v>
      </c>
      <c r="Q1032" t="s">
        <v>186</v>
      </c>
      <c r="R1032" t="s">
        <v>159</v>
      </c>
      <c r="S1032" t="s">
        <v>398</v>
      </c>
      <c r="V1032" s="6" t="s">
        <v>160</v>
      </c>
      <c r="W1032" t="s">
        <v>399</v>
      </c>
    </row>
    <row r="1033" spans="2:23" x14ac:dyDescent="0.3">
      <c r="B1033" t="s">
        <v>25</v>
      </c>
      <c r="C1033" s="5" t="str">
        <f>VLOOKUP(B1033,[1]물질정보!B:C,2,0)</f>
        <v>97-88-1</v>
      </c>
      <c r="D1033" t="str">
        <f>VLOOKUP(B1033,[1]물질정보!B:D,3,0)</f>
        <v>butyl methacrylate</v>
      </c>
      <c r="E1033" t="str">
        <f>VLOOKUP(B1033,[1]물질정보!B:E,4,0)</f>
        <v>C8H14O2</v>
      </c>
      <c r="F1033" t="str">
        <f>VLOOKUP(B1033,[1]물질정보!B:F,5,0)</f>
        <v>142.2 g/mol</v>
      </c>
      <c r="G1033" s="5" t="str">
        <f>VLOOKUP(B1033,[1]물질정보!B:G,6,0)</f>
        <v>CCCCOC(=O)C(=C)C</v>
      </c>
      <c r="I1033" t="s">
        <v>385</v>
      </c>
      <c r="J1033" t="s">
        <v>396</v>
      </c>
      <c r="K1033">
        <v>14.2</v>
      </c>
      <c r="L1033" t="s">
        <v>306</v>
      </c>
      <c r="M1033" t="s">
        <v>397</v>
      </c>
      <c r="P1033">
        <v>15</v>
      </c>
      <c r="Q1033" t="s">
        <v>186</v>
      </c>
      <c r="R1033" t="s">
        <v>159</v>
      </c>
      <c r="S1033" t="s">
        <v>398</v>
      </c>
      <c r="V1033" s="6" t="s">
        <v>160</v>
      </c>
      <c r="W1033" t="s">
        <v>399</v>
      </c>
    </row>
    <row r="1034" spans="2:23" x14ac:dyDescent="0.3">
      <c r="B1034" t="s">
        <v>25</v>
      </c>
      <c r="C1034" s="5" t="str">
        <f>VLOOKUP(B1034,[1]물질정보!B:C,2,0)</f>
        <v>97-88-1</v>
      </c>
      <c r="D1034" t="str">
        <f>VLOOKUP(B1034,[1]물질정보!B:D,3,0)</f>
        <v>butyl methacrylate</v>
      </c>
      <c r="E1034" t="str">
        <f>VLOOKUP(B1034,[1]물질정보!B:E,4,0)</f>
        <v>C8H14O2</v>
      </c>
      <c r="F1034" t="str">
        <f>VLOOKUP(B1034,[1]물질정보!B:F,5,0)</f>
        <v>142.2 g/mol</v>
      </c>
      <c r="G1034" s="5" t="str">
        <f>VLOOKUP(B1034,[1]물질정보!B:G,6,0)</f>
        <v>CCCCOC(=O)C(=C)C</v>
      </c>
      <c r="I1034" t="s">
        <v>385</v>
      </c>
      <c r="J1034" t="s">
        <v>396</v>
      </c>
      <c r="K1034">
        <v>35.6</v>
      </c>
      <c r="L1034" t="s">
        <v>306</v>
      </c>
      <c r="M1034" t="s">
        <v>397</v>
      </c>
      <c r="P1034">
        <v>15</v>
      </c>
      <c r="Q1034" t="s">
        <v>186</v>
      </c>
      <c r="R1034" t="s">
        <v>159</v>
      </c>
      <c r="S1034" t="s">
        <v>398</v>
      </c>
      <c r="V1034" s="6" t="s">
        <v>160</v>
      </c>
      <c r="W1034" t="s">
        <v>399</v>
      </c>
    </row>
    <row r="1035" spans="2:23" x14ac:dyDescent="0.3">
      <c r="B1035" t="s">
        <v>25</v>
      </c>
      <c r="C1035" s="5" t="str">
        <f>VLOOKUP(B1035,[1]물질정보!B:C,2,0)</f>
        <v>97-88-1</v>
      </c>
      <c r="D1035" t="str">
        <f>VLOOKUP(B1035,[1]물질정보!B:D,3,0)</f>
        <v>butyl methacrylate</v>
      </c>
      <c r="E1035" t="str">
        <f>VLOOKUP(B1035,[1]물질정보!B:E,4,0)</f>
        <v>C8H14O2</v>
      </c>
      <c r="F1035" t="str">
        <f>VLOOKUP(B1035,[1]물질정보!B:F,5,0)</f>
        <v>142.2 g/mol</v>
      </c>
      <c r="G1035" s="5" t="str">
        <f>VLOOKUP(B1035,[1]물질정보!B:G,6,0)</f>
        <v>CCCCOC(=O)C(=C)C</v>
      </c>
      <c r="I1035" t="s">
        <v>385</v>
      </c>
      <c r="J1035" t="s">
        <v>396</v>
      </c>
      <c r="K1035">
        <v>6</v>
      </c>
      <c r="L1035" t="s">
        <v>306</v>
      </c>
      <c r="M1035" t="s">
        <v>397</v>
      </c>
      <c r="P1035">
        <v>15</v>
      </c>
      <c r="Q1035" t="s">
        <v>186</v>
      </c>
      <c r="R1035" t="s">
        <v>159</v>
      </c>
      <c r="S1035" t="s">
        <v>398</v>
      </c>
      <c r="V1035" s="6" t="s">
        <v>160</v>
      </c>
      <c r="W1035" t="s">
        <v>399</v>
      </c>
    </row>
    <row r="1036" spans="2:23" x14ac:dyDescent="0.3">
      <c r="B1036" t="s">
        <v>25</v>
      </c>
      <c r="C1036" s="5" t="str">
        <f>VLOOKUP(B1036,[1]물질정보!B:C,2,0)</f>
        <v>97-88-1</v>
      </c>
      <c r="D1036" t="str">
        <f>VLOOKUP(B1036,[1]물질정보!B:D,3,0)</f>
        <v>butyl methacrylate</v>
      </c>
      <c r="E1036" t="str">
        <f>VLOOKUP(B1036,[1]물질정보!B:E,4,0)</f>
        <v>C8H14O2</v>
      </c>
      <c r="F1036" t="str">
        <f>VLOOKUP(B1036,[1]물질정보!B:F,5,0)</f>
        <v>142.2 g/mol</v>
      </c>
      <c r="G1036" s="5" t="str">
        <f>VLOOKUP(B1036,[1]물질정보!B:G,6,0)</f>
        <v>CCCCOC(=O)C(=C)C</v>
      </c>
      <c r="I1036" t="s">
        <v>385</v>
      </c>
      <c r="J1036" t="s">
        <v>396</v>
      </c>
      <c r="K1036">
        <v>7.2</v>
      </c>
      <c r="L1036" t="s">
        <v>306</v>
      </c>
      <c r="M1036" t="s">
        <v>397</v>
      </c>
      <c r="P1036">
        <v>15</v>
      </c>
      <c r="Q1036" t="s">
        <v>186</v>
      </c>
      <c r="R1036" t="s">
        <v>159</v>
      </c>
      <c r="S1036" t="s">
        <v>398</v>
      </c>
      <c r="V1036" s="6" t="s">
        <v>160</v>
      </c>
      <c r="W1036" t="s">
        <v>399</v>
      </c>
    </row>
    <row r="1037" spans="2:23" x14ac:dyDescent="0.3">
      <c r="B1037" t="s">
        <v>25</v>
      </c>
      <c r="C1037" s="5" t="str">
        <f>VLOOKUP(B1037,[1]물질정보!B:C,2,0)</f>
        <v>97-88-1</v>
      </c>
      <c r="D1037" t="str">
        <f>VLOOKUP(B1037,[1]물질정보!B:D,3,0)</f>
        <v>butyl methacrylate</v>
      </c>
      <c r="E1037" t="str">
        <f>VLOOKUP(B1037,[1]물질정보!B:E,4,0)</f>
        <v>C8H14O2</v>
      </c>
      <c r="F1037" t="str">
        <f>VLOOKUP(B1037,[1]물질정보!B:F,5,0)</f>
        <v>142.2 g/mol</v>
      </c>
      <c r="G1037" s="5" t="str">
        <f>VLOOKUP(B1037,[1]물질정보!B:G,6,0)</f>
        <v>CCCCOC(=O)C(=C)C</v>
      </c>
      <c r="I1037" t="s">
        <v>385</v>
      </c>
      <c r="J1037" t="s">
        <v>396</v>
      </c>
      <c r="K1037">
        <v>4</v>
      </c>
      <c r="L1037" t="s">
        <v>306</v>
      </c>
      <c r="M1037" t="s">
        <v>397</v>
      </c>
      <c r="P1037">
        <v>15</v>
      </c>
      <c r="Q1037" t="s">
        <v>186</v>
      </c>
      <c r="R1037" t="s">
        <v>159</v>
      </c>
      <c r="S1037" t="s">
        <v>398</v>
      </c>
      <c r="V1037" s="6" t="s">
        <v>160</v>
      </c>
      <c r="W1037" t="s">
        <v>399</v>
      </c>
    </row>
    <row r="1038" spans="2:23" x14ac:dyDescent="0.3">
      <c r="B1038" t="s">
        <v>25</v>
      </c>
      <c r="C1038" s="5" t="str">
        <f>VLOOKUP(B1038,[1]물질정보!B:C,2,0)</f>
        <v>97-88-1</v>
      </c>
      <c r="D1038" t="str">
        <f>VLOOKUP(B1038,[1]물질정보!B:D,3,0)</f>
        <v>butyl methacrylate</v>
      </c>
      <c r="E1038" t="str">
        <f>VLOOKUP(B1038,[1]물질정보!B:E,4,0)</f>
        <v>C8H14O2</v>
      </c>
      <c r="F1038" t="str">
        <f>VLOOKUP(B1038,[1]물질정보!B:F,5,0)</f>
        <v>142.2 g/mol</v>
      </c>
      <c r="G1038" s="5" t="str">
        <f>VLOOKUP(B1038,[1]물질정보!B:G,6,0)</f>
        <v>CCCCOC(=O)C(=C)C</v>
      </c>
      <c r="I1038" t="s">
        <v>385</v>
      </c>
      <c r="J1038" t="s">
        <v>396</v>
      </c>
      <c r="K1038">
        <v>61.4</v>
      </c>
      <c r="L1038" t="s">
        <v>306</v>
      </c>
      <c r="M1038" t="s">
        <v>400</v>
      </c>
      <c r="P1038">
        <v>60</v>
      </c>
      <c r="Q1038" t="s">
        <v>186</v>
      </c>
      <c r="R1038" t="s">
        <v>159</v>
      </c>
      <c r="S1038" t="s">
        <v>401</v>
      </c>
      <c r="V1038" s="6" t="s">
        <v>160</v>
      </c>
      <c r="W1038" t="s">
        <v>399</v>
      </c>
    </row>
    <row r="1039" spans="2:23" x14ac:dyDescent="0.3">
      <c r="B1039" t="s">
        <v>25</v>
      </c>
      <c r="C1039" s="5" t="str">
        <f>VLOOKUP(B1039,[1]물질정보!B:C,2,0)</f>
        <v>97-88-1</v>
      </c>
      <c r="D1039" t="str">
        <f>VLOOKUP(B1039,[1]물질정보!B:D,3,0)</f>
        <v>butyl methacrylate</v>
      </c>
      <c r="E1039" t="str">
        <f>VLOOKUP(B1039,[1]물질정보!B:E,4,0)</f>
        <v>C8H14O2</v>
      </c>
      <c r="F1039" t="str">
        <f>VLOOKUP(B1039,[1]물질정보!B:F,5,0)</f>
        <v>142.2 g/mol</v>
      </c>
      <c r="G1039" s="5" t="str">
        <f>VLOOKUP(B1039,[1]물질정보!B:G,6,0)</f>
        <v>CCCCOC(=O)C(=C)C</v>
      </c>
      <c r="I1039" t="s">
        <v>385</v>
      </c>
      <c r="J1039" t="s">
        <v>396</v>
      </c>
      <c r="K1039">
        <v>51.3</v>
      </c>
      <c r="L1039" t="s">
        <v>306</v>
      </c>
      <c r="M1039" t="s">
        <v>400</v>
      </c>
      <c r="P1039">
        <v>60</v>
      </c>
      <c r="Q1039" t="s">
        <v>186</v>
      </c>
      <c r="R1039" t="s">
        <v>159</v>
      </c>
      <c r="S1039" t="s">
        <v>401</v>
      </c>
      <c r="V1039" s="6" t="s">
        <v>160</v>
      </c>
      <c r="W1039" t="s">
        <v>399</v>
      </c>
    </row>
    <row r="1040" spans="2:23" x14ac:dyDescent="0.3">
      <c r="B1040" t="s">
        <v>25</v>
      </c>
      <c r="C1040" s="5" t="str">
        <f>VLOOKUP(B1040,[1]물질정보!B:C,2,0)</f>
        <v>97-88-1</v>
      </c>
      <c r="D1040" t="str">
        <f>VLOOKUP(B1040,[1]물질정보!B:D,3,0)</f>
        <v>butyl methacrylate</v>
      </c>
      <c r="E1040" t="str">
        <f>VLOOKUP(B1040,[1]물질정보!B:E,4,0)</f>
        <v>C8H14O2</v>
      </c>
      <c r="F1040" t="str">
        <f>VLOOKUP(B1040,[1]물질정보!B:F,5,0)</f>
        <v>142.2 g/mol</v>
      </c>
      <c r="G1040" s="5" t="str">
        <f>VLOOKUP(B1040,[1]물질정보!B:G,6,0)</f>
        <v>CCCCOC(=O)C(=C)C</v>
      </c>
      <c r="I1040" t="s">
        <v>385</v>
      </c>
      <c r="J1040" t="s">
        <v>396</v>
      </c>
      <c r="K1040">
        <v>59</v>
      </c>
      <c r="L1040" t="s">
        <v>306</v>
      </c>
      <c r="M1040" t="s">
        <v>400</v>
      </c>
      <c r="P1040">
        <v>60</v>
      </c>
      <c r="Q1040" t="s">
        <v>186</v>
      </c>
      <c r="R1040" t="s">
        <v>159</v>
      </c>
      <c r="S1040" t="s">
        <v>401</v>
      </c>
      <c r="V1040" s="6" t="s">
        <v>160</v>
      </c>
      <c r="W1040" t="s">
        <v>399</v>
      </c>
    </row>
    <row r="1041" spans="2:23" x14ac:dyDescent="0.3">
      <c r="B1041" t="s">
        <v>25</v>
      </c>
      <c r="C1041" s="5" t="str">
        <f>VLOOKUP(B1041,[1]물질정보!B:C,2,0)</f>
        <v>97-88-1</v>
      </c>
      <c r="D1041" t="str">
        <f>VLOOKUP(B1041,[1]물질정보!B:D,3,0)</f>
        <v>butyl methacrylate</v>
      </c>
      <c r="E1041" t="str">
        <f>VLOOKUP(B1041,[1]물질정보!B:E,4,0)</f>
        <v>C8H14O2</v>
      </c>
      <c r="F1041" t="str">
        <f>VLOOKUP(B1041,[1]물질정보!B:F,5,0)</f>
        <v>142.2 g/mol</v>
      </c>
      <c r="G1041" s="5" t="str">
        <f>VLOOKUP(B1041,[1]물질정보!B:G,6,0)</f>
        <v>CCCCOC(=O)C(=C)C</v>
      </c>
      <c r="I1041" t="s">
        <v>385</v>
      </c>
      <c r="J1041" t="s">
        <v>396</v>
      </c>
      <c r="K1041">
        <v>122</v>
      </c>
      <c r="L1041" t="s">
        <v>306</v>
      </c>
      <c r="M1041" t="s">
        <v>400</v>
      </c>
      <c r="P1041">
        <v>4</v>
      </c>
      <c r="Q1041" t="s">
        <v>31</v>
      </c>
      <c r="R1041" t="s">
        <v>159</v>
      </c>
      <c r="S1041" t="s">
        <v>401</v>
      </c>
      <c r="V1041" s="6" t="s">
        <v>160</v>
      </c>
      <c r="W1041" t="s">
        <v>399</v>
      </c>
    </row>
    <row r="1042" spans="2:23" x14ac:dyDescent="0.3">
      <c r="B1042" t="s">
        <v>25</v>
      </c>
      <c r="C1042" s="5" t="str">
        <f>VLOOKUP(B1042,[1]물질정보!B:C,2,0)</f>
        <v>97-88-1</v>
      </c>
      <c r="D1042" t="str">
        <f>VLOOKUP(B1042,[1]물질정보!B:D,3,0)</f>
        <v>butyl methacrylate</v>
      </c>
      <c r="E1042" t="str">
        <f>VLOOKUP(B1042,[1]물질정보!B:E,4,0)</f>
        <v>C8H14O2</v>
      </c>
      <c r="F1042" t="str">
        <f>VLOOKUP(B1042,[1]물질정보!B:F,5,0)</f>
        <v>142.2 g/mol</v>
      </c>
      <c r="G1042" s="5" t="str">
        <f>VLOOKUP(B1042,[1]물질정보!B:G,6,0)</f>
        <v>CCCCOC(=O)C(=C)C</v>
      </c>
      <c r="I1042" t="s">
        <v>385</v>
      </c>
      <c r="J1042" t="s">
        <v>396</v>
      </c>
      <c r="K1042">
        <v>115</v>
      </c>
      <c r="L1042" t="s">
        <v>306</v>
      </c>
      <c r="M1042" t="s">
        <v>400</v>
      </c>
      <c r="P1042">
        <v>4</v>
      </c>
      <c r="Q1042" t="s">
        <v>31</v>
      </c>
      <c r="R1042" t="s">
        <v>159</v>
      </c>
      <c r="S1042" t="s">
        <v>401</v>
      </c>
      <c r="V1042" s="6" t="s">
        <v>160</v>
      </c>
      <c r="W1042" t="s">
        <v>399</v>
      </c>
    </row>
    <row r="1043" spans="2:23" x14ac:dyDescent="0.3">
      <c r="B1043" t="s">
        <v>25</v>
      </c>
      <c r="C1043" s="5" t="str">
        <f>VLOOKUP(B1043,[1]물질정보!B:C,2,0)</f>
        <v>97-88-1</v>
      </c>
      <c r="D1043" t="str">
        <f>VLOOKUP(B1043,[1]물질정보!B:D,3,0)</f>
        <v>butyl methacrylate</v>
      </c>
      <c r="E1043" t="str">
        <f>VLOOKUP(B1043,[1]물질정보!B:E,4,0)</f>
        <v>C8H14O2</v>
      </c>
      <c r="F1043" t="str">
        <f>VLOOKUP(B1043,[1]물질정보!B:F,5,0)</f>
        <v>142.2 g/mol</v>
      </c>
      <c r="G1043" s="5" t="str">
        <f>VLOOKUP(B1043,[1]물질정보!B:G,6,0)</f>
        <v>CCCCOC(=O)C(=C)C</v>
      </c>
      <c r="I1043" t="s">
        <v>385</v>
      </c>
      <c r="J1043" t="s">
        <v>396</v>
      </c>
      <c r="K1043">
        <v>98</v>
      </c>
      <c r="L1043" t="s">
        <v>306</v>
      </c>
      <c r="M1043" t="s">
        <v>400</v>
      </c>
      <c r="P1043">
        <v>4</v>
      </c>
      <c r="Q1043" t="s">
        <v>31</v>
      </c>
      <c r="R1043" t="s">
        <v>159</v>
      </c>
      <c r="S1043" t="s">
        <v>401</v>
      </c>
      <c r="V1043" s="6" t="s">
        <v>160</v>
      </c>
      <c r="W1043" t="s">
        <v>399</v>
      </c>
    </row>
    <row r="1044" spans="2:23" x14ac:dyDescent="0.3">
      <c r="B1044" t="s">
        <v>25</v>
      </c>
      <c r="C1044" s="5" t="str">
        <f>VLOOKUP(B1044,[1]물질정보!B:C,2,0)</f>
        <v>97-88-1</v>
      </c>
      <c r="D1044" t="str">
        <f>VLOOKUP(B1044,[1]물질정보!B:D,3,0)</f>
        <v>butyl methacrylate</v>
      </c>
      <c r="E1044" t="str">
        <f>VLOOKUP(B1044,[1]물질정보!B:E,4,0)</f>
        <v>C8H14O2</v>
      </c>
      <c r="F1044" t="str">
        <f>VLOOKUP(B1044,[1]물질정보!B:F,5,0)</f>
        <v>142.2 g/mol</v>
      </c>
      <c r="G1044" s="5" t="str">
        <f>VLOOKUP(B1044,[1]물질정보!B:G,6,0)</f>
        <v>CCCCOC(=O)C(=C)C</v>
      </c>
      <c r="I1044" t="s">
        <v>385</v>
      </c>
      <c r="K1044" t="s">
        <v>99</v>
      </c>
      <c r="M1044" t="s">
        <v>389</v>
      </c>
      <c r="R1044" t="s">
        <v>159</v>
      </c>
      <c r="S1044" t="s">
        <v>394</v>
      </c>
      <c r="V1044" s="6" t="s">
        <v>162</v>
      </c>
      <c r="W1044" t="s">
        <v>120</v>
      </c>
    </row>
    <row r="1045" spans="2:23" x14ac:dyDescent="0.3">
      <c r="B1045" t="s">
        <v>25</v>
      </c>
      <c r="C1045" s="5" t="str">
        <f>VLOOKUP(B1045,[1]물질정보!B:C,2,0)</f>
        <v>97-88-1</v>
      </c>
      <c r="D1045" t="str">
        <f>VLOOKUP(B1045,[1]물질정보!B:D,3,0)</f>
        <v>butyl methacrylate</v>
      </c>
      <c r="E1045" t="str">
        <f>VLOOKUP(B1045,[1]물질정보!B:E,4,0)</f>
        <v>C8H14O2</v>
      </c>
      <c r="F1045" t="str">
        <f>VLOOKUP(B1045,[1]물질정보!B:F,5,0)</f>
        <v>142.2 g/mol</v>
      </c>
      <c r="G1045" s="5" t="str">
        <f>VLOOKUP(B1045,[1]물질정보!B:G,6,0)</f>
        <v>CCCCOC(=O)C(=C)C</v>
      </c>
      <c r="I1045" t="s">
        <v>385</v>
      </c>
      <c r="K1045" t="s">
        <v>99</v>
      </c>
      <c r="M1045" t="s">
        <v>389</v>
      </c>
      <c r="R1045" t="s">
        <v>159</v>
      </c>
      <c r="S1045" t="s">
        <v>394</v>
      </c>
      <c r="V1045" s="6" t="s">
        <v>162</v>
      </c>
      <c r="W1045" t="s">
        <v>120</v>
      </c>
    </row>
    <row r="1046" spans="2:23" x14ac:dyDescent="0.3">
      <c r="B1046" t="s">
        <v>25</v>
      </c>
      <c r="C1046" s="5" t="str">
        <f>VLOOKUP(B1046,[1]물질정보!B:C,2,0)</f>
        <v>97-88-1</v>
      </c>
      <c r="D1046" t="str">
        <f>VLOOKUP(B1046,[1]물질정보!B:D,3,0)</f>
        <v>butyl methacrylate</v>
      </c>
      <c r="E1046" t="str">
        <f>VLOOKUP(B1046,[1]물질정보!B:E,4,0)</f>
        <v>C8H14O2</v>
      </c>
      <c r="F1046" t="str">
        <f>VLOOKUP(B1046,[1]물질정보!B:F,5,0)</f>
        <v>142.2 g/mol</v>
      </c>
      <c r="G1046" s="5" t="str">
        <f>VLOOKUP(B1046,[1]물질정보!B:G,6,0)</f>
        <v>CCCCOC(=O)C(=C)C</v>
      </c>
      <c r="I1046" t="s">
        <v>385</v>
      </c>
      <c r="K1046" t="s">
        <v>99</v>
      </c>
      <c r="R1046" t="s">
        <v>159</v>
      </c>
      <c r="V1046" s="6" t="s">
        <v>163</v>
      </c>
      <c r="W1046" t="s">
        <v>29</v>
      </c>
    </row>
    <row r="1047" spans="2:23" x14ac:dyDescent="0.3">
      <c r="B1047" t="s">
        <v>25</v>
      </c>
      <c r="C1047" s="5" t="str">
        <f>VLOOKUP(B1047,[1]물질정보!B:C,2,0)</f>
        <v>97-88-1</v>
      </c>
      <c r="D1047" t="str">
        <f>VLOOKUP(B1047,[1]물질정보!B:D,3,0)</f>
        <v>butyl methacrylate</v>
      </c>
      <c r="E1047" t="str">
        <f>VLOOKUP(B1047,[1]물질정보!B:E,4,0)</f>
        <v>C8H14O2</v>
      </c>
      <c r="F1047" t="str">
        <f>VLOOKUP(B1047,[1]물질정보!B:F,5,0)</f>
        <v>142.2 g/mol</v>
      </c>
      <c r="G1047" s="5" t="str">
        <f>VLOOKUP(B1047,[1]물질정보!B:G,6,0)</f>
        <v>CCCCOC(=O)C(=C)C</v>
      </c>
      <c r="I1047" t="s">
        <v>385</v>
      </c>
      <c r="K1047" t="s">
        <v>99</v>
      </c>
      <c r="M1047" t="s">
        <v>120</v>
      </c>
      <c r="R1047" t="s">
        <v>159</v>
      </c>
      <c r="V1047" s="6" t="s">
        <v>168</v>
      </c>
      <c r="W1047" t="s">
        <v>120</v>
      </c>
    </row>
    <row r="1048" spans="2:23" x14ac:dyDescent="0.3">
      <c r="B1048" t="s">
        <v>25</v>
      </c>
      <c r="C1048" s="5" t="str">
        <f>VLOOKUP(B1048,[1]물질정보!B:C,2,0)</f>
        <v>97-88-1</v>
      </c>
      <c r="D1048" t="str">
        <f>VLOOKUP(B1048,[1]물질정보!B:D,3,0)</f>
        <v>butyl methacrylate</v>
      </c>
      <c r="E1048" t="str">
        <f>VLOOKUP(B1048,[1]물질정보!B:E,4,0)</f>
        <v>C8H14O2</v>
      </c>
      <c r="F1048" t="str">
        <f>VLOOKUP(B1048,[1]물질정보!B:F,5,0)</f>
        <v>142.2 g/mol</v>
      </c>
      <c r="G1048" s="5" t="str">
        <f>VLOOKUP(B1048,[1]물질정보!B:G,6,0)</f>
        <v>CCCCOC(=O)C(=C)C</v>
      </c>
      <c r="I1048" t="s">
        <v>385</v>
      </c>
      <c r="K1048" t="s">
        <v>99</v>
      </c>
      <c r="M1048" t="s">
        <v>120</v>
      </c>
      <c r="R1048" t="s">
        <v>159</v>
      </c>
      <c r="V1048" s="6" t="s">
        <v>169</v>
      </c>
      <c r="W1048" t="s">
        <v>120</v>
      </c>
    </row>
    <row r="1049" spans="2:23" x14ac:dyDescent="0.3">
      <c r="B1049" t="s">
        <v>77</v>
      </c>
      <c r="C1049" s="5" t="str">
        <f>VLOOKUP(B1049,[1]물질정보!B:C,2,0)</f>
        <v>140-88-5</v>
      </c>
      <c r="D1049" t="str">
        <f>VLOOKUP(B1049,[1]물질정보!B:D,3,0)</f>
        <v>ethyl acrylate</v>
      </c>
      <c r="E1049" t="str">
        <f>VLOOKUP(B1049,[1]물질정보!B:E,4,0)</f>
        <v>C5H8O2</v>
      </c>
      <c r="F1049" t="str">
        <f>VLOOKUP(B1049,[1]물질정보!B:F,5,0)</f>
        <v>100.12 g/mol</v>
      </c>
      <c r="G1049" s="5" t="str">
        <f>VLOOKUP(B1049,[1]물질정보!B:G,6,0)</f>
        <v>CCOC(=O)C=C</v>
      </c>
      <c r="I1049" t="s">
        <v>385</v>
      </c>
      <c r="J1049" t="s">
        <v>388</v>
      </c>
      <c r="K1049">
        <v>2</v>
      </c>
      <c r="M1049" t="s">
        <v>389</v>
      </c>
      <c r="P1049">
        <v>1</v>
      </c>
      <c r="Q1049" t="s">
        <v>31</v>
      </c>
      <c r="R1049" t="s">
        <v>159</v>
      </c>
      <c r="S1049" t="s">
        <v>394</v>
      </c>
      <c r="V1049" s="6" t="s">
        <v>160</v>
      </c>
      <c r="W1049" t="s">
        <v>120</v>
      </c>
    </row>
    <row r="1050" spans="2:23" x14ac:dyDescent="0.3">
      <c r="B1050" t="s">
        <v>77</v>
      </c>
      <c r="C1050" s="5" t="str">
        <f>VLOOKUP(B1050,[1]물질정보!B:C,2,0)</f>
        <v>140-88-5</v>
      </c>
      <c r="D1050" t="str">
        <f>VLOOKUP(B1050,[1]물질정보!B:D,3,0)</f>
        <v>ethyl acrylate</v>
      </c>
      <c r="E1050" t="str">
        <f>VLOOKUP(B1050,[1]물질정보!B:E,4,0)</f>
        <v>C5H8O2</v>
      </c>
      <c r="F1050" t="str">
        <f>VLOOKUP(B1050,[1]물질정보!B:F,5,0)</f>
        <v>100.12 g/mol</v>
      </c>
      <c r="G1050" s="5" t="str">
        <f>VLOOKUP(B1050,[1]물질정보!B:G,6,0)</f>
        <v>CCOC(=O)C=C</v>
      </c>
      <c r="I1050" t="s">
        <v>385</v>
      </c>
      <c r="J1050" t="s">
        <v>391</v>
      </c>
      <c r="K1050">
        <v>0</v>
      </c>
      <c r="M1050" t="s">
        <v>389</v>
      </c>
      <c r="P1050">
        <v>1</v>
      </c>
      <c r="Q1050" t="s">
        <v>31</v>
      </c>
      <c r="R1050" t="s">
        <v>159</v>
      </c>
      <c r="S1050" t="s">
        <v>394</v>
      </c>
      <c r="V1050" s="6" t="s">
        <v>160</v>
      </c>
      <c r="W1050" t="s">
        <v>120</v>
      </c>
    </row>
    <row r="1051" spans="2:23" x14ac:dyDescent="0.3">
      <c r="B1051" t="s">
        <v>77</v>
      </c>
      <c r="C1051" s="5" t="str">
        <f>VLOOKUP(B1051,[1]물질정보!B:C,2,0)</f>
        <v>140-88-5</v>
      </c>
      <c r="D1051" t="str">
        <f>VLOOKUP(B1051,[1]물질정보!B:D,3,0)</f>
        <v>ethyl acrylate</v>
      </c>
      <c r="E1051" t="str">
        <f>VLOOKUP(B1051,[1]물질정보!B:E,4,0)</f>
        <v>C5H8O2</v>
      </c>
      <c r="F1051" t="str">
        <f>VLOOKUP(B1051,[1]물질정보!B:F,5,0)</f>
        <v>100.12 g/mol</v>
      </c>
      <c r="G1051" s="5" t="str">
        <f>VLOOKUP(B1051,[1]물질정보!B:G,6,0)</f>
        <v>CCOC(=O)C=C</v>
      </c>
      <c r="I1051" t="s">
        <v>385</v>
      </c>
      <c r="J1051" t="s">
        <v>388</v>
      </c>
      <c r="K1051">
        <v>2.7</v>
      </c>
      <c r="M1051" t="s">
        <v>389</v>
      </c>
      <c r="P1051">
        <v>1</v>
      </c>
      <c r="Q1051" t="s">
        <v>31</v>
      </c>
      <c r="R1051" t="s">
        <v>159</v>
      </c>
      <c r="S1051" t="s">
        <v>394</v>
      </c>
      <c r="V1051" s="6" t="s">
        <v>160</v>
      </c>
      <c r="W1051" t="s">
        <v>120</v>
      </c>
    </row>
    <row r="1052" spans="2:23" x14ac:dyDescent="0.3">
      <c r="B1052" t="s">
        <v>77</v>
      </c>
      <c r="C1052" s="5" t="str">
        <f>VLOOKUP(B1052,[1]물질정보!B:C,2,0)</f>
        <v>140-88-5</v>
      </c>
      <c r="D1052" t="str">
        <f>VLOOKUP(B1052,[1]물질정보!B:D,3,0)</f>
        <v>ethyl acrylate</v>
      </c>
      <c r="E1052" t="str">
        <f>VLOOKUP(B1052,[1]물질정보!B:E,4,0)</f>
        <v>C5H8O2</v>
      </c>
      <c r="F1052" t="str">
        <f>VLOOKUP(B1052,[1]물질정보!B:F,5,0)</f>
        <v>100.12 g/mol</v>
      </c>
      <c r="G1052" s="5" t="str">
        <f>VLOOKUP(B1052,[1]물질정보!B:G,6,0)</f>
        <v>CCOC(=O)C=C</v>
      </c>
      <c r="I1052" t="s">
        <v>385</v>
      </c>
      <c r="J1052" t="s">
        <v>391</v>
      </c>
      <c r="K1052">
        <v>0</v>
      </c>
      <c r="M1052" t="s">
        <v>389</v>
      </c>
      <c r="P1052">
        <v>1</v>
      </c>
      <c r="Q1052" t="s">
        <v>31</v>
      </c>
      <c r="R1052" t="s">
        <v>159</v>
      </c>
      <c r="S1052" t="s">
        <v>394</v>
      </c>
      <c r="V1052" s="6" t="s">
        <v>160</v>
      </c>
      <c r="W1052" t="s">
        <v>120</v>
      </c>
    </row>
    <row r="1053" spans="2:23" x14ac:dyDescent="0.3">
      <c r="B1053" t="s">
        <v>77</v>
      </c>
      <c r="C1053" s="5" t="str">
        <f>VLOOKUP(B1053,[1]물질정보!B:C,2,0)</f>
        <v>140-88-5</v>
      </c>
      <c r="D1053" t="str">
        <f>VLOOKUP(B1053,[1]물질정보!B:D,3,0)</f>
        <v>ethyl acrylate</v>
      </c>
      <c r="E1053" t="str">
        <f>VLOOKUP(B1053,[1]물질정보!B:E,4,0)</f>
        <v>C5H8O2</v>
      </c>
      <c r="F1053" t="str">
        <f>VLOOKUP(B1053,[1]물질정보!B:F,5,0)</f>
        <v>100.12 g/mol</v>
      </c>
      <c r="G1053" s="5" t="str">
        <f>VLOOKUP(B1053,[1]물질정보!B:G,6,0)</f>
        <v>CCOC(=O)C=C</v>
      </c>
      <c r="I1053" t="s">
        <v>385</v>
      </c>
      <c r="J1053" t="s">
        <v>388</v>
      </c>
      <c r="K1053">
        <v>2</v>
      </c>
      <c r="M1053" t="s">
        <v>389</v>
      </c>
      <c r="P1053">
        <v>1</v>
      </c>
      <c r="Q1053" t="s">
        <v>31</v>
      </c>
      <c r="R1053" t="s">
        <v>159</v>
      </c>
      <c r="S1053" t="s">
        <v>394</v>
      </c>
      <c r="V1053" s="6" t="s">
        <v>160</v>
      </c>
      <c r="W1053" t="s">
        <v>120</v>
      </c>
    </row>
    <row r="1054" spans="2:23" x14ac:dyDescent="0.3">
      <c r="B1054" t="s">
        <v>77</v>
      </c>
      <c r="C1054" s="5" t="str">
        <f>VLOOKUP(B1054,[1]물질정보!B:C,2,0)</f>
        <v>140-88-5</v>
      </c>
      <c r="D1054" t="str">
        <f>VLOOKUP(B1054,[1]물질정보!B:D,3,0)</f>
        <v>ethyl acrylate</v>
      </c>
      <c r="E1054" t="str">
        <f>VLOOKUP(B1054,[1]물질정보!B:E,4,0)</f>
        <v>C5H8O2</v>
      </c>
      <c r="F1054" t="str">
        <f>VLOOKUP(B1054,[1]물질정보!B:F,5,0)</f>
        <v>100.12 g/mol</v>
      </c>
      <c r="G1054" s="5" t="str">
        <f>VLOOKUP(B1054,[1]물질정보!B:G,6,0)</f>
        <v>CCOC(=O)C=C</v>
      </c>
      <c r="I1054" t="s">
        <v>385</v>
      </c>
      <c r="J1054" t="s">
        <v>396</v>
      </c>
      <c r="K1054">
        <v>100</v>
      </c>
      <c r="L1054" t="s">
        <v>306</v>
      </c>
      <c r="P1054">
        <v>3</v>
      </c>
      <c r="Q1054" t="s">
        <v>186</v>
      </c>
      <c r="R1054" t="s">
        <v>159</v>
      </c>
      <c r="S1054" t="s">
        <v>401</v>
      </c>
      <c r="V1054" s="6" t="s">
        <v>160</v>
      </c>
      <c r="W1054" t="s">
        <v>29</v>
      </c>
    </row>
    <row r="1055" spans="2:23" x14ac:dyDescent="0.3">
      <c r="B1055" t="s">
        <v>77</v>
      </c>
      <c r="C1055" s="5" t="str">
        <f>VLOOKUP(B1055,[1]물질정보!B:C,2,0)</f>
        <v>140-88-5</v>
      </c>
      <c r="D1055" t="str">
        <f>VLOOKUP(B1055,[1]물질정보!B:D,3,0)</f>
        <v>ethyl acrylate</v>
      </c>
      <c r="E1055" t="str">
        <f>VLOOKUP(B1055,[1]물질정보!B:E,4,0)</f>
        <v>C5H8O2</v>
      </c>
      <c r="F1055" t="str">
        <f>VLOOKUP(B1055,[1]물질정보!B:F,5,0)</f>
        <v>100.12 g/mol</v>
      </c>
      <c r="G1055" s="5" t="str">
        <f>VLOOKUP(B1055,[1]물질정보!B:G,6,0)</f>
        <v>CCOC(=O)C=C</v>
      </c>
      <c r="I1055" t="s">
        <v>385</v>
      </c>
      <c r="J1055" t="s">
        <v>388</v>
      </c>
      <c r="K1055">
        <v>4</v>
      </c>
      <c r="M1055" t="s">
        <v>389</v>
      </c>
      <c r="R1055" t="s">
        <v>159</v>
      </c>
      <c r="S1055" t="s">
        <v>394</v>
      </c>
      <c r="V1055" s="6" t="s">
        <v>160</v>
      </c>
      <c r="W1055" t="s">
        <v>120</v>
      </c>
    </row>
    <row r="1056" spans="2:23" x14ac:dyDescent="0.3">
      <c r="B1056" t="s">
        <v>77</v>
      </c>
      <c r="C1056" s="5" t="str">
        <f>VLOOKUP(B1056,[1]물질정보!B:C,2,0)</f>
        <v>140-88-5</v>
      </c>
      <c r="D1056" t="str">
        <f>VLOOKUP(B1056,[1]물질정보!B:D,3,0)</f>
        <v>ethyl acrylate</v>
      </c>
      <c r="E1056" t="str">
        <f>VLOOKUP(B1056,[1]물질정보!B:E,4,0)</f>
        <v>C5H8O2</v>
      </c>
      <c r="F1056" t="str">
        <f>VLOOKUP(B1056,[1]물질정보!B:F,5,0)</f>
        <v>100.12 g/mol</v>
      </c>
      <c r="G1056" s="5" t="str">
        <f>VLOOKUP(B1056,[1]물질정보!B:G,6,0)</f>
        <v>CCOC(=O)C=C</v>
      </c>
      <c r="I1056" t="s">
        <v>385</v>
      </c>
      <c r="J1056" t="s">
        <v>391</v>
      </c>
      <c r="K1056">
        <v>4</v>
      </c>
      <c r="M1056" t="s">
        <v>389</v>
      </c>
      <c r="R1056" t="s">
        <v>159</v>
      </c>
      <c r="S1056" t="s">
        <v>394</v>
      </c>
      <c r="V1056" s="6" t="s">
        <v>160</v>
      </c>
      <c r="W1056" t="s">
        <v>120</v>
      </c>
    </row>
    <row r="1057" spans="2:23" x14ac:dyDescent="0.3">
      <c r="B1057" t="s">
        <v>77</v>
      </c>
      <c r="C1057" s="5" t="str">
        <f>VLOOKUP(B1057,[1]물질정보!B:C,2,0)</f>
        <v>140-88-5</v>
      </c>
      <c r="D1057" t="str">
        <f>VLOOKUP(B1057,[1]물질정보!B:D,3,0)</f>
        <v>ethyl acrylate</v>
      </c>
      <c r="E1057" t="str">
        <f>VLOOKUP(B1057,[1]물질정보!B:E,4,0)</f>
        <v>C5H8O2</v>
      </c>
      <c r="F1057" t="str">
        <f>VLOOKUP(B1057,[1]물질정보!B:F,5,0)</f>
        <v>100.12 g/mol</v>
      </c>
      <c r="G1057" s="5" t="str">
        <f>VLOOKUP(B1057,[1]물질정보!B:G,6,0)</f>
        <v>CCOC(=O)C=C</v>
      </c>
      <c r="I1057" t="s">
        <v>385</v>
      </c>
      <c r="J1057" t="s">
        <v>402</v>
      </c>
      <c r="K1057">
        <v>6.8</v>
      </c>
      <c r="M1057" t="s">
        <v>389</v>
      </c>
      <c r="P1057">
        <v>4</v>
      </c>
      <c r="Q1057" t="s">
        <v>31</v>
      </c>
      <c r="R1057" t="s">
        <v>159</v>
      </c>
      <c r="S1057" t="s">
        <v>403</v>
      </c>
      <c r="V1057" s="6" t="s">
        <v>160</v>
      </c>
      <c r="W1057" t="s">
        <v>120</v>
      </c>
    </row>
    <row r="1058" spans="2:23" x14ac:dyDescent="0.3">
      <c r="B1058" t="s">
        <v>77</v>
      </c>
      <c r="C1058" s="5" t="str">
        <f>VLOOKUP(B1058,[1]물질정보!B:C,2,0)</f>
        <v>140-88-5</v>
      </c>
      <c r="D1058" t="str">
        <f>VLOOKUP(B1058,[1]물질정보!B:D,3,0)</f>
        <v>ethyl acrylate</v>
      </c>
      <c r="E1058" t="str">
        <f>VLOOKUP(B1058,[1]물질정보!B:E,4,0)</f>
        <v>C5H8O2</v>
      </c>
      <c r="F1058" t="str">
        <f>VLOOKUP(B1058,[1]물질정보!B:F,5,0)</f>
        <v>100.12 g/mol</v>
      </c>
      <c r="G1058" s="5" t="str">
        <f>VLOOKUP(B1058,[1]물질정보!B:G,6,0)</f>
        <v>CCOC(=O)C=C</v>
      </c>
      <c r="I1058" t="s">
        <v>385</v>
      </c>
      <c r="J1058" t="s">
        <v>388</v>
      </c>
      <c r="K1058">
        <v>3.3</v>
      </c>
      <c r="M1058" t="s">
        <v>389</v>
      </c>
      <c r="P1058">
        <v>4</v>
      </c>
      <c r="Q1058" t="s">
        <v>31</v>
      </c>
      <c r="R1058" t="s">
        <v>159</v>
      </c>
      <c r="S1058" t="s">
        <v>403</v>
      </c>
      <c r="V1058" s="6" t="s">
        <v>160</v>
      </c>
      <c r="W1058" t="s">
        <v>120</v>
      </c>
    </row>
    <row r="1059" spans="2:23" x14ac:dyDescent="0.3">
      <c r="B1059" t="s">
        <v>77</v>
      </c>
      <c r="C1059" s="5" t="str">
        <f>VLOOKUP(B1059,[1]물질정보!B:C,2,0)</f>
        <v>140-88-5</v>
      </c>
      <c r="D1059" t="str">
        <f>VLOOKUP(B1059,[1]물질정보!B:D,3,0)</f>
        <v>ethyl acrylate</v>
      </c>
      <c r="E1059" t="str">
        <f>VLOOKUP(B1059,[1]물질정보!B:E,4,0)</f>
        <v>C5H8O2</v>
      </c>
      <c r="F1059" t="str">
        <f>VLOOKUP(B1059,[1]물질정보!B:F,5,0)</f>
        <v>100.12 g/mol</v>
      </c>
      <c r="G1059" s="5" t="str">
        <f>VLOOKUP(B1059,[1]물질정보!B:G,6,0)</f>
        <v>CCOC(=O)C=C</v>
      </c>
      <c r="I1059" t="s">
        <v>385</v>
      </c>
      <c r="J1059" t="s">
        <v>391</v>
      </c>
      <c r="K1059">
        <v>3.8</v>
      </c>
      <c r="M1059" t="s">
        <v>389</v>
      </c>
      <c r="P1059">
        <v>4</v>
      </c>
      <c r="Q1059" t="s">
        <v>31</v>
      </c>
      <c r="R1059" t="s">
        <v>159</v>
      </c>
      <c r="S1059" t="s">
        <v>403</v>
      </c>
      <c r="V1059" s="6" t="s">
        <v>160</v>
      </c>
      <c r="W1059" t="s">
        <v>120</v>
      </c>
    </row>
    <row r="1060" spans="2:23" x14ac:dyDescent="0.3">
      <c r="B1060" t="s">
        <v>77</v>
      </c>
      <c r="C1060" s="5" t="str">
        <f>VLOOKUP(B1060,[1]물질정보!B:C,2,0)</f>
        <v>140-88-5</v>
      </c>
      <c r="D1060" t="str">
        <f>VLOOKUP(B1060,[1]물질정보!B:D,3,0)</f>
        <v>ethyl acrylate</v>
      </c>
      <c r="E1060" t="str">
        <f>VLOOKUP(B1060,[1]물질정보!B:E,4,0)</f>
        <v>C5H8O2</v>
      </c>
      <c r="F1060" t="str">
        <f>VLOOKUP(B1060,[1]물질정보!B:F,5,0)</f>
        <v>100.12 g/mol</v>
      </c>
      <c r="G1060" s="5" t="str">
        <f>VLOOKUP(B1060,[1]물질정보!B:G,6,0)</f>
        <v>CCOC(=O)C=C</v>
      </c>
      <c r="I1060" t="s">
        <v>385</v>
      </c>
      <c r="K1060" t="s">
        <v>99</v>
      </c>
      <c r="R1060" t="s">
        <v>159</v>
      </c>
      <c r="V1060" s="6" t="s">
        <v>162</v>
      </c>
      <c r="W1060" t="s">
        <v>29</v>
      </c>
    </row>
    <row r="1061" spans="2:23" x14ac:dyDescent="0.3">
      <c r="B1061" t="s">
        <v>77</v>
      </c>
      <c r="C1061" s="5" t="str">
        <f>VLOOKUP(B1061,[1]물질정보!B:C,2,0)</f>
        <v>140-88-5</v>
      </c>
      <c r="D1061" t="str">
        <f>VLOOKUP(B1061,[1]물질정보!B:D,3,0)</f>
        <v>ethyl acrylate</v>
      </c>
      <c r="E1061" t="str">
        <f>VLOOKUP(B1061,[1]물질정보!B:E,4,0)</f>
        <v>C5H8O2</v>
      </c>
      <c r="F1061" t="str">
        <f>VLOOKUP(B1061,[1]물질정보!B:F,5,0)</f>
        <v>100.12 g/mol</v>
      </c>
      <c r="G1061" s="5" t="str">
        <f>VLOOKUP(B1061,[1]물질정보!B:G,6,0)</f>
        <v>CCOC(=O)C=C</v>
      </c>
      <c r="I1061" t="s">
        <v>385</v>
      </c>
      <c r="K1061" t="s">
        <v>99</v>
      </c>
      <c r="M1061" t="s">
        <v>120</v>
      </c>
      <c r="R1061" t="s">
        <v>159</v>
      </c>
      <c r="V1061" s="6" t="s">
        <v>168</v>
      </c>
      <c r="W1061" t="s">
        <v>120</v>
      </c>
    </row>
    <row r="1062" spans="2:23" x14ac:dyDescent="0.3">
      <c r="B1062" t="s">
        <v>77</v>
      </c>
      <c r="C1062" s="5" t="str">
        <f>VLOOKUP(B1062,[1]물질정보!B:C,2,0)</f>
        <v>140-88-5</v>
      </c>
      <c r="D1062" t="str">
        <f>VLOOKUP(B1062,[1]물질정보!B:D,3,0)</f>
        <v>ethyl acrylate</v>
      </c>
      <c r="E1062" t="str">
        <f>VLOOKUP(B1062,[1]물질정보!B:E,4,0)</f>
        <v>C5H8O2</v>
      </c>
      <c r="F1062" t="str">
        <f>VLOOKUP(B1062,[1]물질정보!B:F,5,0)</f>
        <v>100.12 g/mol</v>
      </c>
      <c r="G1062" s="5" t="str">
        <f>VLOOKUP(B1062,[1]물질정보!B:G,6,0)</f>
        <v>CCOC(=O)C=C</v>
      </c>
      <c r="I1062" t="s">
        <v>385</v>
      </c>
      <c r="K1062" t="s">
        <v>99</v>
      </c>
      <c r="M1062" t="s">
        <v>120</v>
      </c>
      <c r="R1062" t="s">
        <v>159</v>
      </c>
      <c r="V1062" s="6" t="s">
        <v>169</v>
      </c>
      <c r="W1062" t="s">
        <v>120</v>
      </c>
    </row>
    <row r="1063" spans="2:23" x14ac:dyDescent="0.3">
      <c r="B1063" t="s">
        <v>67</v>
      </c>
      <c r="C1063" s="5" t="str">
        <f>VLOOKUP(B1063,[1]물질정보!B:C,2,0)</f>
        <v>818-61-1</v>
      </c>
      <c r="D1063" t="str">
        <f>VLOOKUP(B1063,[1]물질정보!B:D,3,0)</f>
        <v>2-hydroxyethyl acrylate</v>
      </c>
      <c r="E1063" t="str">
        <f>VLOOKUP(B1063,[1]물질정보!B:E,4,0)</f>
        <v>C5H8O3</v>
      </c>
      <c r="F1063" t="str">
        <f>VLOOKUP(B1063,[1]물질정보!B:F,5,0)</f>
        <v>116.11 g/mol</v>
      </c>
      <c r="G1063" s="5" t="str">
        <f>VLOOKUP(B1063,[1]물질정보!B:G,6,0)</f>
        <v>C=CC(=O)OCCO</v>
      </c>
      <c r="I1063" t="s">
        <v>385</v>
      </c>
      <c r="K1063" t="s">
        <v>99</v>
      </c>
      <c r="R1063" t="s">
        <v>159</v>
      </c>
      <c r="V1063" s="6" t="s">
        <v>163</v>
      </c>
      <c r="W1063" t="s">
        <v>29</v>
      </c>
    </row>
    <row r="1064" spans="2:23" x14ac:dyDescent="0.3">
      <c r="B1064" t="s">
        <v>67</v>
      </c>
      <c r="C1064" s="5" t="str">
        <f>VLOOKUP(B1064,[1]물질정보!B:C,2,0)</f>
        <v>818-61-1</v>
      </c>
      <c r="D1064" t="str">
        <f>VLOOKUP(B1064,[1]물질정보!B:D,3,0)</f>
        <v>2-hydroxyethyl acrylate</v>
      </c>
      <c r="E1064" t="str">
        <f>VLOOKUP(B1064,[1]물질정보!B:E,4,0)</f>
        <v>C5H8O3</v>
      </c>
      <c r="F1064" t="str">
        <f>VLOOKUP(B1064,[1]물질정보!B:F,5,0)</f>
        <v>116.11 g/mol</v>
      </c>
      <c r="G1064" s="5" t="str">
        <f>VLOOKUP(B1064,[1]물질정보!B:G,6,0)</f>
        <v>C=CC(=O)OCCO</v>
      </c>
      <c r="I1064" t="s">
        <v>385</v>
      </c>
      <c r="K1064" t="s">
        <v>99</v>
      </c>
      <c r="R1064" t="s">
        <v>159</v>
      </c>
      <c r="V1064" s="6" t="s">
        <v>162</v>
      </c>
      <c r="W1064" t="s">
        <v>29</v>
      </c>
    </row>
    <row r="1065" spans="2:23" x14ac:dyDescent="0.3">
      <c r="B1065" t="s">
        <v>65</v>
      </c>
      <c r="C1065" s="5" t="str">
        <f>VLOOKUP(B1065,[1]물질정보!B:C,2,0)</f>
        <v>141-32-2</v>
      </c>
      <c r="D1065" t="str">
        <f>VLOOKUP(B1065,[1]물질정보!B:D,3,0)</f>
        <v>butyl acrylate</v>
      </c>
      <c r="E1065" t="str">
        <f>VLOOKUP(B1065,[1]물질정보!B:E,4,0)</f>
        <v>C7H12O2</v>
      </c>
      <c r="F1065" t="str">
        <f>VLOOKUP(B1065,[1]물질정보!B:F,5,0)</f>
        <v>128.169 g/mol</v>
      </c>
      <c r="G1065" s="5" t="str">
        <f>VLOOKUP(B1065,[1]물질정보!B:G,6,0)</f>
        <v>CCCCOC(=O)C=C</v>
      </c>
      <c r="I1065" t="s">
        <v>385</v>
      </c>
      <c r="J1065" t="s">
        <v>402</v>
      </c>
      <c r="K1065">
        <v>6.5</v>
      </c>
      <c r="M1065" t="s">
        <v>389</v>
      </c>
      <c r="P1065">
        <v>72</v>
      </c>
      <c r="Q1065" t="s">
        <v>31</v>
      </c>
      <c r="R1065" t="s">
        <v>159</v>
      </c>
      <c r="S1065" t="s">
        <v>403</v>
      </c>
      <c r="V1065" s="6" t="s">
        <v>160</v>
      </c>
      <c r="W1065" t="s">
        <v>120</v>
      </c>
    </row>
    <row r="1066" spans="2:23" x14ac:dyDescent="0.3">
      <c r="B1066" t="s">
        <v>65</v>
      </c>
      <c r="C1066" s="5" t="str">
        <f>VLOOKUP(B1066,[1]물질정보!B:C,2,0)</f>
        <v>141-32-2</v>
      </c>
      <c r="D1066" t="str">
        <f>VLOOKUP(B1066,[1]물질정보!B:D,3,0)</f>
        <v>butyl acrylate</v>
      </c>
      <c r="E1066" t="str">
        <f>VLOOKUP(B1066,[1]물질정보!B:E,4,0)</f>
        <v>C7H12O2</v>
      </c>
      <c r="F1066" t="str">
        <f>VLOOKUP(B1066,[1]물질정보!B:F,5,0)</f>
        <v>128.169 g/mol</v>
      </c>
      <c r="G1066" s="5" t="str">
        <f>VLOOKUP(B1066,[1]물질정보!B:G,6,0)</f>
        <v>CCCCOC(=O)C=C</v>
      </c>
      <c r="I1066" t="s">
        <v>385</v>
      </c>
      <c r="J1066" t="s">
        <v>388</v>
      </c>
      <c r="K1066">
        <v>3.3</v>
      </c>
      <c r="M1066" t="s">
        <v>389</v>
      </c>
      <c r="P1066">
        <v>72</v>
      </c>
      <c r="Q1066" t="s">
        <v>31</v>
      </c>
      <c r="R1066" t="s">
        <v>159</v>
      </c>
      <c r="S1066" t="s">
        <v>403</v>
      </c>
      <c r="V1066" s="6" t="s">
        <v>160</v>
      </c>
      <c r="W1066" t="s">
        <v>120</v>
      </c>
    </row>
    <row r="1067" spans="2:23" x14ac:dyDescent="0.3">
      <c r="B1067" t="s">
        <v>65</v>
      </c>
      <c r="C1067" s="5" t="str">
        <f>VLOOKUP(B1067,[1]물질정보!B:C,2,0)</f>
        <v>141-32-2</v>
      </c>
      <c r="D1067" t="str">
        <f>VLOOKUP(B1067,[1]물질정보!B:D,3,0)</f>
        <v>butyl acrylate</v>
      </c>
      <c r="E1067" t="str">
        <f>VLOOKUP(B1067,[1]물질정보!B:E,4,0)</f>
        <v>C7H12O2</v>
      </c>
      <c r="F1067" t="str">
        <f>VLOOKUP(B1067,[1]물질정보!B:F,5,0)</f>
        <v>128.169 g/mol</v>
      </c>
      <c r="G1067" s="5" t="str">
        <f>VLOOKUP(B1067,[1]물질정보!B:G,6,0)</f>
        <v>CCCCOC(=O)C=C</v>
      </c>
      <c r="I1067" t="s">
        <v>385</v>
      </c>
      <c r="J1067" t="s">
        <v>391</v>
      </c>
      <c r="K1067">
        <v>3.1</v>
      </c>
      <c r="M1067" t="s">
        <v>389</v>
      </c>
      <c r="P1067">
        <v>72</v>
      </c>
      <c r="Q1067" t="s">
        <v>31</v>
      </c>
      <c r="R1067" t="s">
        <v>159</v>
      </c>
      <c r="S1067" t="s">
        <v>403</v>
      </c>
      <c r="V1067" s="6" t="s">
        <v>160</v>
      </c>
      <c r="W1067" t="s">
        <v>120</v>
      </c>
    </row>
    <row r="1068" spans="2:23" x14ac:dyDescent="0.3">
      <c r="B1068" t="s">
        <v>65</v>
      </c>
      <c r="C1068" s="5" t="str">
        <f>VLOOKUP(B1068,[1]물질정보!B:C,2,0)</f>
        <v>141-32-2</v>
      </c>
      <c r="D1068" t="str">
        <f>VLOOKUP(B1068,[1]물질정보!B:D,3,0)</f>
        <v>butyl acrylate</v>
      </c>
      <c r="E1068" t="str">
        <f>VLOOKUP(B1068,[1]물질정보!B:E,4,0)</f>
        <v>C7H12O2</v>
      </c>
      <c r="F1068" t="str">
        <f>VLOOKUP(B1068,[1]물질정보!B:F,5,0)</f>
        <v>128.169 g/mol</v>
      </c>
      <c r="G1068" s="5" t="str">
        <f>VLOOKUP(B1068,[1]물질정보!B:G,6,0)</f>
        <v>CCCCOC(=O)C=C</v>
      </c>
      <c r="I1068" t="s">
        <v>385</v>
      </c>
      <c r="K1068" t="s">
        <v>99</v>
      </c>
      <c r="M1068" t="s">
        <v>389</v>
      </c>
      <c r="R1068" t="s">
        <v>159</v>
      </c>
      <c r="S1068" t="s">
        <v>403</v>
      </c>
      <c r="V1068" s="6" t="s">
        <v>162</v>
      </c>
      <c r="W1068" t="s">
        <v>120</v>
      </c>
    </row>
    <row r="1069" spans="2:23" x14ac:dyDescent="0.3">
      <c r="B1069" t="s">
        <v>65</v>
      </c>
      <c r="C1069" s="5" t="str">
        <f>VLOOKUP(B1069,[1]물질정보!B:C,2,0)</f>
        <v>141-32-2</v>
      </c>
      <c r="D1069" t="str">
        <f>VLOOKUP(B1069,[1]물질정보!B:D,3,0)</f>
        <v>butyl acrylate</v>
      </c>
      <c r="E1069" t="str">
        <f>VLOOKUP(B1069,[1]물질정보!B:E,4,0)</f>
        <v>C7H12O2</v>
      </c>
      <c r="F1069" t="str">
        <f>VLOOKUP(B1069,[1]물질정보!B:F,5,0)</f>
        <v>128.169 g/mol</v>
      </c>
      <c r="G1069" s="5" t="str">
        <f>VLOOKUP(B1069,[1]물질정보!B:G,6,0)</f>
        <v>CCCCOC(=O)C=C</v>
      </c>
      <c r="I1069" t="s">
        <v>385</v>
      </c>
      <c r="K1069" t="s">
        <v>99</v>
      </c>
      <c r="R1069" t="s">
        <v>159</v>
      </c>
      <c r="V1069" s="6" t="s">
        <v>163</v>
      </c>
      <c r="W1069" t="s">
        <v>29</v>
      </c>
    </row>
    <row r="1070" spans="2:23" x14ac:dyDescent="0.3">
      <c r="B1070" t="s">
        <v>65</v>
      </c>
      <c r="C1070" s="5" t="str">
        <f>VLOOKUP(B1070,[1]물질정보!B:C,2,0)</f>
        <v>141-32-2</v>
      </c>
      <c r="D1070" t="str">
        <f>VLOOKUP(B1070,[1]물질정보!B:D,3,0)</f>
        <v>butyl acrylate</v>
      </c>
      <c r="E1070" t="str">
        <f>VLOOKUP(B1070,[1]물질정보!B:E,4,0)</f>
        <v>C7H12O2</v>
      </c>
      <c r="F1070" t="str">
        <f>VLOOKUP(B1070,[1]물질정보!B:F,5,0)</f>
        <v>128.169 g/mol</v>
      </c>
      <c r="G1070" s="5" t="str">
        <f>VLOOKUP(B1070,[1]물질정보!B:G,6,0)</f>
        <v>CCCCOC(=O)C=C</v>
      </c>
      <c r="I1070" t="s">
        <v>385</v>
      </c>
      <c r="K1070" t="s">
        <v>99</v>
      </c>
      <c r="M1070" t="s">
        <v>120</v>
      </c>
      <c r="R1070" t="s">
        <v>159</v>
      </c>
      <c r="V1070" s="6" t="s">
        <v>168</v>
      </c>
      <c r="W1070" t="s">
        <v>120</v>
      </c>
    </row>
    <row r="1071" spans="2:23" x14ac:dyDescent="0.3">
      <c r="B1071" t="s">
        <v>65</v>
      </c>
      <c r="C1071" s="5" t="str">
        <f>VLOOKUP(B1071,[1]물질정보!B:C,2,0)</f>
        <v>141-32-2</v>
      </c>
      <c r="D1071" t="str">
        <f>VLOOKUP(B1071,[1]물질정보!B:D,3,0)</f>
        <v>butyl acrylate</v>
      </c>
      <c r="E1071" t="str">
        <f>VLOOKUP(B1071,[1]물질정보!B:E,4,0)</f>
        <v>C7H12O2</v>
      </c>
      <c r="F1071" t="str">
        <f>VLOOKUP(B1071,[1]물질정보!B:F,5,0)</f>
        <v>128.169 g/mol</v>
      </c>
      <c r="G1071" s="5" t="str">
        <f>VLOOKUP(B1071,[1]물질정보!B:G,6,0)</f>
        <v>CCCCOC(=O)C=C</v>
      </c>
      <c r="I1071" t="s">
        <v>385</v>
      </c>
      <c r="K1071" t="s">
        <v>99</v>
      </c>
      <c r="M1071" t="s">
        <v>120</v>
      </c>
      <c r="R1071" t="s">
        <v>159</v>
      </c>
      <c r="V1071" s="6" t="s">
        <v>169</v>
      </c>
      <c r="W1071" t="s">
        <v>120</v>
      </c>
    </row>
    <row r="1072" spans="2:23" x14ac:dyDescent="0.3">
      <c r="B1072" t="s">
        <v>64</v>
      </c>
      <c r="C1072" s="5" t="str">
        <f>VLOOKUP(B1072,[1]물질정보!B:C,2,0)</f>
        <v>2478-10-6</v>
      </c>
      <c r="D1072" t="str">
        <f>VLOOKUP(B1072,[1]물질정보!B:D,3,0)</f>
        <v>4-hydroxybutyl acrylate</v>
      </c>
      <c r="E1072" t="str">
        <f>VLOOKUP(B1072,[1]물질정보!B:E,4,0)</f>
        <v>C7H12O3</v>
      </c>
      <c r="F1072" t="str">
        <f>VLOOKUP(B1072,[1]물질정보!B:F,5,0)</f>
        <v>144.17 g/mol</v>
      </c>
      <c r="G1072" s="5" t="str">
        <f>VLOOKUP(B1072,[1]물질정보!B:G,6,0)</f>
        <v>C=CC(=O)OCCCCO</v>
      </c>
      <c r="I1072" t="s">
        <v>385</v>
      </c>
      <c r="K1072" t="s">
        <v>99</v>
      </c>
      <c r="R1072" t="s">
        <v>159</v>
      </c>
      <c r="V1072" s="6" t="s">
        <v>163</v>
      </c>
      <c r="W1072" t="s">
        <v>29</v>
      </c>
    </row>
    <row r="1073" spans="2:23" x14ac:dyDescent="0.3">
      <c r="B1073" t="s">
        <v>64</v>
      </c>
      <c r="C1073" s="5" t="str">
        <f>VLOOKUP(B1073,[1]물질정보!B:C,2,0)</f>
        <v>2478-10-6</v>
      </c>
      <c r="D1073" t="str">
        <f>VLOOKUP(B1073,[1]물질정보!B:D,3,0)</f>
        <v>4-hydroxybutyl acrylate</v>
      </c>
      <c r="E1073" t="str">
        <f>VLOOKUP(B1073,[1]물질정보!B:E,4,0)</f>
        <v>C7H12O3</v>
      </c>
      <c r="F1073" t="str">
        <f>VLOOKUP(B1073,[1]물질정보!B:F,5,0)</f>
        <v>144.17 g/mol</v>
      </c>
      <c r="G1073" s="5" t="str">
        <f>VLOOKUP(B1073,[1]물질정보!B:G,6,0)</f>
        <v>C=CC(=O)OCCCCO</v>
      </c>
      <c r="I1073" t="s">
        <v>385</v>
      </c>
      <c r="K1073" t="s">
        <v>99</v>
      </c>
      <c r="M1073" t="s">
        <v>404</v>
      </c>
      <c r="R1073" t="s">
        <v>159</v>
      </c>
      <c r="S1073" t="s">
        <v>394</v>
      </c>
      <c r="V1073" s="6" t="s">
        <v>162</v>
      </c>
      <c r="W1073" t="s">
        <v>120</v>
      </c>
    </row>
    <row r="1074" spans="2:23" x14ac:dyDescent="0.3">
      <c r="B1074" t="s">
        <v>64</v>
      </c>
      <c r="C1074" s="5" t="str">
        <f>VLOOKUP(B1074,[1]물질정보!B:C,2,0)</f>
        <v>2478-10-6</v>
      </c>
      <c r="D1074" t="str">
        <f>VLOOKUP(B1074,[1]물질정보!B:D,3,0)</f>
        <v>4-hydroxybutyl acrylate</v>
      </c>
      <c r="E1074" t="str">
        <f>VLOOKUP(B1074,[1]물질정보!B:E,4,0)</f>
        <v>C7H12O3</v>
      </c>
      <c r="F1074" t="str">
        <f>VLOOKUP(B1074,[1]물질정보!B:F,5,0)</f>
        <v>144.17 g/mol</v>
      </c>
      <c r="G1074" s="5" t="str">
        <f>VLOOKUP(B1074,[1]물질정보!B:G,6,0)</f>
        <v>C=CC(=O)OCCCCO</v>
      </c>
      <c r="I1074" t="s">
        <v>385</v>
      </c>
      <c r="J1074" t="s">
        <v>388</v>
      </c>
      <c r="K1074">
        <v>3</v>
      </c>
      <c r="M1074" t="s">
        <v>405</v>
      </c>
      <c r="P1074">
        <v>4</v>
      </c>
      <c r="Q1074" t="s">
        <v>31</v>
      </c>
      <c r="R1074" t="s">
        <v>159</v>
      </c>
      <c r="S1074" t="s">
        <v>394</v>
      </c>
      <c r="V1074" s="6" t="s">
        <v>160</v>
      </c>
      <c r="W1074" t="s">
        <v>120</v>
      </c>
    </row>
    <row r="1075" spans="2:23" x14ac:dyDescent="0.3">
      <c r="B1075" t="s">
        <v>64</v>
      </c>
      <c r="C1075" s="5" t="str">
        <f>VLOOKUP(B1075,[1]물질정보!B:C,2,0)</f>
        <v>2478-10-6</v>
      </c>
      <c r="D1075" t="str">
        <f>VLOOKUP(B1075,[1]물질정보!B:D,3,0)</f>
        <v>4-hydroxybutyl acrylate</v>
      </c>
      <c r="E1075" t="str">
        <f>VLOOKUP(B1075,[1]물질정보!B:E,4,0)</f>
        <v>C7H12O3</v>
      </c>
      <c r="F1075" t="str">
        <f>VLOOKUP(B1075,[1]물질정보!B:F,5,0)</f>
        <v>144.17 g/mol</v>
      </c>
      <c r="G1075" s="5" t="str">
        <f>VLOOKUP(B1075,[1]물질정보!B:G,6,0)</f>
        <v>C=CC(=O)OCCCCO</v>
      </c>
      <c r="I1075" t="s">
        <v>385</v>
      </c>
      <c r="J1075" t="s">
        <v>391</v>
      </c>
      <c r="K1075">
        <v>3</v>
      </c>
      <c r="M1075" t="s">
        <v>405</v>
      </c>
      <c r="P1075">
        <v>4</v>
      </c>
      <c r="Q1075" t="s">
        <v>31</v>
      </c>
      <c r="R1075" t="s">
        <v>159</v>
      </c>
      <c r="S1075" t="s">
        <v>394</v>
      </c>
      <c r="V1075" s="6" t="s">
        <v>160</v>
      </c>
      <c r="W1075" t="s">
        <v>120</v>
      </c>
    </row>
    <row r="1076" spans="2:23" x14ac:dyDescent="0.3">
      <c r="B1076" t="s">
        <v>64</v>
      </c>
      <c r="C1076" s="5" t="str">
        <f>VLOOKUP(B1076,[1]물질정보!B:C,2,0)</f>
        <v>2478-10-6</v>
      </c>
      <c r="D1076" t="str">
        <f>VLOOKUP(B1076,[1]물질정보!B:D,3,0)</f>
        <v>4-hydroxybutyl acrylate</v>
      </c>
      <c r="E1076" t="str">
        <f>VLOOKUP(B1076,[1]물질정보!B:E,4,0)</f>
        <v>C7H12O3</v>
      </c>
      <c r="F1076" t="str">
        <f>VLOOKUP(B1076,[1]물질정보!B:F,5,0)</f>
        <v>144.17 g/mol</v>
      </c>
      <c r="G1076" s="5" t="str">
        <f>VLOOKUP(B1076,[1]물질정보!B:G,6,0)</f>
        <v>C=CC(=O)OCCCCO</v>
      </c>
      <c r="I1076" t="s">
        <v>385</v>
      </c>
      <c r="J1076" t="s">
        <v>391</v>
      </c>
      <c r="K1076">
        <v>2.5</v>
      </c>
      <c r="M1076" t="s">
        <v>405</v>
      </c>
      <c r="P1076">
        <v>4</v>
      </c>
      <c r="Q1076" t="s">
        <v>31</v>
      </c>
      <c r="R1076" t="s">
        <v>159</v>
      </c>
      <c r="S1076" t="s">
        <v>394</v>
      </c>
      <c r="V1076" s="6" t="s">
        <v>160</v>
      </c>
      <c r="W1076" t="s">
        <v>120</v>
      </c>
    </row>
    <row r="1077" spans="2:23" x14ac:dyDescent="0.3">
      <c r="B1077" t="s">
        <v>64</v>
      </c>
      <c r="C1077" s="5" t="str">
        <f>VLOOKUP(B1077,[1]물질정보!B:C,2,0)</f>
        <v>2478-10-6</v>
      </c>
      <c r="D1077" t="str">
        <f>VLOOKUP(B1077,[1]물질정보!B:D,3,0)</f>
        <v>4-hydroxybutyl acrylate</v>
      </c>
      <c r="E1077" t="str">
        <f>VLOOKUP(B1077,[1]물질정보!B:E,4,0)</f>
        <v>C7H12O3</v>
      </c>
      <c r="F1077" t="str">
        <f>VLOOKUP(B1077,[1]물질정보!B:F,5,0)</f>
        <v>144.17 g/mol</v>
      </c>
      <c r="G1077" s="5" t="str">
        <f>VLOOKUP(B1077,[1]물질정보!B:G,6,0)</f>
        <v>C=CC(=O)OCCCCO</v>
      </c>
      <c r="I1077" t="s">
        <v>385</v>
      </c>
      <c r="J1077" t="s">
        <v>391</v>
      </c>
      <c r="K1077">
        <v>0</v>
      </c>
      <c r="M1077" t="s">
        <v>405</v>
      </c>
      <c r="P1077">
        <v>5</v>
      </c>
      <c r="Q1077" t="s">
        <v>186</v>
      </c>
      <c r="R1077" t="s">
        <v>159</v>
      </c>
      <c r="S1077" t="s">
        <v>394</v>
      </c>
      <c r="V1077" s="6" t="s">
        <v>160</v>
      </c>
      <c r="W1077" t="s">
        <v>120</v>
      </c>
    </row>
    <row r="1078" spans="2:23" x14ac:dyDescent="0.3">
      <c r="B1078" t="s">
        <v>64</v>
      </c>
      <c r="C1078" s="5" t="str">
        <f>VLOOKUP(B1078,[1]물질정보!B:C,2,0)</f>
        <v>2478-10-6</v>
      </c>
      <c r="D1078" t="str">
        <f>VLOOKUP(B1078,[1]물질정보!B:D,3,0)</f>
        <v>4-hydroxybutyl acrylate</v>
      </c>
      <c r="E1078" t="str">
        <f>VLOOKUP(B1078,[1]물질정보!B:E,4,0)</f>
        <v>C7H12O3</v>
      </c>
      <c r="F1078" t="str">
        <f>VLOOKUP(B1078,[1]물질정보!B:F,5,0)</f>
        <v>144.17 g/mol</v>
      </c>
      <c r="G1078" s="5" t="str">
        <f>VLOOKUP(B1078,[1]물질정보!B:G,6,0)</f>
        <v>C=CC(=O)OCCCCO</v>
      </c>
      <c r="I1078" t="s">
        <v>385</v>
      </c>
      <c r="J1078" t="s">
        <v>388</v>
      </c>
      <c r="K1078">
        <v>0</v>
      </c>
      <c r="M1078" t="s">
        <v>405</v>
      </c>
      <c r="P1078">
        <v>5</v>
      </c>
      <c r="Q1078" t="s">
        <v>186</v>
      </c>
      <c r="R1078" t="s">
        <v>159</v>
      </c>
      <c r="S1078" t="s">
        <v>394</v>
      </c>
      <c r="V1078" s="6" t="s">
        <v>160</v>
      </c>
      <c r="W1078" t="s">
        <v>120</v>
      </c>
    </row>
    <row r="1079" spans="2:23" x14ac:dyDescent="0.3">
      <c r="B1079" t="s">
        <v>64</v>
      </c>
      <c r="C1079" s="5" t="str">
        <f>VLOOKUP(B1079,[1]물질정보!B:C,2,0)</f>
        <v>2478-10-6</v>
      </c>
      <c r="D1079" t="str">
        <f>VLOOKUP(B1079,[1]물질정보!B:D,3,0)</f>
        <v>4-hydroxybutyl acrylate</v>
      </c>
      <c r="E1079" t="str">
        <f>VLOOKUP(B1079,[1]물질정보!B:E,4,0)</f>
        <v>C7H12O3</v>
      </c>
      <c r="F1079" t="str">
        <f>VLOOKUP(B1079,[1]물질정보!B:F,5,0)</f>
        <v>144.17 g/mol</v>
      </c>
      <c r="G1079" s="5" t="str">
        <f>VLOOKUP(B1079,[1]물질정보!B:G,6,0)</f>
        <v>C=CC(=O)OCCCCO</v>
      </c>
      <c r="I1079" t="s">
        <v>385</v>
      </c>
      <c r="J1079" t="s">
        <v>391</v>
      </c>
      <c r="K1079">
        <v>0</v>
      </c>
      <c r="M1079" t="s">
        <v>405</v>
      </c>
      <c r="P1079">
        <v>3</v>
      </c>
      <c r="Q1079" t="s">
        <v>186</v>
      </c>
      <c r="R1079" t="s">
        <v>159</v>
      </c>
      <c r="S1079" t="s">
        <v>394</v>
      </c>
      <c r="V1079" s="6" t="s">
        <v>160</v>
      </c>
      <c r="W1079" t="s">
        <v>120</v>
      </c>
    </row>
    <row r="1080" spans="2:23" x14ac:dyDescent="0.3">
      <c r="B1080" t="s">
        <v>64</v>
      </c>
      <c r="C1080" s="5" t="str">
        <f>VLOOKUP(B1080,[1]물질정보!B:C,2,0)</f>
        <v>2478-10-6</v>
      </c>
      <c r="D1080" t="str">
        <f>VLOOKUP(B1080,[1]물질정보!B:D,3,0)</f>
        <v>4-hydroxybutyl acrylate</v>
      </c>
      <c r="E1080" t="str">
        <f>VLOOKUP(B1080,[1]물질정보!B:E,4,0)</f>
        <v>C7H12O3</v>
      </c>
      <c r="F1080" t="str">
        <f>VLOOKUP(B1080,[1]물질정보!B:F,5,0)</f>
        <v>144.17 g/mol</v>
      </c>
      <c r="G1080" s="5" t="str">
        <f>VLOOKUP(B1080,[1]물질정보!B:G,6,0)</f>
        <v>C=CC(=O)OCCCCO</v>
      </c>
      <c r="I1080" t="s">
        <v>385</v>
      </c>
      <c r="J1080" t="s">
        <v>391</v>
      </c>
      <c r="K1080">
        <v>1</v>
      </c>
      <c r="M1080" t="s">
        <v>405</v>
      </c>
      <c r="P1080">
        <v>3</v>
      </c>
      <c r="Q1080" t="s">
        <v>186</v>
      </c>
      <c r="R1080" t="s">
        <v>159</v>
      </c>
      <c r="S1080" t="s">
        <v>394</v>
      </c>
      <c r="V1080" s="6" t="s">
        <v>160</v>
      </c>
      <c r="W1080" t="s">
        <v>120</v>
      </c>
    </row>
    <row r="1081" spans="2:23" x14ac:dyDescent="0.3">
      <c r="B1081" t="s">
        <v>64</v>
      </c>
      <c r="C1081" s="5" t="str">
        <f>VLOOKUP(B1081,[1]물질정보!B:C,2,0)</f>
        <v>2478-10-6</v>
      </c>
      <c r="D1081" t="str">
        <f>VLOOKUP(B1081,[1]물질정보!B:D,3,0)</f>
        <v>4-hydroxybutyl acrylate</v>
      </c>
      <c r="E1081" t="str">
        <f>VLOOKUP(B1081,[1]물질정보!B:E,4,0)</f>
        <v>C7H12O3</v>
      </c>
      <c r="F1081" t="str">
        <f>VLOOKUP(B1081,[1]물질정보!B:F,5,0)</f>
        <v>144.17 g/mol</v>
      </c>
      <c r="G1081" s="5" t="str">
        <f>VLOOKUP(B1081,[1]물질정보!B:G,6,0)</f>
        <v>C=CC(=O)OCCCCO</v>
      </c>
      <c r="I1081" t="s">
        <v>385</v>
      </c>
      <c r="J1081" t="s">
        <v>388</v>
      </c>
      <c r="K1081">
        <v>0</v>
      </c>
      <c r="M1081" t="s">
        <v>405</v>
      </c>
      <c r="P1081">
        <v>3</v>
      </c>
      <c r="Q1081" t="s">
        <v>186</v>
      </c>
      <c r="R1081" t="s">
        <v>159</v>
      </c>
      <c r="S1081" t="s">
        <v>394</v>
      </c>
      <c r="V1081" s="6" t="s">
        <v>160</v>
      </c>
      <c r="W1081" t="s">
        <v>120</v>
      </c>
    </row>
    <row r="1082" spans="2:23" x14ac:dyDescent="0.3">
      <c r="B1082" t="s">
        <v>64</v>
      </c>
      <c r="C1082" s="5" t="str">
        <f>VLOOKUP(B1082,[1]물질정보!B:C,2,0)</f>
        <v>2478-10-6</v>
      </c>
      <c r="D1082" t="str">
        <f>VLOOKUP(B1082,[1]물질정보!B:D,3,0)</f>
        <v>4-hydroxybutyl acrylate</v>
      </c>
      <c r="E1082" t="str">
        <f>VLOOKUP(B1082,[1]물질정보!B:E,4,0)</f>
        <v>C7H12O3</v>
      </c>
      <c r="F1082" t="str">
        <f>VLOOKUP(B1082,[1]물질정보!B:F,5,0)</f>
        <v>144.17 g/mol</v>
      </c>
      <c r="G1082" s="5" t="str">
        <f>VLOOKUP(B1082,[1]물질정보!B:G,6,0)</f>
        <v>C=CC(=O)OCCCCO</v>
      </c>
      <c r="I1082" t="s">
        <v>385</v>
      </c>
      <c r="J1082" t="s">
        <v>388</v>
      </c>
      <c r="K1082">
        <v>2</v>
      </c>
      <c r="M1082" t="s">
        <v>405</v>
      </c>
      <c r="P1082">
        <v>3</v>
      </c>
      <c r="Q1082" t="s">
        <v>186</v>
      </c>
      <c r="R1082" t="s">
        <v>159</v>
      </c>
      <c r="S1082" t="s">
        <v>394</v>
      </c>
      <c r="V1082" s="6" t="s">
        <v>160</v>
      </c>
      <c r="W1082" t="s">
        <v>120</v>
      </c>
    </row>
    <row r="1083" spans="2:23" x14ac:dyDescent="0.3">
      <c r="B1083" t="s">
        <v>64</v>
      </c>
      <c r="C1083" s="5" t="str">
        <f>VLOOKUP(B1083,[1]물질정보!B:C,2,0)</f>
        <v>2478-10-6</v>
      </c>
      <c r="D1083" t="str">
        <f>VLOOKUP(B1083,[1]물질정보!B:D,3,0)</f>
        <v>4-hydroxybutyl acrylate</v>
      </c>
      <c r="E1083" t="str">
        <f>VLOOKUP(B1083,[1]물질정보!B:E,4,0)</f>
        <v>C7H12O3</v>
      </c>
      <c r="F1083" t="str">
        <f>VLOOKUP(B1083,[1]물질정보!B:F,5,0)</f>
        <v>144.17 g/mol</v>
      </c>
      <c r="G1083" s="5" t="str">
        <f>VLOOKUP(B1083,[1]물질정보!B:G,6,0)</f>
        <v>C=CC(=O)OCCCCO</v>
      </c>
      <c r="I1083" t="s">
        <v>385</v>
      </c>
      <c r="J1083" t="s">
        <v>391</v>
      </c>
      <c r="K1083">
        <v>1</v>
      </c>
      <c r="M1083" t="s">
        <v>405</v>
      </c>
      <c r="P1083">
        <v>1</v>
      </c>
      <c r="Q1083" t="s">
        <v>31</v>
      </c>
      <c r="R1083" t="s">
        <v>159</v>
      </c>
      <c r="S1083" t="s">
        <v>394</v>
      </c>
      <c r="V1083" s="6" t="s">
        <v>160</v>
      </c>
      <c r="W1083" t="s">
        <v>120</v>
      </c>
    </row>
    <row r="1084" spans="2:23" x14ac:dyDescent="0.3">
      <c r="B1084" t="s">
        <v>64</v>
      </c>
      <c r="C1084" s="5" t="str">
        <f>VLOOKUP(B1084,[1]물질정보!B:C,2,0)</f>
        <v>2478-10-6</v>
      </c>
      <c r="D1084" t="str">
        <f>VLOOKUP(B1084,[1]물질정보!B:D,3,0)</f>
        <v>4-hydroxybutyl acrylate</v>
      </c>
      <c r="E1084" t="str">
        <f>VLOOKUP(B1084,[1]물질정보!B:E,4,0)</f>
        <v>C7H12O3</v>
      </c>
      <c r="F1084" t="str">
        <f>VLOOKUP(B1084,[1]물질정보!B:F,5,0)</f>
        <v>144.17 g/mol</v>
      </c>
      <c r="G1084" s="5" t="str">
        <f>VLOOKUP(B1084,[1]물질정보!B:G,6,0)</f>
        <v>C=CC(=O)OCCCCO</v>
      </c>
      <c r="I1084" t="s">
        <v>385</v>
      </c>
      <c r="J1084" t="s">
        <v>391</v>
      </c>
      <c r="K1084">
        <v>3</v>
      </c>
      <c r="M1084" t="s">
        <v>405</v>
      </c>
      <c r="P1084">
        <v>1</v>
      </c>
      <c r="Q1084" t="s">
        <v>31</v>
      </c>
      <c r="R1084" t="s">
        <v>159</v>
      </c>
      <c r="S1084" t="s">
        <v>394</v>
      </c>
      <c r="V1084" s="6" t="s">
        <v>160</v>
      </c>
      <c r="W1084" t="s">
        <v>120</v>
      </c>
    </row>
    <row r="1085" spans="2:23" x14ac:dyDescent="0.3">
      <c r="B1085" t="s">
        <v>64</v>
      </c>
      <c r="C1085" s="5" t="str">
        <f>VLOOKUP(B1085,[1]물질정보!B:C,2,0)</f>
        <v>2478-10-6</v>
      </c>
      <c r="D1085" t="str">
        <f>VLOOKUP(B1085,[1]물질정보!B:D,3,0)</f>
        <v>4-hydroxybutyl acrylate</v>
      </c>
      <c r="E1085" t="str">
        <f>VLOOKUP(B1085,[1]물질정보!B:E,4,0)</f>
        <v>C7H12O3</v>
      </c>
      <c r="F1085" t="str">
        <f>VLOOKUP(B1085,[1]물질정보!B:F,5,0)</f>
        <v>144.17 g/mol</v>
      </c>
      <c r="G1085" s="5" t="str">
        <f>VLOOKUP(B1085,[1]물질정보!B:G,6,0)</f>
        <v>C=CC(=O)OCCCCO</v>
      </c>
      <c r="I1085" t="s">
        <v>385</v>
      </c>
      <c r="J1085" t="s">
        <v>391</v>
      </c>
      <c r="K1085">
        <v>0</v>
      </c>
      <c r="M1085" t="s">
        <v>405</v>
      </c>
      <c r="P1085">
        <v>1</v>
      </c>
      <c r="Q1085" t="s">
        <v>31</v>
      </c>
      <c r="R1085" t="s">
        <v>159</v>
      </c>
      <c r="S1085" t="s">
        <v>394</v>
      </c>
      <c r="V1085" s="6" t="s">
        <v>160</v>
      </c>
      <c r="W1085" t="s">
        <v>120</v>
      </c>
    </row>
    <row r="1086" spans="2:23" x14ac:dyDescent="0.3">
      <c r="B1086" t="s">
        <v>64</v>
      </c>
      <c r="C1086" s="5" t="str">
        <f>VLOOKUP(B1086,[1]물질정보!B:C,2,0)</f>
        <v>2478-10-6</v>
      </c>
      <c r="D1086" t="str">
        <f>VLOOKUP(B1086,[1]물질정보!B:D,3,0)</f>
        <v>4-hydroxybutyl acrylate</v>
      </c>
      <c r="E1086" t="str">
        <f>VLOOKUP(B1086,[1]물질정보!B:E,4,0)</f>
        <v>C7H12O3</v>
      </c>
      <c r="F1086" t="str">
        <f>VLOOKUP(B1086,[1]물질정보!B:F,5,0)</f>
        <v>144.17 g/mol</v>
      </c>
      <c r="G1086" s="5" t="str">
        <f>VLOOKUP(B1086,[1]물질정보!B:G,6,0)</f>
        <v>C=CC(=O)OCCCCO</v>
      </c>
      <c r="I1086" t="s">
        <v>385</v>
      </c>
      <c r="J1086" t="s">
        <v>391</v>
      </c>
      <c r="K1086">
        <v>1.5</v>
      </c>
      <c r="M1086" t="s">
        <v>405</v>
      </c>
      <c r="P1086">
        <v>1</v>
      </c>
      <c r="Q1086" t="s">
        <v>31</v>
      </c>
      <c r="R1086" t="s">
        <v>159</v>
      </c>
      <c r="S1086" t="s">
        <v>394</v>
      </c>
      <c r="V1086" s="6" t="s">
        <v>160</v>
      </c>
      <c r="W1086" t="s">
        <v>120</v>
      </c>
    </row>
    <row r="1087" spans="2:23" x14ac:dyDescent="0.3">
      <c r="B1087" t="s">
        <v>64</v>
      </c>
      <c r="C1087" s="5" t="str">
        <f>VLOOKUP(B1087,[1]물질정보!B:C,2,0)</f>
        <v>2478-10-6</v>
      </c>
      <c r="D1087" t="str">
        <f>VLOOKUP(B1087,[1]물질정보!B:D,3,0)</f>
        <v>4-hydroxybutyl acrylate</v>
      </c>
      <c r="E1087" t="str">
        <f>VLOOKUP(B1087,[1]물질정보!B:E,4,0)</f>
        <v>C7H12O3</v>
      </c>
      <c r="F1087" t="str">
        <f>VLOOKUP(B1087,[1]물질정보!B:F,5,0)</f>
        <v>144.17 g/mol</v>
      </c>
      <c r="G1087" s="5" t="str">
        <f>VLOOKUP(B1087,[1]물질정보!B:G,6,0)</f>
        <v>C=CC(=O)OCCCCO</v>
      </c>
      <c r="I1087" t="s">
        <v>385</v>
      </c>
      <c r="J1087" t="s">
        <v>388</v>
      </c>
      <c r="K1087">
        <v>1.5</v>
      </c>
      <c r="M1087" t="s">
        <v>405</v>
      </c>
      <c r="P1087">
        <v>4</v>
      </c>
      <c r="Q1087" t="s">
        <v>31</v>
      </c>
      <c r="R1087" t="s">
        <v>159</v>
      </c>
      <c r="S1087" t="s">
        <v>394</v>
      </c>
      <c r="V1087" s="6" t="s">
        <v>160</v>
      </c>
      <c r="W1087" t="s">
        <v>120</v>
      </c>
    </row>
    <row r="1088" spans="2:23" x14ac:dyDescent="0.3">
      <c r="B1088" t="s">
        <v>64</v>
      </c>
      <c r="C1088" s="5" t="str">
        <f>VLOOKUP(B1088,[1]물질정보!B:C,2,0)</f>
        <v>2478-10-6</v>
      </c>
      <c r="D1088" t="str">
        <f>VLOOKUP(B1088,[1]물질정보!B:D,3,0)</f>
        <v>4-hydroxybutyl acrylate</v>
      </c>
      <c r="E1088" t="str">
        <f>VLOOKUP(B1088,[1]물질정보!B:E,4,0)</f>
        <v>C7H12O3</v>
      </c>
      <c r="F1088" t="str">
        <f>VLOOKUP(B1088,[1]물질정보!B:F,5,0)</f>
        <v>144.17 g/mol</v>
      </c>
      <c r="G1088" s="5" t="str">
        <f>VLOOKUP(B1088,[1]물질정보!B:G,6,0)</f>
        <v>C=CC(=O)OCCCCO</v>
      </c>
      <c r="I1088" t="s">
        <v>385</v>
      </c>
      <c r="J1088" t="s">
        <v>388</v>
      </c>
      <c r="K1088">
        <v>3</v>
      </c>
      <c r="M1088" t="s">
        <v>405</v>
      </c>
      <c r="P1088">
        <v>4</v>
      </c>
      <c r="Q1088" t="s">
        <v>31</v>
      </c>
      <c r="R1088" t="s">
        <v>159</v>
      </c>
      <c r="S1088" t="s">
        <v>394</v>
      </c>
      <c r="V1088" s="6" t="s">
        <v>160</v>
      </c>
      <c r="W1088" t="s">
        <v>120</v>
      </c>
    </row>
    <row r="1089" spans="2:23" x14ac:dyDescent="0.3">
      <c r="B1089" t="s">
        <v>64</v>
      </c>
      <c r="C1089" s="5" t="str">
        <f>VLOOKUP(B1089,[1]물질정보!B:C,2,0)</f>
        <v>2478-10-6</v>
      </c>
      <c r="D1089" t="str">
        <f>VLOOKUP(B1089,[1]물질정보!B:D,3,0)</f>
        <v>4-hydroxybutyl acrylate</v>
      </c>
      <c r="E1089" t="str">
        <f>VLOOKUP(B1089,[1]물질정보!B:E,4,0)</f>
        <v>C7H12O3</v>
      </c>
      <c r="F1089" t="str">
        <f>VLOOKUP(B1089,[1]물질정보!B:F,5,0)</f>
        <v>144.17 g/mol</v>
      </c>
      <c r="G1089" s="5" t="str">
        <f>VLOOKUP(B1089,[1]물질정보!B:G,6,0)</f>
        <v>C=CC(=O)OCCCCO</v>
      </c>
      <c r="I1089" t="s">
        <v>385</v>
      </c>
      <c r="J1089" t="s">
        <v>388</v>
      </c>
      <c r="K1089">
        <v>1</v>
      </c>
      <c r="M1089" t="s">
        <v>405</v>
      </c>
      <c r="P1089">
        <v>4</v>
      </c>
      <c r="Q1089" t="s">
        <v>31</v>
      </c>
      <c r="R1089" t="s">
        <v>159</v>
      </c>
      <c r="S1089" t="s">
        <v>394</v>
      </c>
      <c r="V1089" s="6" t="s">
        <v>160</v>
      </c>
      <c r="W1089" t="s">
        <v>120</v>
      </c>
    </row>
    <row r="1090" spans="2:23" x14ac:dyDescent="0.3">
      <c r="B1090" t="s">
        <v>64</v>
      </c>
      <c r="C1090" s="5" t="str">
        <f>VLOOKUP(B1090,[1]물질정보!B:C,2,0)</f>
        <v>2478-10-6</v>
      </c>
      <c r="D1090" t="str">
        <f>VLOOKUP(B1090,[1]물질정보!B:D,3,0)</f>
        <v>4-hydroxybutyl acrylate</v>
      </c>
      <c r="E1090" t="str">
        <f>VLOOKUP(B1090,[1]물질정보!B:E,4,0)</f>
        <v>C7H12O3</v>
      </c>
      <c r="F1090" t="str">
        <f>VLOOKUP(B1090,[1]물질정보!B:F,5,0)</f>
        <v>144.17 g/mol</v>
      </c>
      <c r="G1090" s="5" t="str">
        <f>VLOOKUP(B1090,[1]물질정보!B:G,6,0)</f>
        <v>C=CC(=O)OCCCCO</v>
      </c>
      <c r="I1090" t="s">
        <v>385</v>
      </c>
      <c r="J1090" t="s">
        <v>388</v>
      </c>
      <c r="K1090">
        <v>2</v>
      </c>
      <c r="M1090" t="s">
        <v>405</v>
      </c>
      <c r="P1090">
        <v>4</v>
      </c>
      <c r="Q1090" t="s">
        <v>31</v>
      </c>
      <c r="R1090" t="s">
        <v>159</v>
      </c>
      <c r="S1090" t="s">
        <v>394</v>
      </c>
      <c r="V1090" s="6" t="s">
        <v>160</v>
      </c>
      <c r="W1090" t="s">
        <v>120</v>
      </c>
    </row>
    <row r="1091" spans="2:23" x14ac:dyDescent="0.3">
      <c r="B1091" t="s">
        <v>64</v>
      </c>
      <c r="C1091" s="5" t="str">
        <f>VLOOKUP(B1091,[1]물질정보!B:C,2,0)</f>
        <v>2478-10-6</v>
      </c>
      <c r="D1091" t="str">
        <f>VLOOKUP(B1091,[1]물질정보!B:D,3,0)</f>
        <v>4-hydroxybutyl acrylate</v>
      </c>
      <c r="E1091" t="str">
        <f>VLOOKUP(B1091,[1]물질정보!B:E,4,0)</f>
        <v>C7H12O3</v>
      </c>
      <c r="F1091" t="str">
        <f>VLOOKUP(B1091,[1]물질정보!B:F,5,0)</f>
        <v>144.17 g/mol</v>
      </c>
      <c r="G1091" s="5" t="str">
        <f>VLOOKUP(B1091,[1]물질정보!B:G,6,0)</f>
        <v>C=CC(=O)OCCCCO</v>
      </c>
      <c r="I1091" t="s">
        <v>385</v>
      </c>
      <c r="J1091" t="s">
        <v>391</v>
      </c>
      <c r="K1091">
        <v>2.5</v>
      </c>
      <c r="M1091" t="s">
        <v>405</v>
      </c>
      <c r="P1091">
        <v>4</v>
      </c>
      <c r="Q1091" t="s">
        <v>31</v>
      </c>
      <c r="R1091" t="s">
        <v>159</v>
      </c>
      <c r="S1091" t="s">
        <v>394</v>
      </c>
      <c r="V1091" s="6" t="s">
        <v>160</v>
      </c>
      <c r="W1091" t="s">
        <v>120</v>
      </c>
    </row>
    <row r="1092" spans="2:23" x14ac:dyDescent="0.3">
      <c r="B1092" t="s">
        <v>64</v>
      </c>
      <c r="C1092" s="5" t="str">
        <f>VLOOKUP(B1092,[1]물질정보!B:C,2,0)</f>
        <v>2478-10-6</v>
      </c>
      <c r="D1092" t="str">
        <f>VLOOKUP(B1092,[1]물질정보!B:D,3,0)</f>
        <v>4-hydroxybutyl acrylate</v>
      </c>
      <c r="E1092" t="str">
        <f>VLOOKUP(B1092,[1]물질정보!B:E,4,0)</f>
        <v>C7H12O3</v>
      </c>
      <c r="F1092" t="str">
        <f>VLOOKUP(B1092,[1]물질정보!B:F,5,0)</f>
        <v>144.17 g/mol</v>
      </c>
      <c r="G1092" s="5" t="str">
        <f>VLOOKUP(B1092,[1]물질정보!B:G,6,0)</f>
        <v>C=CC(=O)OCCCCO</v>
      </c>
      <c r="I1092" t="s">
        <v>385</v>
      </c>
      <c r="J1092" t="s">
        <v>388</v>
      </c>
      <c r="K1092">
        <v>2</v>
      </c>
      <c r="M1092" t="s">
        <v>405</v>
      </c>
      <c r="P1092">
        <v>4</v>
      </c>
      <c r="Q1092" t="s">
        <v>31</v>
      </c>
      <c r="R1092" t="s">
        <v>159</v>
      </c>
      <c r="S1092" t="s">
        <v>394</v>
      </c>
      <c r="V1092" s="6" t="s">
        <v>160</v>
      </c>
      <c r="W1092" t="s">
        <v>120</v>
      </c>
    </row>
    <row r="1093" spans="2:23" x14ac:dyDescent="0.3">
      <c r="B1093" t="s">
        <v>64</v>
      </c>
      <c r="C1093" s="5" t="str">
        <f>VLOOKUP(B1093,[1]물질정보!B:C,2,0)</f>
        <v>2478-10-6</v>
      </c>
      <c r="D1093" t="str">
        <f>VLOOKUP(B1093,[1]물질정보!B:D,3,0)</f>
        <v>4-hydroxybutyl acrylate</v>
      </c>
      <c r="E1093" t="str">
        <f>VLOOKUP(B1093,[1]물질정보!B:E,4,0)</f>
        <v>C7H12O3</v>
      </c>
      <c r="F1093" t="str">
        <f>VLOOKUP(B1093,[1]물질정보!B:F,5,0)</f>
        <v>144.17 g/mol</v>
      </c>
      <c r="G1093" s="5" t="str">
        <f>VLOOKUP(B1093,[1]물질정보!B:G,6,0)</f>
        <v>C=CC(=O)OCCCCO</v>
      </c>
      <c r="I1093" t="s">
        <v>385</v>
      </c>
      <c r="J1093" t="s">
        <v>396</v>
      </c>
      <c r="K1093">
        <v>93</v>
      </c>
      <c r="L1093" t="s">
        <v>306</v>
      </c>
      <c r="M1093" t="s">
        <v>406</v>
      </c>
      <c r="P1093">
        <v>3</v>
      </c>
      <c r="Q1093" t="s">
        <v>186</v>
      </c>
      <c r="R1093" t="s">
        <v>159</v>
      </c>
      <c r="S1093" t="s">
        <v>401</v>
      </c>
      <c r="V1093" s="6" t="s">
        <v>160</v>
      </c>
      <c r="W1093" t="s">
        <v>399</v>
      </c>
    </row>
    <row r="1094" spans="2:23" x14ac:dyDescent="0.3">
      <c r="B1094" t="s">
        <v>64</v>
      </c>
      <c r="C1094" s="5" t="str">
        <f>VLOOKUP(B1094,[1]물질정보!B:C,2,0)</f>
        <v>2478-10-6</v>
      </c>
      <c r="D1094" t="str">
        <f>VLOOKUP(B1094,[1]물질정보!B:D,3,0)</f>
        <v>4-hydroxybutyl acrylate</v>
      </c>
      <c r="E1094" t="str">
        <f>VLOOKUP(B1094,[1]물질정보!B:E,4,0)</f>
        <v>C7H12O3</v>
      </c>
      <c r="F1094" t="str">
        <f>VLOOKUP(B1094,[1]물질정보!B:F,5,0)</f>
        <v>144.17 g/mol</v>
      </c>
      <c r="G1094" s="5" t="str">
        <f>VLOOKUP(B1094,[1]물질정보!B:G,6,0)</f>
        <v>C=CC(=O)OCCCCO</v>
      </c>
      <c r="I1094" t="s">
        <v>385</v>
      </c>
      <c r="J1094" t="s">
        <v>396</v>
      </c>
      <c r="K1094">
        <v>46</v>
      </c>
      <c r="L1094" t="s">
        <v>306</v>
      </c>
      <c r="M1094" t="s">
        <v>406</v>
      </c>
      <c r="P1094">
        <v>1</v>
      </c>
      <c r="Q1094" t="s">
        <v>31</v>
      </c>
      <c r="R1094" t="s">
        <v>159</v>
      </c>
      <c r="S1094" t="s">
        <v>401</v>
      </c>
      <c r="V1094" s="6" t="s">
        <v>160</v>
      </c>
      <c r="W1094" t="s">
        <v>399</v>
      </c>
    </row>
    <row r="1095" spans="2:23" x14ac:dyDescent="0.3">
      <c r="B1095" t="s">
        <v>64</v>
      </c>
      <c r="C1095" s="5" t="str">
        <f>VLOOKUP(B1095,[1]물질정보!B:C,2,0)</f>
        <v>2478-10-6</v>
      </c>
      <c r="D1095" t="str">
        <f>VLOOKUP(B1095,[1]물질정보!B:D,3,0)</f>
        <v>4-hydroxybutyl acrylate</v>
      </c>
      <c r="E1095" t="str">
        <f>VLOOKUP(B1095,[1]물질정보!B:E,4,0)</f>
        <v>C7H12O3</v>
      </c>
      <c r="F1095" t="str">
        <f>VLOOKUP(B1095,[1]물질정보!B:F,5,0)</f>
        <v>144.17 g/mol</v>
      </c>
      <c r="G1095" s="5" t="str">
        <f>VLOOKUP(B1095,[1]물질정보!B:G,6,0)</f>
        <v>C=CC(=O)OCCCCO</v>
      </c>
      <c r="I1095" t="s">
        <v>385</v>
      </c>
      <c r="J1095" t="s">
        <v>396</v>
      </c>
      <c r="K1095">
        <v>93</v>
      </c>
      <c r="L1095" t="s">
        <v>306</v>
      </c>
      <c r="M1095" t="s">
        <v>406</v>
      </c>
      <c r="P1095">
        <v>3</v>
      </c>
      <c r="Q1095" t="s">
        <v>186</v>
      </c>
      <c r="R1095" t="s">
        <v>159</v>
      </c>
      <c r="S1095" t="s">
        <v>407</v>
      </c>
      <c r="V1095" s="6" t="s">
        <v>160</v>
      </c>
      <c r="W1095" t="s">
        <v>399</v>
      </c>
    </row>
    <row r="1096" spans="2:23" x14ac:dyDescent="0.3">
      <c r="B1096" t="s">
        <v>64</v>
      </c>
      <c r="C1096" s="5" t="str">
        <f>VLOOKUP(B1096,[1]물질정보!B:C,2,0)</f>
        <v>2478-10-6</v>
      </c>
      <c r="D1096" t="str">
        <f>VLOOKUP(B1096,[1]물질정보!B:D,3,0)</f>
        <v>4-hydroxybutyl acrylate</v>
      </c>
      <c r="E1096" t="str">
        <f>VLOOKUP(B1096,[1]물질정보!B:E,4,0)</f>
        <v>C7H12O3</v>
      </c>
      <c r="F1096" t="str">
        <f>VLOOKUP(B1096,[1]물질정보!B:F,5,0)</f>
        <v>144.17 g/mol</v>
      </c>
      <c r="G1096" s="5" t="str">
        <f>VLOOKUP(B1096,[1]물질정보!B:G,6,0)</f>
        <v>C=CC(=O)OCCCCO</v>
      </c>
      <c r="I1096" t="s">
        <v>385</v>
      </c>
      <c r="J1096" t="s">
        <v>396</v>
      </c>
      <c r="K1096">
        <v>46</v>
      </c>
      <c r="L1096" t="s">
        <v>306</v>
      </c>
      <c r="M1096" t="s">
        <v>406</v>
      </c>
      <c r="P1096">
        <v>1</v>
      </c>
      <c r="Q1096" t="s">
        <v>31</v>
      </c>
      <c r="R1096" t="s">
        <v>159</v>
      </c>
      <c r="S1096" t="s">
        <v>407</v>
      </c>
      <c r="V1096" s="6" t="s">
        <v>160</v>
      </c>
      <c r="W1096" t="s">
        <v>399</v>
      </c>
    </row>
    <row r="1097" spans="2:23" x14ac:dyDescent="0.3">
      <c r="B1097" t="s">
        <v>64</v>
      </c>
      <c r="C1097" s="5" t="str">
        <f>VLOOKUP(B1097,[1]물질정보!B:C,2,0)</f>
        <v>2478-10-6</v>
      </c>
      <c r="D1097" t="str">
        <f>VLOOKUP(B1097,[1]물질정보!B:D,3,0)</f>
        <v>4-hydroxybutyl acrylate</v>
      </c>
      <c r="E1097" t="str">
        <f>VLOOKUP(B1097,[1]물질정보!B:E,4,0)</f>
        <v>C7H12O3</v>
      </c>
      <c r="F1097" t="str">
        <f>VLOOKUP(B1097,[1]물질정보!B:F,5,0)</f>
        <v>144.17 g/mol</v>
      </c>
      <c r="G1097" s="5" t="str">
        <f>VLOOKUP(B1097,[1]물질정보!B:G,6,0)</f>
        <v>C=CC(=O)OCCCCO</v>
      </c>
      <c r="I1097" t="s">
        <v>385</v>
      </c>
      <c r="J1097" t="s">
        <v>396</v>
      </c>
      <c r="K1097">
        <v>15</v>
      </c>
      <c r="L1097" t="s">
        <v>306</v>
      </c>
      <c r="M1097" t="s">
        <v>406</v>
      </c>
      <c r="P1097">
        <v>1</v>
      </c>
      <c r="Q1097" t="s">
        <v>31</v>
      </c>
      <c r="R1097" t="s">
        <v>159</v>
      </c>
      <c r="S1097" t="s">
        <v>398</v>
      </c>
      <c r="V1097" s="6" t="s">
        <v>160</v>
      </c>
      <c r="W1097" t="s">
        <v>399</v>
      </c>
    </row>
    <row r="1098" spans="2:23" x14ac:dyDescent="0.3">
      <c r="B1098" t="s">
        <v>64</v>
      </c>
      <c r="C1098" s="5" t="str">
        <f>VLOOKUP(B1098,[1]물질정보!B:C,2,0)</f>
        <v>2478-10-6</v>
      </c>
      <c r="D1098" t="str">
        <f>VLOOKUP(B1098,[1]물질정보!B:D,3,0)</f>
        <v>4-hydroxybutyl acrylate</v>
      </c>
      <c r="E1098" t="str">
        <f>VLOOKUP(B1098,[1]물질정보!B:E,4,0)</f>
        <v>C7H12O3</v>
      </c>
      <c r="F1098" t="str">
        <f>VLOOKUP(B1098,[1]물질정보!B:F,5,0)</f>
        <v>144.17 g/mol</v>
      </c>
      <c r="G1098" s="5" t="str">
        <f>VLOOKUP(B1098,[1]물질정보!B:G,6,0)</f>
        <v>C=CC(=O)OCCCCO</v>
      </c>
      <c r="I1098" t="s">
        <v>385</v>
      </c>
      <c r="J1098" t="s">
        <v>396</v>
      </c>
      <c r="K1098">
        <v>15</v>
      </c>
      <c r="L1098" t="s">
        <v>306</v>
      </c>
      <c r="M1098" t="s">
        <v>406</v>
      </c>
      <c r="P1098">
        <v>1</v>
      </c>
      <c r="Q1098" t="s">
        <v>31</v>
      </c>
      <c r="R1098" t="s">
        <v>159</v>
      </c>
      <c r="S1098" t="s">
        <v>407</v>
      </c>
      <c r="V1098" s="6" t="s">
        <v>160</v>
      </c>
      <c r="W1098" t="s">
        <v>399</v>
      </c>
    </row>
    <row r="1099" spans="2:23" x14ac:dyDescent="0.3">
      <c r="B1099" t="s">
        <v>64</v>
      </c>
      <c r="C1099" s="5" t="str">
        <f>VLOOKUP(B1099,[1]물질정보!B:C,2,0)</f>
        <v>2478-10-6</v>
      </c>
      <c r="D1099" t="str">
        <f>VLOOKUP(B1099,[1]물질정보!B:D,3,0)</f>
        <v>4-hydroxybutyl acrylate</v>
      </c>
      <c r="E1099" t="str">
        <f>VLOOKUP(B1099,[1]물질정보!B:E,4,0)</f>
        <v>C7H12O3</v>
      </c>
      <c r="F1099" t="str">
        <f>VLOOKUP(B1099,[1]물질정보!B:F,5,0)</f>
        <v>144.17 g/mol</v>
      </c>
      <c r="G1099" s="5" t="str">
        <f>VLOOKUP(B1099,[1]물질정보!B:G,6,0)</f>
        <v>C=CC(=O)OCCCCO</v>
      </c>
      <c r="I1099" t="s">
        <v>385</v>
      </c>
      <c r="J1099" t="s">
        <v>388</v>
      </c>
      <c r="K1099">
        <v>4</v>
      </c>
      <c r="M1099" t="s">
        <v>389</v>
      </c>
      <c r="R1099" t="s">
        <v>159</v>
      </c>
      <c r="S1099" t="s">
        <v>394</v>
      </c>
      <c r="V1099" s="6" t="s">
        <v>160</v>
      </c>
      <c r="W1099" t="s">
        <v>120</v>
      </c>
    </row>
    <row r="1100" spans="2:23" x14ac:dyDescent="0.3">
      <c r="B1100" t="s">
        <v>64</v>
      </c>
      <c r="C1100" s="5" t="str">
        <f>VLOOKUP(B1100,[1]물질정보!B:C,2,0)</f>
        <v>2478-10-6</v>
      </c>
      <c r="D1100" t="str">
        <f>VLOOKUP(B1100,[1]물질정보!B:D,3,0)</f>
        <v>4-hydroxybutyl acrylate</v>
      </c>
      <c r="E1100" t="str">
        <f>VLOOKUP(B1100,[1]물질정보!B:E,4,0)</f>
        <v>C7H12O3</v>
      </c>
      <c r="F1100" t="str">
        <f>VLOOKUP(B1100,[1]물질정보!B:F,5,0)</f>
        <v>144.17 g/mol</v>
      </c>
      <c r="G1100" s="5" t="str">
        <f>VLOOKUP(B1100,[1]물질정보!B:G,6,0)</f>
        <v>C=CC(=O)OCCCCO</v>
      </c>
      <c r="I1100" t="s">
        <v>385</v>
      </c>
      <c r="J1100" t="s">
        <v>391</v>
      </c>
      <c r="K1100">
        <v>3.5</v>
      </c>
      <c r="M1100" t="s">
        <v>389</v>
      </c>
      <c r="R1100" t="s">
        <v>159</v>
      </c>
      <c r="S1100" t="s">
        <v>394</v>
      </c>
      <c r="V1100" s="6" t="s">
        <v>160</v>
      </c>
      <c r="W1100" t="s">
        <v>120</v>
      </c>
    </row>
    <row r="1101" spans="2:23" x14ac:dyDescent="0.3">
      <c r="B1101" t="s">
        <v>64</v>
      </c>
      <c r="C1101" s="5" t="str">
        <f>VLOOKUP(B1101,[1]물질정보!B:C,2,0)</f>
        <v>2478-10-6</v>
      </c>
      <c r="D1101" t="str">
        <f>VLOOKUP(B1101,[1]물질정보!B:D,3,0)</f>
        <v>4-hydroxybutyl acrylate</v>
      </c>
      <c r="E1101" t="str">
        <f>VLOOKUP(B1101,[1]물질정보!B:E,4,0)</f>
        <v>C7H12O3</v>
      </c>
      <c r="F1101" t="str">
        <f>VLOOKUP(B1101,[1]물질정보!B:F,5,0)</f>
        <v>144.17 g/mol</v>
      </c>
      <c r="G1101" s="5" t="str">
        <f>VLOOKUP(B1101,[1]물질정보!B:G,6,0)</f>
        <v>C=CC(=O)OCCCCO</v>
      </c>
      <c r="I1101" t="s">
        <v>385</v>
      </c>
      <c r="J1101" t="s">
        <v>391</v>
      </c>
      <c r="K1101">
        <v>3</v>
      </c>
      <c r="M1101" t="s">
        <v>389</v>
      </c>
      <c r="R1101" t="s">
        <v>159</v>
      </c>
      <c r="S1101" t="s">
        <v>394</v>
      </c>
      <c r="V1101" s="6" t="s">
        <v>160</v>
      </c>
      <c r="W1101" t="s">
        <v>120</v>
      </c>
    </row>
    <row r="1102" spans="2:23" x14ac:dyDescent="0.3">
      <c r="B1102" t="s">
        <v>64</v>
      </c>
      <c r="C1102" s="5" t="str">
        <f>VLOOKUP(B1102,[1]물질정보!B:C,2,0)</f>
        <v>2478-10-6</v>
      </c>
      <c r="D1102" t="str">
        <f>VLOOKUP(B1102,[1]물질정보!B:D,3,0)</f>
        <v>4-hydroxybutyl acrylate</v>
      </c>
      <c r="E1102" t="str">
        <f>VLOOKUP(B1102,[1]물질정보!B:E,4,0)</f>
        <v>C7H12O3</v>
      </c>
      <c r="F1102" t="str">
        <f>VLOOKUP(B1102,[1]물질정보!B:F,5,0)</f>
        <v>144.17 g/mol</v>
      </c>
      <c r="G1102" s="5" t="str">
        <f>VLOOKUP(B1102,[1]물질정보!B:G,6,0)</f>
        <v>C=CC(=O)OCCCCO</v>
      </c>
      <c r="I1102" t="s">
        <v>385</v>
      </c>
      <c r="J1102" t="s">
        <v>391</v>
      </c>
      <c r="K1102">
        <v>2.5</v>
      </c>
      <c r="M1102" t="s">
        <v>389</v>
      </c>
      <c r="R1102" t="s">
        <v>159</v>
      </c>
      <c r="S1102" t="s">
        <v>394</v>
      </c>
      <c r="V1102" s="6" t="s">
        <v>160</v>
      </c>
      <c r="W1102" t="s">
        <v>120</v>
      </c>
    </row>
    <row r="1103" spans="2:23" x14ac:dyDescent="0.3">
      <c r="B1103" t="s">
        <v>64</v>
      </c>
      <c r="C1103" s="5" t="str">
        <f>VLOOKUP(B1103,[1]물질정보!B:C,2,0)</f>
        <v>2478-10-6</v>
      </c>
      <c r="D1103" t="str">
        <f>VLOOKUP(B1103,[1]물질정보!B:D,3,0)</f>
        <v>4-hydroxybutyl acrylate</v>
      </c>
      <c r="E1103" t="str">
        <f>VLOOKUP(B1103,[1]물질정보!B:E,4,0)</f>
        <v>C7H12O3</v>
      </c>
      <c r="F1103" t="str">
        <f>VLOOKUP(B1103,[1]물질정보!B:F,5,0)</f>
        <v>144.17 g/mol</v>
      </c>
      <c r="G1103" s="5" t="str">
        <f>VLOOKUP(B1103,[1]물질정보!B:G,6,0)</f>
        <v>C=CC(=O)OCCCCO</v>
      </c>
      <c r="I1103" t="s">
        <v>385</v>
      </c>
      <c r="J1103" t="s">
        <v>391</v>
      </c>
      <c r="K1103">
        <v>1.5</v>
      </c>
      <c r="M1103" t="s">
        <v>389</v>
      </c>
      <c r="R1103" t="s">
        <v>159</v>
      </c>
      <c r="S1103" t="s">
        <v>394</v>
      </c>
      <c r="V1103" s="6" t="s">
        <v>160</v>
      </c>
      <c r="W1103" t="s">
        <v>120</v>
      </c>
    </row>
    <row r="1104" spans="2:23" x14ac:dyDescent="0.3">
      <c r="B1104" t="s">
        <v>64</v>
      </c>
      <c r="C1104" s="5" t="str">
        <f>VLOOKUP(B1104,[1]물질정보!B:C,2,0)</f>
        <v>2478-10-6</v>
      </c>
      <c r="D1104" t="str">
        <f>VLOOKUP(B1104,[1]물질정보!B:D,3,0)</f>
        <v>4-hydroxybutyl acrylate</v>
      </c>
      <c r="E1104" t="str">
        <f>VLOOKUP(B1104,[1]물질정보!B:E,4,0)</f>
        <v>C7H12O3</v>
      </c>
      <c r="F1104" t="str">
        <f>VLOOKUP(B1104,[1]물질정보!B:F,5,0)</f>
        <v>144.17 g/mol</v>
      </c>
      <c r="G1104" s="5" t="str">
        <f>VLOOKUP(B1104,[1]물질정보!B:G,6,0)</f>
        <v>C=CC(=O)OCCCCO</v>
      </c>
      <c r="I1104" t="s">
        <v>385</v>
      </c>
      <c r="J1104" t="s">
        <v>408</v>
      </c>
      <c r="K1104">
        <v>7</v>
      </c>
      <c r="M1104" t="s">
        <v>389</v>
      </c>
      <c r="R1104" t="s">
        <v>159</v>
      </c>
      <c r="S1104" t="s">
        <v>394</v>
      </c>
      <c r="V1104" s="6" t="s">
        <v>160</v>
      </c>
      <c r="W1104" t="s">
        <v>120</v>
      </c>
    </row>
    <row r="1105" spans="2:25" x14ac:dyDescent="0.3">
      <c r="B1105" t="s">
        <v>64</v>
      </c>
      <c r="C1105" s="5" t="str">
        <f>VLOOKUP(B1105,[1]물질정보!B:C,2,0)</f>
        <v>2478-10-6</v>
      </c>
      <c r="D1105" t="str">
        <f>VLOOKUP(B1105,[1]물질정보!B:D,3,0)</f>
        <v>4-hydroxybutyl acrylate</v>
      </c>
      <c r="E1105" t="str">
        <f>VLOOKUP(B1105,[1]물질정보!B:E,4,0)</f>
        <v>C7H12O3</v>
      </c>
      <c r="F1105" t="str">
        <f>VLOOKUP(B1105,[1]물질정보!B:F,5,0)</f>
        <v>144.17 g/mol</v>
      </c>
      <c r="G1105" s="5" t="str">
        <f>VLOOKUP(B1105,[1]물질정보!B:G,6,0)</f>
        <v>C=CC(=O)OCCCCO</v>
      </c>
      <c r="I1105" t="s">
        <v>385</v>
      </c>
      <c r="J1105" t="s">
        <v>388</v>
      </c>
      <c r="K1105">
        <v>3.3</v>
      </c>
      <c r="M1105" t="s">
        <v>405</v>
      </c>
      <c r="P1105">
        <v>15</v>
      </c>
      <c r="Q1105" t="s">
        <v>186</v>
      </c>
      <c r="R1105" t="s">
        <v>159</v>
      </c>
      <c r="S1105" t="s">
        <v>394</v>
      </c>
      <c r="V1105" s="6" t="s">
        <v>160</v>
      </c>
      <c r="W1105" t="s">
        <v>120</v>
      </c>
    </row>
    <row r="1106" spans="2:25" x14ac:dyDescent="0.3">
      <c r="B1106" t="s">
        <v>64</v>
      </c>
      <c r="C1106" s="5" t="str">
        <f>VLOOKUP(B1106,[1]물질정보!B:C,2,0)</f>
        <v>2478-10-6</v>
      </c>
      <c r="D1106" t="str">
        <f>VLOOKUP(B1106,[1]물질정보!B:D,3,0)</f>
        <v>4-hydroxybutyl acrylate</v>
      </c>
      <c r="E1106" t="str">
        <f>VLOOKUP(B1106,[1]물질정보!B:E,4,0)</f>
        <v>C7H12O3</v>
      </c>
      <c r="F1106" t="str">
        <f>VLOOKUP(B1106,[1]물질정보!B:F,5,0)</f>
        <v>144.17 g/mol</v>
      </c>
      <c r="G1106" s="5" t="str">
        <f>VLOOKUP(B1106,[1]물질정보!B:G,6,0)</f>
        <v>C=CC(=O)OCCCCO</v>
      </c>
      <c r="I1106" t="s">
        <v>385</v>
      </c>
      <c r="J1106" t="s">
        <v>388</v>
      </c>
      <c r="K1106">
        <v>2.7</v>
      </c>
      <c r="M1106" t="s">
        <v>405</v>
      </c>
      <c r="P1106">
        <v>15</v>
      </c>
      <c r="Q1106" t="s">
        <v>186</v>
      </c>
      <c r="R1106" t="s">
        <v>159</v>
      </c>
      <c r="S1106" t="s">
        <v>394</v>
      </c>
      <c r="V1106" s="6" t="s">
        <v>160</v>
      </c>
      <c r="W1106" t="s">
        <v>120</v>
      </c>
    </row>
    <row r="1107" spans="2:25" x14ac:dyDescent="0.3">
      <c r="B1107" t="s">
        <v>64</v>
      </c>
      <c r="C1107" s="5" t="str">
        <f>VLOOKUP(B1107,[1]물질정보!B:C,2,0)</f>
        <v>2478-10-6</v>
      </c>
      <c r="D1107" t="str">
        <f>VLOOKUP(B1107,[1]물질정보!B:D,3,0)</f>
        <v>4-hydroxybutyl acrylate</v>
      </c>
      <c r="E1107" t="str">
        <f>VLOOKUP(B1107,[1]물질정보!B:E,4,0)</f>
        <v>C7H12O3</v>
      </c>
      <c r="F1107" t="str">
        <f>VLOOKUP(B1107,[1]물질정보!B:F,5,0)</f>
        <v>144.17 g/mol</v>
      </c>
      <c r="G1107" s="5" t="str">
        <f>VLOOKUP(B1107,[1]물질정보!B:G,6,0)</f>
        <v>C=CC(=O)OCCCCO</v>
      </c>
      <c r="I1107" t="s">
        <v>385</v>
      </c>
      <c r="J1107" t="s">
        <v>391</v>
      </c>
      <c r="K1107">
        <v>2.5</v>
      </c>
      <c r="M1107" t="s">
        <v>405</v>
      </c>
      <c r="P1107">
        <v>15</v>
      </c>
      <c r="Q1107" t="s">
        <v>186</v>
      </c>
      <c r="R1107" t="s">
        <v>159</v>
      </c>
      <c r="S1107" t="s">
        <v>394</v>
      </c>
      <c r="V1107" s="6" t="s">
        <v>160</v>
      </c>
      <c r="W1107" t="s">
        <v>120</v>
      </c>
    </row>
    <row r="1108" spans="2:25" x14ac:dyDescent="0.3">
      <c r="B1108" t="s">
        <v>64</v>
      </c>
      <c r="C1108" s="5" t="str">
        <f>VLOOKUP(B1108,[1]물질정보!B:C,2,0)</f>
        <v>2478-10-6</v>
      </c>
      <c r="D1108" t="str">
        <f>VLOOKUP(B1108,[1]물질정보!B:D,3,0)</f>
        <v>4-hydroxybutyl acrylate</v>
      </c>
      <c r="E1108" t="str">
        <f>VLOOKUP(B1108,[1]물질정보!B:E,4,0)</f>
        <v>C7H12O3</v>
      </c>
      <c r="F1108" t="str">
        <f>VLOOKUP(B1108,[1]물질정보!B:F,5,0)</f>
        <v>144.17 g/mol</v>
      </c>
      <c r="G1108" s="5" t="str">
        <f>VLOOKUP(B1108,[1]물질정보!B:G,6,0)</f>
        <v>C=CC(=O)OCCCCO</v>
      </c>
      <c r="I1108" t="s">
        <v>385</v>
      </c>
      <c r="J1108" t="s">
        <v>391</v>
      </c>
      <c r="K1108">
        <v>1.7</v>
      </c>
      <c r="M1108" t="s">
        <v>405</v>
      </c>
      <c r="P1108">
        <v>15</v>
      </c>
      <c r="Q1108" t="s">
        <v>186</v>
      </c>
      <c r="R1108" t="s">
        <v>159</v>
      </c>
      <c r="S1108" t="s">
        <v>394</v>
      </c>
      <c r="V1108" s="6" t="s">
        <v>160</v>
      </c>
      <c r="W1108" t="s">
        <v>120</v>
      </c>
    </row>
    <row r="1109" spans="2:25" x14ac:dyDescent="0.3">
      <c r="B1109" t="s">
        <v>64</v>
      </c>
      <c r="C1109" s="5" t="str">
        <f>VLOOKUP(B1109,[1]물질정보!B:C,2,0)</f>
        <v>2478-10-6</v>
      </c>
      <c r="D1109" t="str">
        <f>VLOOKUP(B1109,[1]물질정보!B:D,3,0)</f>
        <v>4-hydroxybutyl acrylate</v>
      </c>
      <c r="E1109" t="str">
        <f>VLOOKUP(B1109,[1]물질정보!B:E,4,0)</f>
        <v>C7H12O3</v>
      </c>
      <c r="F1109" t="str">
        <f>VLOOKUP(B1109,[1]물질정보!B:F,5,0)</f>
        <v>144.17 g/mol</v>
      </c>
      <c r="G1109" s="5" t="str">
        <f>VLOOKUP(B1109,[1]물질정보!B:G,6,0)</f>
        <v>C=CC(=O)OCCCCO</v>
      </c>
      <c r="I1109" t="s">
        <v>385</v>
      </c>
      <c r="J1109" t="s">
        <v>388</v>
      </c>
      <c r="K1109">
        <v>3.3</v>
      </c>
      <c r="M1109" t="s">
        <v>405</v>
      </c>
      <c r="P1109">
        <v>20</v>
      </c>
      <c r="Q1109" t="s">
        <v>31</v>
      </c>
      <c r="R1109" t="s">
        <v>159</v>
      </c>
      <c r="S1109" t="s">
        <v>394</v>
      </c>
      <c r="V1109" s="6" t="s">
        <v>160</v>
      </c>
      <c r="W1109" t="s">
        <v>120</v>
      </c>
    </row>
    <row r="1110" spans="2:25" x14ac:dyDescent="0.3">
      <c r="B1110" t="s">
        <v>64</v>
      </c>
      <c r="C1110" s="5" t="str">
        <f>VLOOKUP(B1110,[1]물질정보!B:C,2,0)</f>
        <v>2478-10-6</v>
      </c>
      <c r="D1110" t="str">
        <f>VLOOKUP(B1110,[1]물질정보!B:D,3,0)</f>
        <v>4-hydroxybutyl acrylate</v>
      </c>
      <c r="E1110" t="str">
        <f>VLOOKUP(B1110,[1]물질정보!B:E,4,0)</f>
        <v>C7H12O3</v>
      </c>
      <c r="F1110" t="str">
        <f>VLOOKUP(B1110,[1]물질정보!B:F,5,0)</f>
        <v>144.17 g/mol</v>
      </c>
      <c r="G1110" s="5" t="str">
        <f>VLOOKUP(B1110,[1]물질정보!B:G,6,0)</f>
        <v>C=CC(=O)OCCCCO</v>
      </c>
      <c r="I1110" t="s">
        <v>385</v>
      </c>
      <c r="J1110" t="s">
        <v>391</v>
      </c>
      <c r="K1110">
        <v>3</v>
      </c>
      <c r="M1110" t="s">
        <v>405</v>
      </c>
      <c r="P1110">
        <v>20</v>
      </c>
      <c r="Q1110" t="s">
        <v>31</v>
      </c>
      <c r="R1110" t="s">
        <v>159</v>
      </c>
      <c r="S1110" t="s">
        <v>394</v>
      </c>
      <c r="V1110" s="6" t="s">
        <v>160</v>
      </c>
      <c r="W1110" t="s">
        <v>120</v>
      </c>
    </row>
    <row r="1111" spans="2:25" x14ac:dyDescent="0.3">
      <c r="B1111" t="s">
        <v>59</v>
      </c>
      <c r="C1111" s="5" t="str">
        <f>VLOOKUP(B1111,[1]물질정보!B:C,2,0)</f>
        <v>2499-95-8</v>
      </c>
      <c r="D1111" t="str">
        <f>VLOOKUP(B1111,[1]물질정보!B:D,3,0)</f>
        <v>hexyl acrylate</v>
      </c>
      <c r="E1111" t="str">
        <f>VLOOKUP(B1111,[1]물질정보!B:E,4,0)</f>
        <v>C9H16O2</v>
      </c>
      <c r="F1111" t="str">
        <f>VLOOKUP(B1111,[1]물질정보!B:F,5,0)</f>
        <v>156.22 g/mol</v>
      </c>
      <c r="G1111" s="5" t="str">
        <f>VLOOKUP(B1111,[1]물질정보!B:G,6,0)</f>
        <v>CCCCCCOC(=O)C=C</v>
      </c>
      <c r="I1111" t="s">
        <v>385</v>
      </c>
      <c r="K1111" t="s">
        <v>99</v>
      </c>
      <c r="R1111" t="s">
        <v>159</v>
      </c>
      <c r="V1111" s="6" t="s">
        <v>162</v>
      </c>
      <c r="W1111" t="s">
        <v>29</v>
      </c>
    </row>
    <row r="1112" spans="2:25" x14ac:dyDescent="0.3">
      <c r="B1112" t="s">
        <v>59</v>
      </c>
      <c r="C1112" s="5" t="str">
        <f>VLOOKUP(B1112,[1]물질정보!B:C,2,0)</f>
        <v>2499-95-8</v>
      </c>
      <c r="D1112" t="str">
        <f>VLOOKUP(B1112,[1]물질정보!B:D,3,0)</f>
        <v>hexyl acrylate</v>
      </c>
      <c r="E1112" t="str">
        <f>VLOOKUP(B1112,[1]물질정보!B:E,4,0)</f>
        <v>C9H16O2</v>
      </c>
      <c r="F1112" t="str">
        <f>VLOOKUP(B1112,[1]물질정보!B:F,5,0)</f>
        <v>156.22 g/mol</v>
      </c>
      <c r="G1112" s="5" t="str">
        <f>VLOOKUP(B1112,[1]물질정보!B:G,6,0)</f>
        <v>CCCCCCOC(=O)C=C</v>
      </c>
      <c r="I1112" t="s">
        <v>385</v>
      </c>
      <c r="K1112" t="s">
        <v>99</v>
      </c>
      <c r="R1112" t="s">
        <v>159</v>
      </c>
      <c r="V1112" s="6" t="s">
        <v>163</v>
      </c>
      <c r="W1112" t="s">
        <v>29</v>
      </c>
    </row>
    <row r="1113" spans="2:25" x14ac:dyDescent="0.3">
      <c r="B1113" t="s">
        <v>359</v>
      </c>
      <c r="C1113" s="5" t="str">
        <f>VLOOKUP(B1113,[1]물질정보!B:C,2,0)</f>
        <v>205-25-4</v>
      </c>
      <c r="D1113" t="str">
        <f>VLOOKUP(B1113,[1]물질정보!B:D,3,0)</f>
        <v xml:space="preserve">7H-Benzo[c]carbazole </v>
      </c>
      <c r="E1113" t="str">
        <f>VLOOKUP(B1113,[1]물질정보!B:E,4,0)</f>
        <v>C16H11N</v>
      </c>
      <c r="F1113" t="str">
        <f>VLOOKUP(B1113,[1]물질정보!B:F,5,0)</f>
        <v>217.26 g/mol</v>
      </c>
      <c r="G1113" s="5" t="str">
        <f>VLOOKUP(B1113,[1]물질정보!B:G,6,0)</f>
        <v>C1=CC=C2C(=C1)C=CC3=C2C4=CC=CC=C4N3</v>
      </c>
      <c r="I1113" t="s">
        <v>385</v>
      </c>
      <c r="K1113" t="s">
        <v>99</v>
      </c>
      <c r="R1113" t="s">
        <v>159</v>
      </c>
      <c r="V1113" s="6" t="s">
        <v>163</v>
      </c>
      <c r="W1113" t="s">
        <v>29</v>
      </c>
    </row>
    <row r="1114" spans="2:25" x14ac:dyDescent="0.3">
      <c r="B1114" s="5" t="s">
        <v>125</v>
      </c>
      <c r="C1114" s="5" t="str">
        <f>VLOOKUP(B1114,[1]물질정보!B:C,2,0)</f>
        <v>-</v>
      </c>
      <c r="D1114" t="str">
        <f>VLOOKUP(B1114,[1]물질정보!B:D,3,0)</f>
        <v xml:space="preserve">9-(9H-Carbazol-9-yl)-7H-benzo[c]carbazole </v>
      </c>
      <c r="E1114" t="str">
        <f>VLOOKUP(B1114,[1]물질정보!B:E,4,0)</f>
        <v>C28H18N2</v>
      </c>
      <c r="F1114" t="str">
        <f>VLOOKUP(B1114,[1]물질정보!B:F,5,0)</f>
        <v>382.5 g/mol</v>
      </c>
      <c r="G1114" s="5" t="str">
        <f>VLOOKUP(B1114,[1]물질정보!B:G,6,0)</f>
        <v>C1=CC=C2C(=C1)C=CC3=C2C4=C(N3)C=C(C=C4)N5C6=CC=CC=C6C7=CC=CC=C75</v>
      </c>
      <c r="I1114" t="s">
        <v>51</v>
      </c>
      <c r="J1114" t="s">
        <v>49</v>
      </c>
      <c r="K1114">
        <v>4.0000000000000001E-3</v>
      </c>
      <c r="L1114" t="s">
        <v>39</v>
      </c>
      <c r="M1114" t="s">
        <v>409</v>
      </c>
      <c r="P1114">
        <v>96</v>
      </c>
      <c r="Q1114" t="s">
        <v>410</v>
      </c>
      <c r="R1114" t="s">
        <v>411</v>
      </c>
      <c r="U1114" t="s">
        <v>412</v>
      </c>
      <c r="V1114" s="6" t="s">
        <v>413</v>
      </c>
      <c r="W1114" t="s">
        <v>414</v>
      </c>
      <c r="Y1114" t="s">
        <v>49</v>
      </c>
    </row>
    <row r="1115" spans="2:25" x14ac:dyDescent="0.3">
      <c r="B1115" s="5" t="s">
        <v>125</v>
      </c>
      <c r="C1115" s="5" t="str">
        <f>VLOOKUP(B1115,[1]물질정보!B:C,2,0)</f>
        <v>-</v>
      </c>
      <c r="D1115" t="str">
        <f>VLOOKUP(B1115,[1]물질정보!B:D,3,0)</f>
        <v xml:space="preserve">9-(9H-Carbazol-9-yl)-7H-benzo[c]carbazole </v>
      </c>
      <c r="E1115" t="str">
        <f>VLOOKUP(B1115,[1]물질정보!B:E,4,0)</f>
        <v>C28H18N2</v>
      </c>
      <c r="F1115" t="str">
        <f>VLOOKUP(B1115,[1]물질정보!B:F,5,0)</f>
        <v>382.5 g/mol</v>
      </c>
      <c r="G1115" s="5" t="str">
        <f>VLOOKUP(B1115,[1]물질정보!B:G,6,0)</f>
        <v>C1=CC=C2C(=C1)C=CC3=C2C4=C(N3)C=C(C=C4)N5C6=CC=CC=C6C7=CC=CC=C75</v>
      </c>
      <c r="I1115" t="s">
        <v>45</v>
      </c>
      <c r="J1115" t="s">
        <v>49</v>
      </c>
      <c r="K1115">
        <v>4.0000000000000001E-3</v>
      </c>
      <c r="L1115" t="s">
        <v>39</v>
      </c>
      <c r="M1115" t="s">
        <v>415</v>
      </c>
      <c r="P1115">
        <v>48</v>
      </c>
      <c r="Q1115" t="s">
        <v>410</v>
      </c>
      <c r="R1115" t="s">
        <v>411</v>
      </c>
      <c r="U1115" t="s">
        <v>412</v>
      </c>
      <c r="V1115" s="6" t="s">
        <v>413</v>
      </c>
      <c r="W1115" t="s">
        <v>416</v>
      </c>
      <c r="Y1115" t="s">
        <v>49</v>
      </c>
    </row>
    <row r="1116" spans="2:25" x14ac:dyDescent="0.3">
      <c r="B1116" s="5" t="s">
        <v>125</v>
      </c>
      <c r="C1116" s="5" t="str">
        <f>VLOOKUP(B1116,[1]물질정보!B:C,2,0)</f>
        <v>-</v>
      </c>
      <c r="D1116" t="str">
        <f>VLOOKUP(B1116,[1]물질정보!B:D,3,0)</f>
        <v xml:space="preserve">9-(9H-Carbazol-9-yl)-7H-benzo[c]carbazole </v>
      </c>
      <c r="E1116" t="str">
        <f>VLOOKUP(B1116,[1]물질정보!B:E,4,0)</f>
        <v>C28H18N2</v>
      </c>
      <c r="F1116" t="str">
        <f>VLOOKUP(B1116,[1]물질정보!B:F,5,0)</f>
        <v>382.5 g/mol</v>
      </c>
      <c r="G1116" s="5" t="str">
        <f>VLOOKUP(B1116,[1]물질정보!B:G,6,0)</f>
        <v>C1=CC=C2C(=C1)C=CC3=C2C4=C(N3)C=C(C=C4)N5C6=CC=CC=C6C7=CC=CC=C75</v>
      </c>
      <c r="I1116" t="s">
        <v>27</v>
      </c>
      <c r="J1116" t="s">
        <v>28</v>
      </c>
      <c r="K1116">
        <v>2.1999999999999999E-2</v>
      </c>
      <c r="L1116" t="s">
        <v>39</v>
      </c>
      <c r="M1116" t="s">
        <v>36</v>
      </c>
      <c r="P1116">
        <v>96</v>
      </c>
      <c r="Q1116" t="s">
        <v>410</v>
      </c>
      <c r="R1116" t="s">
        <v>411</v>
      </c>
      <c r="U1116" t="s">
        <v>412</v>
      </c>
      <c r="V1116" s="6" t="s">
        <v>413</v>
      </c>
      <c r="W1116" t="s">
        <v>36</v>
      </c>
      <c r="Y1116" t="s">
        <v>28</v>
      </c>
    </row>
    <row r="1117" spans="2:25" x14ac:dyDescent="0.3">
      <c r="B1117" s="5" t="s">
        <v>125</v>
      </c>
      <c r="C1117" s="5" t="str">
        <f>VLOOKUP(B1117,[1]물질정보!B:C,2,0)</f>
        <v>-</v>
      </c>
      <c r="D1117" t="str">
        <f>VLOOKUP(B1117,[1]물질정보!B:D,3,0)</f>
        <v xml:space="preserve">9-(9H-Carbazol-9-yl)-7H-benzo[c]carbazole </v>
      </c>
      <c r="E1117" t="str">
        <f>VLOOKUP(B1117,[1]물질정보!B:E,4,0)</f>
        <v>C28H18N2</v>
      </c>
      <c r="F1117" t="str">
        <f>VLOOKUP(B1117,[1]물질정보!B:F,5,0)</f>
        <v>382.5 g/mol</v>
      </c>
      <c r="G1117" s="5" t="str">
        <f>VLOOKUP(B1117,[1]물질정보!B:G,6,0)</f>
        <v>C1=CC=C2C(=C1)C=CC3=C2C4=C(N3)C=C(C=C4)N5C6=CC=CC=C6C7=CC=CC=C75</v>
      </c>
      <c r="I1117" t="s">
        <v>418</v>
      </c>
      <c r="J1117" t="s">
        <v>419</v>
      </c>
      <c r="K1117">
        <v>6.8300000000000001E-4</v>
      </c>
      <c r="L1117" t="s">
        <v>39</v>
      </c>
      <c r="M1117" t="s">
        <v>409</v>
      </c>
      <c r="R1117" t="s">
        <v>411</v>
      </c>
      <c r="U1117" t="s">
        <v>412</v>
      </c>
      <c r="V1117" s="6" t="s">
        <v>413</v>
      </c>
      <c r="W1117" t="s">
        <v>414</v>
      </c>
      <c r="Y1117" t="s">
        <v>419</v>
      </c>
    </row>
    <row r="1118" spans="2:25" x14ac:dyDescent="0.3">
      <c r="B1118" s="5" t="s">
        <v>125</v>
      </c>
      <c r="C1118" s="5" t="str">
        <f>VLOOKUP(B1118,[1]물질정보!B:C,2,0)</f>
        <v>-</v>
      </c>
      <c r="D1118" t="str">
        <f>VLOOKUP(B1118,[1]물질정보!B:D,3,0)</f>
        <v xml:space="preserve">9-(9H-Carbazol-9-yl)-7H-benzo[c]carbazole </v>
      </c>
      <c r="E1118" t="str">
        <f>VLOOKUP(B1118,[1]물질정보!B:E,4,0)</f>
        <v>C28H18N2</v>
      </c>
      <c r="F1118" t="str">
        <f>VLOOKUP(B1118,[1]물질정보!B:F,5,0)</f>
        <v>382.5 g/mol</v>
      </c>
      <c r="G1118" s="5" t="str">
        <f>VLOOKUP(B1118,[1]물질정보!B:G,6,0)</f>
        <v>C1=CC=C2C(=C1)C=CC3=C2C4=C(N3)C=C(C=C4)N5C6=CC=CC=C6C7=CC=CC=C75</v>
      </c>
      <c r="I1118" t="s">
        <v>420</v>
      </c>
      <c r="J1118" t="s">
        <v>419</v>
      </c>
      <c r="K1118">
        <v>1.4400000000000001E-3</v>
      </c>
      <c r="L1118" t="s">
        <v>39</v>
      </c>
      <c r="M1118" t="s">
        <v>415</v>
      </c>
      <c r="R1118" t="s">
        <v>411</v>
      </c>
      <c r="U1118" t="s">
        <v>412</v>
      </c>
      <c r="V1118" s="6" t="s">
        <v>413</v>
      </c>
      <c r="W1118" t="s">
        <v>416</v>
      </c>
      <c r="Y1118" t="s">
        <v>419</v>
      </c>
    </row>
    <row r="1119" spans="2:25" x14ac:dyDescent="0.3">
      <c r="B1119" s="5" t="s">
        <v>125</v>
      </c>
      <c r="C1119" s="5" t="str">
        <f>VLOOKUP(B1119,[1]물질정보!B:C,2,0)</f>
        <v>-</v>
      </c>
      <c r="D1119" t="str">
        <f>VLOOKUP(B1119,[1]물질정보!B:D,3,0)</f>
        <v xml:space="preserve">9-(9H-Carbazol-9-yl)-7H-benzo[c]carbazole </v>
      </c>
      <c r="E1119" t="str">
        <f>VLOOKUP(B1119,[1]물질정보!B:E,4,0)</f>
        <v>C28H18N2</v>
      </c>
      <c r="F1119" t="str">
        <f>VLOOKUP(B1119,[1]물질정보!B:F,5,0)</f>
        <v>382.5 g/mol</v>
      </c>
      <c r="G1119" s="5" t="str">
        <f>VLOOKUP(B1119,[1]물질정보!B:G,6,0)</f>
        <v>C1=CC=C2C(=C1)C=CC3=C2C4=C(N3)C=C(C=C4)N5C6=CC=CC=C6C7=CC=CC=C75</v>
      </c>
      <c r="I1119" t="s">
        <v>421</v>
      </c>
      <c r="J1119" t="s">
        <v>419</v>
      </c>
      <c r="K1119">
        <v>1.7999999999999999E-2</v>
      </c>
      <c r="L1119" t="s">
        <v>39</v>
      </c>
      <c r="M1119" t="s">
        <v>36</v>
      </c>
      <c r="R1119" t="s">
        <v>411</v>
      </c>
      <c r="U1119" t="s">
        <v>412</v>
      </c>
      <c r="V1119" s="6" t="s">
        <v>413</v>
      </c>
      <c r="W1119" t="s">
        <v>417</v>
      </c>
      <c r="Y1119" t="s">
        <v>419</v>
      </c>
    </row>
    <row r="1120" spans="2:25" x14ac:dyDescent="0.3">
      <c r="B1120" s="5" t="s">
        <v>125</v>
      </c>
      <c r="C1120" s="5" t="str">
        <f>VLOOKUP(B1120,[1]물질정보!B:C,2,0)</f>
        <v>-</v>
      </c>
      <c r="D1120" t="str">
        <f>VLOOKUP(B1120,[1]물질정보!B:D,3,0)</f>
        <v xml:space="preserve">9-(9H-Carbazol-9-yl)-7H-benzo[c]carbazole </v>
      </c>
      <c r="E1120" t="str">
        <f>VLOOKUP(B1120,[1]물질정보!B:E,4,0)</f>
        <v>C28H18N2</v>
      </c>
      <c r="F1120" t="str">
        <f>VLOOKUP(B1120,[1]물질정보!B:F,5,0)</f>
        <v>382.5 g/mol</v>
      </c>
      <c r="G1120" s="5" t="str">
        <f>VLOOKUP(B1120,[1]물질정보!B:G,6,0)</f>
        <v>C1=CC=C2C(=C1)C=CC3=C2C4=C(N3)C=C(C=C4)N5C6=CC=CC=C6C7=CC=CC=C75</v>
      </c>
      <c r="I1120" t="s">
        <v>422</v>
      </c>
      <c r="J1120" t="s">
        <v>49</v>
      </c>
      <c r="K1120">
        <v>5.0000000000000001E-3</v>
      </c>
      <c r="L1120" t="s">
        <v>39</v>
      </c>
      <c r="M1120" t="s">
        <v>423</v>
      </c>
      <c r="P1120">
        <v>96</v>
      </c>
      <c r="Q1120" t="s">
        <v>410</v>
      </c>
      <c r="R1120" t="s">
        <v>411</v>
      </c>
      <c r="U1120" t="s">
        <v>412</v>
      </c>
      <c r="V1120" s="6" t="s">
        <v>413</v>
      </c>
      <c r="W1120" t="s">
        <v>423</v>
      </c>
      <c r="Y1120" t="s">
        <v>49</v>
      </c>
    </row>
    <row r="1121" spans="2:25" x14ac:dyDescent="0.3">
      <c r="B1121" s="5" t="s">
        <v>125</v>
      </c>
      <c r="C1121" s="5" t="str">
        <f>VLOOKUP(B1121,[1]물질정보!B:C,2,0)</f>
        <v>-</v>
      </c>
      <c r="D1121" t="str">
        <f>VLOOKUP(B1121,[1]물질정보!B:D,3,0)</f>
        <v xml:space="preserve">9-(9H-Carbazol-9-yl)-7H-benzo[c]carbazole </v>
      </c>
      <c r="E1121" t="str">
        <f>VLOOKUP(B1121,[1]물질정보!B:E,4,0)</f>
        <v>C28H18N2</v>
      </c>
      <c r="F1121" t="str">
        <f>VLOOKUP(B1121,[1]물질정보!B:F,5,0)</f>
        <v>382.5 g/mol</v>
      </c>
      <c r="G1121" s="5" t="str">
        <f>VLOOKUP(B1121,[1]물질정보!B:G,6,0)</f>
        <v>C1=CC=C2C(=C1)C=CC3=C2C4=C(N3)C=C(C=C4)N5C6=CC=CC=C6C7=CC=CC=C75</v>
      </c>
      <c r="I1121" t="s">
        <v>424</v>
      </c>
      <c r="J1121" t="s">
        <v>49</v>
      </c>
      <c r="K1121">
        <v>9.1600000000000004E-5</v>
      </c>
      <c r="L1121" t="s">
        <v>39</v>
      </c>
      <c r="M1121" t="s">
        <v>425</v>
      </c>
      <c r="P1121">
        <v>96</v>
      </c>
      <c r="Q1121" t="s">
        <v>410</v>
      </c>
      <c r="R1121" t="s">
        <v>411</v>
      </c>
      <c r="U1121" t="s">
        <v>412</v>
      </c>
      <c r="V1121" s="6" t="s">
        <v>413</v>
      </c>
      <c r="W1121" t="s">
        <v>425</v>
      </c>
      <c r="Y1121" t="s">
        <v>49</v>
      </c>
    </row>
    <row r="1122" spans="2:25" x14ac:dyDescent="0.3">
      <c r="B1122" s="5" t="s">
        <v>125</v>
      </c>
      <c r="C1122" s="5" t="str">
        <f>VLOOKUP(B1122,[1]물질정보!B:C,2,0)</f>
        <v>-</v>
      </c>
      <c r="D1122" t="str">
        <f>VLOOKUP(B1122,[1]물질정보!B:D,3,0)</f>
        <v xml:space="preserve">9-(9H-Carbazol-9-yl)-7H-benzo[c]carbazole </v>
      </c>
      <c r="E1122" t="str">
        <f>VLOOKUP(B1122,[1]물질정보!B:E,4,0)</f>
        <v>C28H18N2</v>
      </c>
      <c r="F1122" t="str">
        <f>VLOOKUP(B1122,[1]물질정보!B:F,5,0)</f>
        <v>382.5 g/mol</v>
      </c>
      <c r="G1122" s="5" t="str">
        <f>VLOOKUP(B1122,[1]물질정보!B:G,6,0)</f>
        <v>C1=CC=C2C(=C1)C=CC3=C2C4=C(N3)C=C(C=C4)N5C6=CC=CC=C6C7=CC=CC=C75</v>
      </c>
      <c r="I1122" t="s">
        <v>426</v>
      </c>
      <c r="J1122" t="s">
        <v>419</v>
      </c>
      <c r="K1122">
        <v>1.4999999999999999E-2</v>
      </c>
      <c r="L1122" t="s">
        <v>39</v>
      </c>
      <c r="M1122" t="s">
        <v>423</v>
      </c>
      <c r="R1122" t="s">
        <v>411</v>
      </c>
      <c r="U1122" t="s">
        <v>412</v>
      </c>
      <c r="V1122" s="6" t="s">
        <v>413</v>
      </c>
      <c r="W1122" t="s">
        <v>423</v>
      </c>
      <c r="Y1122" t="s">
        <v>419</v>
      </c>
    </row>
    <row r="1123" spans="2:25" x14ac:dyDescent="0.3">
      <c r="B1123" s="5" t="s">
        <v>125</v>
      </c>
      <c r="C1123" s="5" t="str">
        <f>VLOOKUP(B1123,[1]물질정보!B:C,2,0)</f>
        <v>-</v>
      </c>
      <c r="D1123" t="str">
        <f>VLOOKUP(B1123,[1]물질정보!B:D,3,0)</f>
        <v xml:space="preserve">9-(9H-Carbazol-9-yl)-7H-benzo[c]carbazole </v>
      </c>
      <c r="E1123" t="str">
        <f>VLOOKUP(B1123,[1]물질정보!B:E,4,0)</f>
        <v>C28H18N2</v>
      </c>
      <c r="F1123" t="str">
        <f>VLOOKUP(B1123,[1]물질정보!B:F,5,0)</f>
        <v>382.5 g/mol</v>
      </c>
      <c r="G1123" s="5" t="str">
        <f>VLOOKUP(B1123,[1]물질정보!B:G,6,0)</f>
        <v>C1=CC=C2C(=C1)C=CC3=C2C4=C(N3)C=C(C=C4)N5C6=CC=CC=C6C7=CC=CC=C75</v>
      </c>
      <c r="I1123" t="s">
        <v>427</v>
      </c>
      <c r="J1123" t="s">
        <v>419</v>
      </c>
      <c r="K1123">
        <v>1.57E-6</v>
      </c>
      <c r="L1123" t="s">
        <v>39</v>
      </c>
      <c r="M1123" t="s">
        <v>428</v>
      </c>
      <c r="R1123" t="s">
        <v>411</v>
      </c>
      <c r="U1123" t="s">
        <v>412</v>
      </c>
      <c r="V1123" s="6" t="s">
        <v>413</v>
      </c>
      <c r="W1123" t="s">
        <v>428</v>
      </c>
      <c r="Y1123" t="s">
        <v>419</v>
      </c>
    </row>
    <row r="1124" spans="2:25" x14ac:dyDescent="0.3">
      <c r="B1124" s="5" t="s">
        <v>125</v>
      </c>
      <c r="C1124" s="5" t="str">
        <f>VLOOKUP(B1124,[1]물질정보!B:C,2,0)</f>
        <v>-</v>
      </c>
      <c r="D1124" t="str">
        <f>VLOOKUP(B1124,[1]물질정보!B:D,3,0)</f>
        <v xml:space="preserve">9-(9H-Carbazol-9-yl)-7H-benzo[c]carbazole </v>
      </c>
      <c r="E1124" t="str">
        <f>VLOOKUP(B1124,[1]물질정보!B:E,4,0)</f>
        <v>C28H18N2</v>
      </c>
      <c r="F1124" t="str">
        <f>VLOOKUP(B1124,[1]물질정보!B:F,5,0)</f>
        <v>382.5 g/mol</v>
      </c>
      <c r="G1124" s="5" t="str">
        <f>VLOOKUP(B1124,[1]물질정보!B:G,6,0)</f>
        <v>C1=CC=C2C(=C1)C=CC3=C2C4=C(N3)C=C(C=C4)N5C6=CC=CC=C6C7=CC=CC=C75</v>
      </c>
      <c r="I1124" t="s">
        <v>429</v>
      </c>
      <c r="J1124" t="s">
        <v>49</v>
      </c>
      <c r="K1124">
        <v>180.15600000000001</v>
      </c>
      <c r="L1124" t="s">
        <v>39</v>
      </c>
      <c r="M1124" t="s">
        <v>430</v>
      </c>
      <c r="P1124">
        <v>14</v>
      </c>
      <c r="Q1124" t="s">
        <v>431</v>
      </c>
      <c r="R1124" t="s">
        <v>411</v>
      </c>
      <c r="U1124" t="s">
        <v>412</v>
      </c>
      <c r="V1124" s="6" t="s">
        <v>413</v>
      </c>
      <c r="W1124" t="s">
        <v>430</v>
      </c>
      <c r="Y1124" t="s">
        <v>49</v>
      </c>
    </row>
    <row r="1125" spans="2:25" x14ac:dyDescent="0.3">
      <c r="B1125" s="5" t="s">
        <v>72</v>
      </c>
      <c r="C1125" s="5" t="str">
        <f>VLOOKUP(B1125,[1]물질정보!B:C,2,0)</f>
        <v>205-25-4</v>
      </c>
      <c r="D1125" t="str">
        <f>VLOOKUP(B1125,[1]물질정보!B:D,3,0)</f>
        <v xml:space="preserve">7H-Benzo[c]carbazole </v>
      </c>
      <c r="E1125" t="str">
        <f>VLOOKUP(B1125,[1]물질정보!B:E,4,0)</f>
        <v>C16H11N</v>
      </c>
      <c r="F1125" t="str">
        <f>VLOOKUP(B1125,[1]물질정보!B:F,5,0)</f>
        <v>217.26 g/mol</v>
      </c>
      <c r="G1125" s="5" t="str">
        <f>VLOOKUP(B1125,[1]물질정보!B:G,6,0)</f>
        <v>C1=CC=C2C(=C1)C=CC3=C2C4=CC=CC=C4N3</v>
      </c>
      <c r="I1125" t="s">
        <v>51</v>
      </c>
      <c r="J1125" t="s">
        <v>49</v>
      </c>
      <c r="K1125">
        <v>1.23</v>
      </c>
      <c r="L1125" t="s">
        <v>39</v>
      </c>
      <c r="M1125" t="s">
        <v>409</v>
      </c>
      <c r="P1125">
        <v>96</v>
      </c>
      <c r="Q1125" t="s">
        <v>410</v>
      </c>
      <c r="R1125" t="s">
        <v>411</v>
      </c>
      <c r="U1125" t="s">
        <v>412</v>
      </c>
      <c r="V1125" s="6" t="s">
        <v>413</v>
      </c>
      <c r="W1125" t="s">
        <v>414</v>
      </c>
      <c r="Y1125" t="s">
        <v>49</v>
      </c>
    </row>
    <row r="1126" spans="2:25" x14ac:dyDescent="0.3">
      <c r="B1126" s="5" t="s">
        <v>72</v>
      </c>
      <c r="C1126" s="5" t="str">
        <f>VLOOKUP(B1126,[1]물질정보!B:C,2,0)</f>
        <v>205-25-4</v>
      </c>
      <c r="D1126" t="str">
        <f>VLOOKUP(B1126,[1]물질정보!B:D,3,0)</f>
        <v xml:space="preserve">7H-Benzo[c]carbazole </v>
      </c>
      <c r="E1126" t="str">
        <f>VLOOKUP(B1126,[1]물질정보!B:E,4,0)</f>
        <v>C16H11N</v>
      </c>
      <c r="F1126" t="str">
        <f>VLOOKUP(B1126,[1]물질정보!B:F,5,0)</f>
        <v>217.26 g/mol</v>
      </c>
      <c r="G1126" s="5" t="str">
        <f>VLOOKUP(B1126,[1]물질정보!B:G,6,0)</f>
        <v>C1=CC=C2C(=C1)C=CC3=C2C4=CC=CC=C4N3</v>
      </c>
      <c r="I1126" t="s">
        <v>45</v>
      </c>
      <c r="J1126" t="s">
        <v>49</v>
      </c>
      <c r="K1126">
        <v>0.873</v>
      </c>
      <c r="L1126" t="s">
        <v>39</v>
      </c>
      <c r="M1126" t="s">
        <v>415</v>
      </c>
      <c r="P1126">
        <v>48</v>
      </c>
      <c r="Q1126" t="s">
        <v>410</v>
      </c>
      <c r="R1126" t="s">
        <v>411</v>
      </c>
      <c r="U1126" t="s">
        <v>412</v>
      </c>
      <c r="V1126" s="6" t="s">
        <v>413</v>
      </c>
      <c r="W1126" t="s">
        <v>416</v>
      </c>
      <c r="Y1126" t="s">
        <v>49</v>
      </c>
    </row>
    <row r="1127" spans="2:25" x14ac:dyDescent="0.3">
      <c r="B1127" s="5" t="s">
        <v>72</v>
      </c>
      <c r="C1127" s="5" t="str">
        <f>VLOOKUP(B1127,[1]물질정보!B:C,2,0)</f>
        <v>205-25-4</v>
      </c>
      <c r="D1127" t="str">
        <f>VLOOKUP(B1127,[1]물질정보!B:D,3,0)</f>
        <v xml:space="preserve">7H-Benzo[c]carbazole </v>
      </c>
      <c r="E1127" t="str">
        <f>VLOOKUP(B1127,[1]물질정보!B:E,4,0)</f>
        <v>C16H11N</v>
      </c>
      <c r="F1127" t="str">
        <f>VLOOKUP(B1127,[1]물질정보!B:F,5,0)</f>
        <v>217.26 g/mol</v>
      </c>
      <c r="G1127" s="5" t="str">
        <f>VLOOKUP(B1127,[1]물질정보!B:G,6,0)</f>
        <v>C1=CC=C2C(=C1)C=CC3=C2C4=CC=CC=C4N3</v>
      </c>
      <c r="I1127" t="s">
        <v>27</v>
      </c>
      <c r="J1127" t="s">
        <v>28</v>
      </c>
      <c r="K1127">
        <v>1.629</v>
      </c>
      <c r="L1127" t="s">
        <v>39</v>
      </c>
      <c r="M1127" t="s">
        <v>36</v>
      </c>
      <c r="P1127">
        <v>96</v>
      </c>
      <c r="Q1127" t="s">
        <v>410</v>
      </c>
      <c r="R1127" t="s">
        <v>411</v>
      </c>
      <c r="U1127" t="s">
        <v>412</v>
      </c>
      <c r="V1127" s="6" t="s">
        <v>413</v>
      </c>
      <c r="W1127" t="s">
        <v>36</v>
      </c>
      <c r="Y1127" t="s">
        <v>28</v>
      </c>
    </row>
    <row r="1128" spans="2:25" x14ac:dyDescent="0.3">
      <c r="B1128" s="5" t="s">
        <v>72</v>
      </c>
      <c r="C1128" s="5" t="str">
        <f>VLOOKUP(B1128,[1]물질정보!B:C,2,0)</f>
        <v>205-25-4</v>
      </c>
      <c r="D1128" t="str">
        <f>VLOOKUP(B1128,[1]물질정보!B:D,3,0)</f>
        <v xml:space="preserve">7H-Benzo[c]carbazole </v>
      </c>
      <c r="E1128" t="str">
        <f>VLOOKUP(B1128,[1]물질정보!B:E,4,0)</f>
        <v>C16H11N</v>
      </c>
      <c r="F1128" t="str">
        <f>VLOOKUP(B1128,[1]물질정보!B:F,5,0)</f>
        <v>217.26 g/mol</v>
      </c>
      <c r="G1128" s="5" t="str">
        <f>VLOOKUP(B1128,[1]물질정보!B:G,6,0)</f>
        <v>C1=CC=C2C(=C1)C=CC3=C2C4=CC=CC=C4N3</v>
      </c>
      <c r="I1128" t="s">
        <v>418</v>
      </c>
      <c r="J1128" t="s">
        <v>419</v>
      </c>
      <c r="K1128">
        <v>0.156</v>
      </c>
      <c r="L1128" t="s">
        <v>39</v>
      </c>
      <c r="M1128" t="s">
        <v>409</v>
      </c>
      <c r="R1128" t="s">
        <v>411</v>
      </c>
      <c r="U1128" t="s">
        <v>412</v>
      </c>
      <c r="V1128" s="6" t="s">
        <v>413</v>
      </c>
      <c r="W1128" t="s">
        <v>414</v>
      </c>
      <c r="Y1128" t="s">
        <v>419</v>
      </c>
    </row>
    <row r="1129" spans="2:25" x14ac:dyDescent="0.3">
      <c r="B1129" s="5" t="s">
        <v>72</v>
      </c>
      <c r="C1129" s="5" t="str">
        <f>VLOOKUP(B1129,[1]물질정보!B:C,2,0)</f>
        <v>205-25-4</v>
      </c>
      <c r="D1129" t="str">
        <f>VLOOKUP(B1129,[1]물질정보!B:D,3,0)</f>
        <v xml:space="preserve">7H-Benzo[c]carbazole </v>
      </c>
      <c r="E1129" t="str">
        <f>VLOOKUP(B1129,[1]물질정보!B:E,4,0)</f>
        <v>C16H11N</v>
      </c>
      <c r="F1129" t="str">
        <f>VLOOKUP(B1129,[1]물질정보!B:F,5,0)</f>
        <v>217.26 g/mol</v>
      </c>
      <c r="G1129" s="5" t="str">
        <f>VLOOKUP(B1129,[1]물질정보!B:G,6,0)</f>
        <v>C1=CC=C2C(=C1)C=CC3=C2C4=CC=CC=C4N3</v>
      </c>
      <c r="I1129" t="s">
        <v>420</v>
      </c>
      <c r="J1129" t="s">
        <v>419</v>
      </c>
      <c r="K1129">
        <v>0.158</v>
      </c>
      <c r="L1129" t="s">
        <v>39</v>
      </c>
      <c r="M1129" t="s">
        <v>415</v>
      </c>
      <c r="R1129" t="s">
        <v>411</v>
      </c>
      <c r="U1129" t="s">
        <v>412</v>
      </c>
      <c r="V1129" s="6" t="s">
        <v>413</v>
      </c>
      <c r="W1129" t="s">
        <v>416</v>
      </c>
      <c r="Y1129" t="s">
        <v>419</v>
      </c>
    </row>
    <row r="1130" spans="2:25" x14ac:dyDescent="0.3">
      <c r="B1130" s="5" t="s">
        <v>72</v>
      </c>
      <c r="C1130" s="5" t="str">
        <f>VLOOKUP(B1130,[1]물질정보!B:C,2,0)</f>
        <v>205-25-4</v>
      </c>
      <c r="D1130" t="str">
        <f>VLOOKUP(B1130,[1]물질정보!B:D,3,0)</f>
        <v xml:space="preserve">7H-Benzo[c]carbazole </v>
      </c>
      <c r="E1130" t="str">
        <f>VLOOKUP(B1130,[1]물질정보!B:E,4,0)</f>
        <v>C16H11N</v>
      </c>
      <c r="F1130" t="str">
        <f>VLOOKUP(B1130,[1]물질정보!B:F,5,0)</f>
        <v>217.26 g/mol</v>
      </c>
      <c r="G1130" s="5" t="str">
        <f>VLOOKUP(B1130,[1]물질정보!B:G,6,0)</f>
        <v>C1=CC=C2C(=C1)C=CC3=C2C4=CC=CC=C4N3</v>
      </c>
      <c r="I1130" t="s">
        <v>421</v>
      </c>
      <c r="J1130" t="s">
        <v>419</v>
      </c>
      <c r="K1130">
        <v>0.7</v>
      </c>
      <c r="L1130" t="s">
        <v>39</v>
      </c>
      <c r="M1130" t="s">
        <v>36</v>
      </c>
      <c r="R1130" t="s">
        <v>411</v>
      </c>
      <c r="U1130" t="s">
        <v>412</v>
      </c>
      <c r="V1130" s="6" t="s">
        <v>413</v>
      </c>
      <c r="W1130" t="s">
        <v>417</v>
      </c>
      <c r="Y1130" t="s">
        <v>419</v>
      </c>
    </row>
    <row r="1131" spans="2:25" x14ac:dyDescent="0.3">
      <c r="B1131" s="5" t="s">
        <v>72</v>
      </c>
      <c r="C1131" s="5" t="str">
        <f>VLOOKUP(B1131,[1]물질정보!B:C,2,0)</f>
        <v>205-25-4</v>
      </c>
      <c r="D1131" t="str">
        <f>VLOOKUP(B1131,[1]물질정보!B:D,3,0)</f>
        <v xml:space="preserve">7H-Benzo[c]carbazole </v>
      </c>
      <c r="E1131" t="str">
        <f>VLOOKUP(B1131,[1]물질정보!B:E,4,0)</f>
        <v>C16H11N</v>
      </c>
      <c r="F1131" t="str">
        <f>VLOOKUP(B1131,[1]물질정보!B:F,5,0)</f>
        <v>217.26 g/mol</v>
      </c>
      <c r="G1131" s="5" t="str">
        <f>VLOOKUP(B1131,[1]물질정보!B:G,6,0)</f>
        <v>C1=CC=C2C(=C1)C=CC3=C2C4=CC=CC=C4N3</v>
      </c>
      <c r="I1131" t="s">
        <v>432</v>
      </c>
      <c r="J1131" t="s">
        <v>49</v>
      </c>
      <c r="K1131">
        <v>1.5720000000000001</v>
      </c>
      <c r="L1131" t="s">
        <v>39</v>
      </c>
      <c r="M1131" t="s">
        <v>423</v>
      </c>
      <c r="P1131">
        <v>96</v>
      </c>
      <c r="Q1131" t="s">
        <v>410</v>
      </c>
      <c r="R1131" t="s">
        <v>411</v>
      </c>
      <c r="U1131" t="s">
        <v>412</v>
      </c>
      <c r="V1131" s="6" t="s">
        <v>413</v>
      </c>
      <c r="W1131" t="s">
        <v>423</v>
      </c>
      <c r="Y1131" t="s">
        <v>49</v>
      </c>
    </row>
    <row r="1132" spans="2:25" x14ac:dyDescent="0.3">
      <c r="B1132" s="5" t="s">
        <v>72</v>
      </c>
      <c r="C1132" s="5" t="str">
        <f>VLOOKUP(B1132,[1]물질정보!B:C,2,0)</f>
        <v>205-25-4</v>
      </c>
      <c r="D1132" t="str">
        <f>VLOOKUP(B1132,[1]물질정보!B:D,3,0)</f>
        <v xml:space="preserve">7H-Benzo[c]carbazole </v>
      </c>
      <c r="E1132" t="str">
        <f>VLOOKUP(B1132,[1]물질정보!B:E,4,0)</f>
        <v>C16H11N</v>
      </c>
      <c r="F1132" t="str">
        <f>VLOOKUP(B1132,[1]물질정보!B:F,5,0)</f>
        <v>217.26 g/mol</v>
      </c>
      <c r="G1132" s="5" t="str">
        <f>VLOOKUP(B1132,[1]물질정보!B:G,6,0)</f>
        <v>C1=CC=C2C(=C1)C=CC3=C2C4=CC=CC=C4N3</v>
      </c>
      <c r="I1132" t="s">
        <v>424</v>
      </c>
      <c r="J1132" t="s">
        <v>49</v>
      </c>
      <c r="K1132">
        <v>0.22900000000000001</v>
      </c>
      <c r="L1132" t="s">
        <v>39</v>
      </c>
      <c r="M1132" t="s">
        <v>425</v>
      </c>
      <c r="P1132">
        <v>96</v>
      </c>
      <c r="Q1132" t="s">
        <v>410</v>
      </c>
      <c r="R1132" t="s">
        <v>411</v>
      </c>
      <c r="U1132" t="s">
        <v>412</v>
      </c>
      <c r="V1132" s="6" t="s">
        <v>413</v>
      </c>
      <c r="W1132" t="s">
        <v>425</v>
      </c>
      <c r="Y1132" t="s">
        <v>49</v>
      </c>
    </row>
    <row r="1133" spans="2:25" x14ac:dyDescent="0.3">
      <c r="B1133" s="5" t="s">
        <v>72</v>
      </c>
      <c r="C1133" s="5" t="str">
        <f>VLOOKUP(B1133,[1]물질정보!B:C,2,0)</f>
        <v>205-25-4</v>
      </c>
      <c r="D1133" t="str">
        <f>VLOOKUP(B1133,[1]물질정보!B:D,3,0)</f>
        <v xml:space="preserve">7H-Benzo[c]carbazole </v>
      </c>
      <c r="E1133" t="str">
        <f>VLOOKUP(B1133,[1]물질정보!B:E,4,0)</f>
        <v>C16H11N</v>
      </c>
      <c r="F1133" t="str">
        <f>VLOOKUP(B1133,[1]물질정보!B:F,5,0)</f>
        <v>217.26 g/mol</v>
      </c>
      <c r="G1133" s="5" t="str">
        <f>VLOOKUP(B1133,[1]물질정보!B:G,6,0)</f>
        <v>C1=CC=C2C(=C1)C=CC3=C2C4=CC=CC=C4N3</v>
      </c>
      <c r="I1133" t="s">
        <v>426</v>
      </c>
      <c r="J1133" t="s">
        <v>419</v>
      </c>
      <c r="K1133">
        <v>0.74199999999999999</v>
      </c>
      <c r="L1133" t="s">
        <v>39</v>
      </c>
      <c r="M1133" t="s">
        <v>423</v>
      </c>
      <c r="R1133" t="s">
        <v>411</v>
      </c>
      <c r="U1133" t="s">
        <v>412</v>
      </c>
      <c r="V1133" s="6" t="s">
        <v>413</v>
      </c>
      <c r="W1133" t="s">
        <v>423</v>
      </c>
      <c r="Y1133" t="s">
        <v>419</v>
      </c>
    </row>
    <row r="1134" spans="2:25" x14ac:dyDescent="0.3">
      <c r="B1134" s="5" t="s">
        <v>72</v>
      </c>
      <c r="C1134" s="5" t="str">
        <f>VLOOKUP(B1134,[1]물질정보!B:C,2,0)</f>
        <v>205-25-4</v>
      </c>
      <c r="D1134" t="str">
        <f>VLOOKUP(B1134,[1]물질정보!B:D,3,0)</f>
        <v xml:space="preserve">7H-Benzo[c]carbazole </v>
      </c>
      <c r="E1134" t="str">
        <f>VLOOKUP(B1134,[1]물질정보!B:E,4,0)</f>
        <v>C16H11N</v>
      </c>
      <c r="F1134" t="str">
        <f>VLOOKUP(B1134,[1]물질정보!B:F,5,0)</f>
        <v>217.26 g/mol</v>
      </c>
      <c r="G1134" s="5" t="str">
        <f>VLOOKUP(B1134,[1]물질정보!B:G,6,0)</f>
        <v>C1=CC=C2C(=C1)C=CC3=C2C4=CC=CC=C4N3</v>
      </c>
      <c r="I1134" t="s">
        <v>427</v>
      </c>
      <c r="J1134" t="s">
        <v>419</v>
      </c>
      <c r="K1134">
        <v>0.01</v>
      </c>
      <c r="L1134" t="s">
        <v>39</v>
      </c>
      <c r="M1134" t="s">
        <v>428</v>
      </c>
      <c r="R1134" t="s">
        <v>411</v>
      </c>
      <c r="U1134" t="s">
        <v>412</v>
      </c>
      <c r="V1134" s="6" t="s">
        <v>413</v>
      </c>
      <c r="W1134" t="s">
        <v>428</v>
      </c>
      <c r="Y1134" t="s">
        <v>419</v>
      </c>
    </row>
    <row r="1135" spans="2:25" x14ac:dyDescent="0.3">
      <c r="B1135" s="5" t="s">
        <v>72</v>
      </c>
      <c r="C1135" s="5" t="str">
        <f>VLOOKUP(B1135,[1]물질정보!B:C,2,0)</f>
        <v>205-25-4</v>
      </c>
      <c r="D1135" t="str">
        <f>VLOOKUP(B1135,[1]물질정보!B:D,3,0)</f>
        <v xml:space="preserve">7H-Benzo[c]carbazole </v>
      </c>
      <c r="E1135" t="str">
        <f>VLOOKUP(B1135,[1]물질정보!B:E,4,0)</f>
        <v>C16H11N</v>
      </c>
      <c r="F1135" t="str">
        <f>VLOOKUP(B1135,[1]물질정보!B:F,5,0)</f>
        <v>217.26 g/mol</v>
      </c>
      <c r="G1135" s="5" t="str">
        <f>VLOOKUP(B1135,[1]물질정보!B:G,6,0)</f>
        <v>C1=CC=C2C(=C1)C=CC3=C2C4=CC=CC=C4N3</v>
      </c>
      <c r="I1135" t="s">
        <v>429</v>
      </c>
      <c r="J1135" t="s">
        <v>49</v>
      </c>
      <c r="K1135">
        <v>212.62700000000001</v>
      </c>
      <c r="L1135" t="s">
        <v>39</v>
      </c>
      <c r="M1135" t="s">
        <v>430</v>
      </c>
      <c r="P1135">
        <v>14</v>
      </c>
      <c r="Q1135" t="s">
        <v>431</v>
      </c>
      <c r="R1135" t="s">
        <v>411</v>
      </c>
      <c r="U1135" t="s">
        <v>412</v>
      </c>
      <c r="V1135" s="6" t="s">
        <v>413</v>
      </c>
      <c r="W1135" t="s">
        <v>430</v>
      </c>
      <c r="Y1135" t="s">
        <v>49</v>
      </c>
    </row>
    <row r="1136" spans="2:25" x14ac:dyDescent="0.3">
      <c r="B1136" s="5" t="s">
        <v>71</v>
      </c>
      <c r="C1136" s="5" t="str">
        <f>VLOOKUP(B1136,[1]물질정보!B:C,2,0)</f>
        <v>97-63-2</v>
      </c>
      <c r="D1136" t="str">
        <f>VLOOKUP(B1136,[1]물질정보!B:D,3,0)</f>
        <v>ethyl methacrylate</v>
      </c>
      <c r="E1136" t="str">
        <f>VLOOKUP(B1136,[1]물질정보!B:E,4,0)</f>
        <v>C6H10O2</v>
      </c>
      <c r="F1136" t="str">
        <f>VLOOKUP(B1136,[1]물질정보!B:F,5,0)</f>
        <v>114.14 g/mol</v>
      </c>
      <c r="G1136" s="5" t="str">
        <f>VLOOKUP(B1136,[1]물질정보!B:G,6,0)</f>
        <v>CCOC(=O)C(=C)C</v>
      </c>
      <c r="I1136" t="s">
        <v>51</v>
      </c>
      <c r="J1136" t="s">
        <v>49</v>
      </c>
      <c r="K1136">
        <v>30.247</v>
      </c>
      <c r="L1136" t="s">
        <v>39</v>
      </c>
      <c r="M1136" t="s">
        <v>409</v>
      </c>
      <c r="P1136">
        <v>96</v>
      </c>
      <c r="Q1136" t="s">
        <v>410</v>
      </c>
      <c r="R1136" t="s">
        <v>411</v>
      </c>
      <c r="U1136" t="s">
        <v>412</v>
      </c>
      <c r="V1136" s="6" t="s">
        <v>413</v>
      </c>
      <c r="W1136" t="s">
        <v>414</v>
      </c>
      <c r="Y1136" t="s">
        <v>49</v>
      </c>
    </row>
    <row r="1137" spans="2:25" x14ac:dyDescent="0.3">
      <c r="B1137" s="5" t="s">
        <v>71</v>
      </c>
      <c r="C1137" s="5" t="str">
        <f>VLOOKUP(B1137,[1]물질정보!B:C,2,0)</f>
        <v>97-63-2</v>
      </c>
      <c r="D1137" t="str">
        <f>VLOOKUP(B1137,[1]물질정보!B:D,3,0)</f>
        <v>ethyl methacrylate</v>
      </c>
      <c r="E1137" t="str">
        <f>VLOOKUP(B1137,[1]물질정보!B:E,4,0)</f>
        <v>C6H10O2</v>
      </c>
      <c r="F1137" t="str">
        <f>VLOOKUP(B1137,[1]물질정보!B:F,5,0)</f>
        <v>114.14 g/mol</v>
      </c>
      <c r="G1137" s="5" t="str">
        <f>VLOOKUP(B1137,[1]물질정보!B:G,6,0)</f>
        <v>CCOC(=O)C(=C)C</v>
      </c>
      <c r="I1137" t="s">
        <v>45</v>
      </c>
      <c r="J1137" t="s">
        <v>49</v>
      </c>
      <c r="K1137">
        <v>23.574000000000002</v>
      </c>
      <c r="L1137" t="s">
        <v>39</v>
      </c>
      <c r="M1137" t="s">
        <v>415</v>
      </c>
      <c r="P1137">
        <v>48</v>
      </c>
      <c r="Q1137" t="s">
        <v>410</v>
      </c>
      <c r="R1137" t="s">
        <v>411</v>
      </c>
      <c r="U1137" t="s">
        <v>412</v>
      </c>
      <c r="V1137" s="6" t="s">
        <v>413</v>
      </c>
      <c r="W1137" t="s">
        <v>416</v>
      </c>
      <c r="Y1137" t="s">
        <v>49</v>
      </c>
    </row>
    <row r="1138" spans="2:25" x14ac:dyDescent="0.3">
      <c r="B1138" s="5" t="s">
        <v>71</v>
      </c>
      <c r="C1138" s="5" t="str">
        <f>VLOOKUP(B1138,[1]물질정보!B:C,2,0)</f>
        <v>97-63-2</v>
      </c>
      <c r="D1138" t="str">
        <f>VLOOKUP(B1138,[1]물질정보!B:D,3,0)</f>
        <v>ethyl methacrylate</v>
      </c>
      <c r="E1138" t="str">
        <f>VLOOKUP(B1138,[1]물질정보!B:E,4,0)</f>
        <v>C6H10O2</v>
      </c>
      <c r="F1138" t="str">
        <f>VLOOKUP(B1138,[1]물질정보!B:F,5,0)</f>
        <v>114.14 g/mol</v>
      </c>
      <c r="G1138" s="5" t="str">
        <f>VLOOKUP(B1138,[1]물질정보!B:G,6,0)</f>
        <v>CCOC(=O)C(=C)C</v>
      </c>
      <c r="I1138" t="s">
        <v>27</v>
      </c>
      <c r="J1138" t="s">
        <v>28</v>
      </c>
      <c r="K1138">
        <v>0.218</v>
      </c>
      <c r="L1138" t="s">
        <v>39</v>
      </c>
      <c r="M1138" t="s">
        <v>36</v>
      </c>
      <c r="P1138">
        <v>96</v>
      </c>
      <c r="Q1138" t="s">
        <v>410</v>
      </c>
      <c r="R1138" t="s">
        <v>411</v>
      </c>
      <c r="U1138" t="s">
        <v>412</v>
      </c>
      <c r="V1138" s="6" t="s">
        <v>413</v>
      </c>
      <c r="W1138" t="s">
        <v>36</v>
      </c>
      <c r="Y1138" t="s">
        <v>28</v>
      </c>
    </row>
    <row r="1139" spans="2:25" x14ac:dyDescent="0.3">
      <c r="B1139" s="5" t="s">
        <v>71</v>
      </c>
      <c r="C1139" s="5" t="str">
        <f>VLOOKUP(B1139,[1]물질정보!B:C,2,0)</f>
        <v>97-63-2</v>
      </c>
      <c r="D1139" t="str">
        <f>VLOOKUP(B1139,[1]물질정보!B:D,3,0)</f>
        <v>ethyl methacrylate</v>
      </c>
      <c r="E1139" t="str">
        <f>VLOOKUP(B1139,[1]물질정보!B:E,4,0)</f>
        <v>C6H10O2</v>
      </c>
      <c r="F1139" t="str">
        <f>VLOOKUP(B1139,[1]물질정보!B:F,5,0)</f>
        <v>114.14 g/mol</v>
      </c>
      <c r="G1139" s="5" t="str">
        <f>VLOOKUP(B1139,[1]물질정보!B:G,6,0)</f>
        <v>CCOC(=O)C(=C)C</v>
      </c>
      <c r="I1139" t="s">
        <v>418</v>
      </c>
      <c r="J1139" t="s">
        <v>419</v>
      </c>
      <c r="K1139">
        <v>2.726</v>
      </c>
      <c r="L1139" t="s">
        <v>39</v>
      </c>
      <c r="M1139" t="s">
        <v>409</v>
      </c>
      <c r="R1139" t="s">
        <v>411</v>
      </c>
      <c r="U1139" t="s">
        <v>412</v>
      </c>
      <c r="V1139" s="6" t="s">
        <v>413</v>
      </c>
      <c r="W1139" t="s">
        <v>414</v>
      </c>
      <c r="Y1139" t="s">
        <v>419</v>
      </c>
    </row>
    <row r="1140" spans="2:25" x14ac:dyDescent="0.3">
      <c r="B1140" s="5" t="s">
        <v>71</v>
      </c>
      <c r="C1140" s="5" t="str">
        <f>VLOOKUP(B1140,[1]물질정보!B:C,2,0)</f>
        <v>97-63-2</v>
      </c>
      <c r="D1140" t="str">
        <f>VLOOKUP(B1140,[1]물질정보!B:D,3,0)</f>
        <v>ethyl methacrylate</v>
      </c>
      <c r="E1140" t="str">
        <f>VLOOKUP(B1140,[1]물질정보!B:E,4,0)</f>
        <v>C6H10O2</v>
      </c>
      <c r="F1140" t="str">
        <f>VLOOKUP(B1140,[1]물질정보!B:F,5,0)</f>
        <v>114.14 g/mol</v>
      </c>
      <c r="G1140" s="5" t="str">
        <f>VLOOKUP(B1140,[1]물질정보!B:G,6,0)</f>
        <v>CCOC(=O)C(=C)C</v>
      </c>
      <c r="I1140" t="s">
        <v>420</v>
      </c>
      <c r="J1140" t="s">
        <v>419</v>
      </c>
      <c r="K1140">
        <v>2.2810000000000001</v>
      </c>
      <c r="L1140" t="s">
        <v>39</v>
      </c>
      <c r="M1140" t="s">
        <v>415</v>
      </c>
      <c r="R1140" t="s">
        <v>411</v>
      </c>
      <c r="U1140" t="s">
        <v>412</v>
      </c>
      <c r="V1140" s="6" t="s">
        <v>413</v>
      </c>
      <c r="W1140" t="s">
        <v>416</v>
      </c>
      <c r="Y1140" t="s">
        <v>419</v>
      </c>
    </row>
    <row r="1141" spans="2:25" x14ac:dyDescent="0.3">
      <c r="B1141" s="5" t="s">
        <v>71</v>
      </c>
      <c r="C1141" s="5" t="str">
        <f>VLOOKUP(B1141,[1]물질정보!B:C,2,0)</f>
        <v>97-63-2</v>
      </c>
      <c r="D1141" t="str">
        <f>VLOOKUP(B1141,[1]물질정보!B:D,3,0)</f>
        <v>ethyl methacrylate</v>
      </c>
      <c r="E1141" t="str">
        <f>VLOOKUP(B1141,[1]물질정보!B:E,4,0)</f>
        <v>C6H10O2</v>
      </c>
      <c r="F1141" t="str">
        <f>VLOOKUP(B1141,[1]물질정보!B:F,5,0)</f>
        <v>114.14 g/mol</v>
      </c>
      <c r="G1141" s="5" t="str">
        <f>VLOOKUP(B1141,[1]물질정보!B:G,6,0)</f>
        <v>CCOC(=O)C(=C)C</v>
      </c>
      <c r="I1141" t="s">
        <v>421</v>
      </c>
      <c r="J1141" t="s">
        <v>419</v>
      </c>
      <c r="K1141">
        <v>0.122</v>
      </c>
      <c r="L1141" t="s">
        <v>39</v>
      </c>
      <c r="M1141" t="s">
        <v>36</v>
      </c>
      <c r="R1141" t="s">
        <v>411</v>
      </c>
      <c r="U1141" t="s">
        <v>412</v>
      </c>
      <c r="V1141" s="6" t="s">
        <v>413</v>
      </c>
      <c r="W1141" t="s">
        <v>417</v>
      </c>
      <c r="Y1141" t="s">
        <v>419</v>
      </c>
    </row>
    <row r="1142" spans="2:25" x14ac:dyDescent="0.3">
      <c r="B1142" s="5" t="s">
        <v>69</v>
      </c>
      <c r="C1142" s="5" t="str">
        <f>VLOOKUP(B1142,[1]물질정보!B:C,2,0)</f>
        <v>868-77-9</v>
      </c>
      <c r="D1142" t="str">
        <f>VLOOKUP(B1142,[1]물질정보!B:D,3,0)</f>
        <v>2-hydroxyethyl methacrylate</v>
      </c>
      <c r="E1142" t="str">
        <f>VLOOKUP(B1142,[1]물질정보!B:E,4,0)</f>
        <v>C6H10O3</v>
      </c>
      <c r="F1142" t="str">
        <f>VLOOKUP(B1142,[1]물질정보!B:F,5,0)</f>
        <v>130.139 g/mol</v>
      </c>
      <c r="G1142" s="5" t="str">
        <f>VLOOKUP(B1142,[1]물질정보!B:G,6,0)</f>
        <v>CC(=C)C(=O)OCCO</v>
      </c>
      <c r="I1142" t="s">
        <v>51</v>
      </c>
      <c r="J1142" t="s">
        <v>49</v>
      </c>
      <c r="K1142">
        <v>376.61200000000002</v>
      </c>
      <c r="L1142" t="s">
        <v>39</v>
      </c>
      <c r="M1142" t="s">
        <v>409</v>
      </c>
      <c r="R1142" t="s">
        <v>411</v>
      </c>
      <c r="U1142" t="s">
        <v>412</v>
      </c>
      <c r="V1142" s="6" t="s">
        <v>413</v>
      </c>
      <c r="W1142" t="s">
        <v>414</v>
      </c>
      <c r="Y1142" t="s">
        <v>49</v>
      </c>
    </row>
    <row r="1143" spans="2:25" x14ac:dyDescent="0.3">
      <c r="B1143" s="5" t="s">
        <v>69</v>
      </c>
      <c r="C1143" s="5" t="str">
        <f>VLOOKUP(B1143,[1]물질정보!B:C,2,0)</f>
        <v>868-77-9</v>
      </c>
      <c r="D1143" t="str">
        <f>VLOOKUP(B1143,[1]물질정보!B:D,3,0)</f>
        <v>2-hydroxyethyl methacrylate</v>
      </c>
      <c r="E1143" t="str">
        <f>VLOOKUP(B1143,[1]물질정보!B:E,4,0)</f>
        <v>C6H10O3</v>
      </c>
      <c r="F1143" t="str">
        <f>VLOOKUP(B1143,[1]물질정보!B:F,5,0)</f>
        <v>130.139 g/mol</v>
      </c>
      <c r="G1143" s="5" t="str">
        <f>VLOOKUP(B1143,[1]물질정보!B:G,6,0)</f>
        <v>CC(=C)C(=O)OCCO</v>
      </c>
      <c r="I1143" t="s">
        <v>45</v>
      </c>
      <c r="J1143" t="s">
        <v>49</v>
      </c>
      <c r="K1143">
        <v>273.73700000000002</v>
      </c>
      <c r="L1143" t="s">
        <v>39</v>
      </c>
      <c r="M1143" t="s">
        <v>415</v>
      </c>
      <c r="R1143" t="s">
        <v>411</v>
      </c>
      <c r="U1143" t="s">
        <v>412</v>
      </c>
      <c r="V1143" s="6" t="s">
        <v>413</v>
      </c>
      <c r="W1143" t="s">
        <v>416</v>
      </c>
      <c r="Y1143" t="s">
        <v>49</v>
      </c>
    </row>
    <row r="1144" spans="2:25" x14ac:dyDescent="0.3">
      <c r="B1144" s="5" t="s">
        <v>69</v>
      </c>
      <c r="C1144" s="5" t="str">
        <f>VLOOKUP(B1144,[1]물질정보!B:C,2,0)</f>
        <v>868-77-9</v>
      </c>
      <c r="D1144" t="str">
        <f>VLOOKUP(B1144,[1]물질정보!B:D,3,0)</f>
        <v>2-hydroxyethyl methacrylate</v>
      </c>
      <c r="E1144" t="str">
        <f>VLOOKUP(B1144,[1]물질정보!B:E,4,0)</f>
        <v>C6H10O3</v>
      </c>
      <c r="F1144" t="str">
        <f>VLOOKUP(B1144,[1]물질정보!B:F,5,0)</f>
        <v>130.139 g/mol</v>
      </c>
      <c r="G1144" s="5" t="str">
        <f>VLOOKUP(B1144,[1]물질정보!B:G,6,0)</f>
        <v>CC(=C)C(=O)OCCO</v>
      </c>
      <c r="I1144" t="s">
        <v>27</v>
      </c>
      <c r="J1144" t="s">
        <v>28</v>
      </c>
      <c r="K1144">
        <v>0.61599999999999999</v>
      </c>
      <c r="L1144" t="s">
        <v>39</v>
      </c>
      <c r="M1144" t="s">
        <v>36</v>
      </c>
      <c r="R1144" t="s">
        <v>411</v>
      </c>
      <c r="U1144" t="s">
        <v>412</v>
      </c>
      <c r="V1144" s="6" t="s">
        <v>413</v>
      </c>
      <c r="W1144" t="s">
        <v>36</v>
      </c>
      <c r="Y1144" t="s">
        <v>28</v>
      </c>
    </row>
    <row r="1145" spans="2:25" x14ac:dyDescent="0.3">
      <c r="B1145" s="5" t="s">
        <v>69</v>
      </c>
      <c r="C1145" s="5" t="str">
        <f>VLOOKUP(B1145,[1]물질정보!B:C,2,0)</f>
        <v>868-77-9</v>
      </c>
      <c r="D1145" t="str">
        <f>VLOOKUP(B1145,[1]물질정보!B:D,3,0)</f>
        <v>2-hydroxyethyl methacrylate</v>
      </c>
      <c r="E1145" t="str">
        <f>VLOOKUP(B1145,[1]물질정보!B:E,4,0)</f>
        <v>C6H10O3</v>
      </c>
      <c r="F1145" t="str">
        <f>VLOOKUP(B1145,[1]물질정보!B:F,5,0)</f>
        <v>130.139 g/mol</v>
      </c>
      <c r="G1145" s="5" t="str">
        <f>VLOOKUP(B1145,[1]물질정보!B:G,6,0)</f>
        <v>CC(=C)C(=O)OCCO</v>
      </c>
      <c r="I1145" t="s">
        <v>418</v>
      </c>
      <c r="J1145" t="s">
        <v>419</v>
      </c>
      <c r="K1145">
        <v>36.997999999999998</v>
      </c>
      <c r="L1145" t="s">
        <v>39</v>
      </c>
      <c r="M1145" t="s">
        <v>409</v>
      </c>
      <c r="R1145" t="s">
        <v>411</v>
      </c>
      <c r="U1145" t="s">
        <v>412</v>
      </c>
      <c r="V1145" s="6" t="s">
        <v>413</v>
      </c>
      <c r="W1145" t="s">
        <v>414</v>
      </c>
      <c r="Y1145" t="s">
        <v>419</v>
      </c>
    </row>
    <row r="1146" spans="2:25" x14ac:dyDescent="0.3">
      <c r="B1146" s="5" t="s">
        <v>69</v>
      </c>
      <c r="C1146" s="5" t="str">
        <f>VLOOKUP(B1146,[1]물질정보!B:C,2,0)</f>
        <v>868-77-9</v>
      </c>
      <c r="D1146" t="str">
        <f>VLOOKUP(B1146,[1]물질정보!B:D,3,0)</f>
        <v>2-hydroxyethyl methacrylate</v>
      </c>
      <c r="E1146" t="str">
        <f>VLOOKUP(B1146,[1]물질정보!B:E,4,0)</f>
        <v>C6H10O3</v>
      </c>
      <c r="F1146" t="str">
        <f>VLOOKUP(B1146,[1]물질정보!B:F,5,0)</f>
        <v>130.139 g/mol</v>
      </c>
      <c r="G1146" s="5" t="str">
        <f>VLOOKUP(B1146,[1]물질정보!B:G,6,0)</f>
        <v>CC(=C)C(=O)OCCO</v>
      </c>
      <c r="I1146" t="s">
        <v>420</v>
      </c>
      <c r="J1146" t="s">
        <v>419</v>
      </c>
      <c r="K1146">
        <v>24.170999999999999</v>
      </c>
      <c r="L1146" t="s">
        <v>39</v>
      </c>
      <c r="M1146" t="s">
        <v>415</v>
      </c>
      <c r="R1146" t="s">
        <v>411</v>
      </c>
      <c r="U1146" t="s">
        <v>412</v>
      </c>
      <c r="V1146" s="6" t="s">
        <v>413</v>
      </c>
      <c r="W1146" t="s">
        <v>416</v>
      </c>
      <c r="Y1146" t="s">
        <v>419</v>
      </c>
    </row>
    <row r="1147" spans="2:25" x14ac:dyDescent="0.3">
      <c r="B1147" s="5" t="s">
        <v>69</v>
      </c>
      <c r="C1147" s="5" t="str">
        <f>VLOOKUP(B1147,[1]물질정보!B:C,2,0)</f>
        <v>868-77-9</v>
      </c>
      <c r="D1147" t="str">
        <f>VLOOKUP(B1147,[1]물질정보!B:D,3,0)</f>
        <v>2-hydroxyethyl methacrylate</v>
      </c>
      <c r="E1147" t="str">
        <f>VLOOKUP(B1147,[1]물질정보!B:E,4,0)</f>
        <v>C6H10O3</v>
      </c>
      <c r="F1147" t="str">
        <f>VLOOKUP(B1147,[1]물질정보!B:F,5,0)</f>
        <v>130.139 g/mol</v>
      </c>
      <c r="G1147" s="5" t="str">
        <f>VLOOKUP(B1147,[1]물질정보!B:G,6,0)</f>
        <v>CC(=C)C(=O)OCCO</v>
      </c>
      <c r="I1147" t="s">
        <v>421</v>
      </c>
      <c r="J1147" t="s">
        <v>419</v>
      </c>
      <c r="K1147">
        <v>0.34799999999999998</v>
      </c>
      <c r="L1147" t="s">
        <v>39</v>
      </c>
      <c r="M1147" t="s">
        <v>36</v>
      </c>
      <c r="R1147" t="s">
        <v>411</v>
      </c>
      <c r="U1147" t="s">
        <v>412</v>
      </c>
      <c r="V1147" s="6" t="s">
        <v>413</v>
      </c>
      <c r="W1147" t="s">
        <v>417</v>
      </c>
      <c r="Y1147" t="s">
        <v>419</v>
      </c>
    </row>
    <row r="1148" spans="2:25" x14ac:dyDescent="0.3">
      <c r="B1148" s="5" t="s">
        <v>25</v>
      </c>
      <c r="C1148" s="5" t="str">
        <f>VLOOKUP(B1148,[1]물질정보!B:C,2,0)</f>
        <v>97-88-1</v>
      </c>
      <c r="D1148" t="str">
        <f>VLOOKUP(B1148,[1]물질정보!B:D,3,0)</f>
        <v>butyl methacrylate</v>
      </c>
      <c r="E1148" t="str">
        <f>VLOOKUP(B1148,[1]물질정보!B:E,4,0)</f>
        <v>C8H14O2</v>
      </c>
      <c r="F1148" t="str">
        <f>VLOOKUP(B1148,[1]물질정보!B:F,5,0)</f>
        <v>142.2 g/mol</v>
      </c>
      <c r="G1148" s="5" t="str">
        <f>VLOOKUP(B1148,[1]물질정보!B:G,6,0)</f>
        <v>CCCCOC(=O)C(=C)C</v>
      </c>
      <c r="I1148" t="s">
        <v>51</v>
      </c>
      <c r="J1148" t="s">
        <v>49</v>
      </c>
      <c r="K1148">
        <v>7.585</v>
      </c>
      <c r="L1148" t="s">
        <v>39</v>
      </c>
      <c r="M1148" t="s">
        <v>409</v>
      </c>
      <c r="P1148">
        <v>96</v>
      </c>
      <c r="Q1148" t="s">
        <v>410</v>
      </c>
      <c r="R1148" t="s">
        <v>411</v>
      </c>
      <c r="U1148" t="s">
        <v>412</v>
      </c>
      <c r="V1148" s="6" t="s">
        <v>413</v>
      </c>
      <c r="W1148" t="s">
        <v>414</v>
      </c>
      <c r="Y1148" t="s">
        <v>49</v>
      </c>
    </row>
    <row r="1149" spans="2:25" x14ac:dyDescent="0.3">
      <c r="B1149" s="5" t="s">
        <v>25</v>
      </c>
      <c r="C1149" s="5" t="str">
        <f>VLOOKUP(B1149,[1]물질정보!B:C,2,0)</f>
        <v>97-88-1</v>
      </c>
      <c r="D1149" t="str">
        <f>VLOOKUP(B1149,[1]물질정보!B:D,3,0)</f>
        <v>butyl methacrylate</v>
      </c>
      <c r="E1149" t="str">
        <f>VLOOKUP(B1149,[1]물질정보!B:E,4,0)</f>
        <v>C8H14O2</v>
      </c>
      <c r="F1149" t="str">
        <f>VLOOKUP(B1149,[1]물질정보!B:F,5,0)</f>
        <v>142.2 g/mol</v>
      </c>
      <c r="G1149" s="5" t="str">
        <f>VLOOKUP(B1149,[1]물질정보!B:G,6,0)</f>
        <v>CCCCOC(=O)C(=C)C</v>
      </c>
      <c r="I1149" t="s">
        <v>45</v>
      </c>
      <c r="J1149" t="s">
        <v>49</v>
      </c>
      <c r="K1149">
        <v>6.1950000000000003</v>
      </c>
      <c r="L1149" t="s">
        <v>39</v>
      </c>
      <c r="M1149" t="s">
        <v>415</v>
      </c>
      <c r="P1149">
        <v>48</v>
      </c>
      <c r="Q1149" t="s">
        <v>410</v>
      </c>
      <c r="R1149" t="s">
        <v>411</v>
      </c>
      <c r="U1149" t="s">
        <v>412</v>
      </c>
      <c r="V1149" s="6" t="s">
        <v>413</v>
      </c>
      <c r="W1149" t="s">
        <v>416</v>
      </c>
      <c r="Y1149" t="s">
        <v>49</v>
      </c>
    </row>
    <row r="1150" spans="2:25" x14ac:dyDescent="0.3">
      <c r="B1150" s="5" t="s">
        <v>25</v>
      </c>
      <c r="C1150" s="5" t="str">
        <f>VLOOKUP(B1150,[1]물질정보!B:C,2,0)</f>
        <v>97-88-1</v>
      </c>
      <c r="D1150" t="str">
        <f>VLOOKUP(B1150,[1]물질정보!B:D,3,0)</f>
        <v>butyl methacrylate</v>
      </c>
      <c r="E1150" t="str">
        <f>VLOOKUP(B1150,[1]물질정보!B:E,4,0)</f>
        <v>C8H14O2</v>
      </c>
      <c r="F1150" t="str">
        <f>VLOOKUP(B1150,[1]물질정보!B:F,5,0)</f>
        <v>142.2 g/mol</v>
      </c>
      <c r="G1150" s="5" t="str">
        <f>VLOOKUP(B1150,[1]물질정보!B:G,6,0)</f>
        <v>CCCCOC(=O)C(=C)C</v>
      </c>
      <c r="I1150" t="s">
        <v>27</v>
      </c>
      <c r="J1150" t="s">
        <v>28</v>
      </c>
      <c r="K1150">
        <v>0.14699999999999999</v>
      </c>
      <c r="L1150" t="s">
        <v>39</v>
      </c>
      <c r="M1150" t="s">
        <v>36</v>
      </c>
      <c r="P1150">
        <v>96</v>
      </c>
      <c r="Q1150" t="s">
        <v>410</v>
      </c>
      <c r="R1150" t="s">
        <v>411</v>
      </c>
      <c r="U1150" t="s">
        <v>412</v>
      </c>
      <c r="V1150" s="6" t="s">
        <v>413</v>
      </c>
      <c r="W1150" t="s">
        <v>36</v>
      </c>
      <c r="Y1150" t="s">
        <v>28</v>
      </c>
    </row>
    <row r="1151" spans="2:25" x14ac:dyDescent="0.3">
      <c r="B1151" s="5" t="s">
        <v>25</v>
      </c>
      <c r="C1151" s="5" t="str">
        <f>VLOOKUP(B1151,[1]물질정보!B:C,2,0)</f>
        <v>97-88-1</v>
      </c>
      <c r="D1151" t="str">
        <f>VLOOKUP(B1151,[1]물질정보!B:D,3,0)</f>
        <v>butyl methacrylate</v>
      </c>
      <c r="E1151" t="str">
        <f>VLOOKUP(B1151,[1]물질정보!B:E,4,0)</f>
        <v>C8H14O2</v>
      </c>
      <c r="F1151" t="str">
        <f>VLOOKUP(B1151,[1]물질정보!B:F,5,0)</f>
        <v>142.2 g/mol</v>
      </c>
      <c r="G1151" s="5" t="str">
        <f>VLOOKUP(B1151,[1]물질정보!B:G,6,0)</f>
        <v>CCCCOC(=O)C(=C)C</v>
      </c>
      <c r="I1151" t="s">
        <v>418</v>
      </c>
      <c r="J1151" t="s">
        <v>419</v>
      </c>
      <c r="K1151">
        <v>0.64500000000000002</v>
      </c>
      <c r="L1151" t="s">
        <v>39</v>
      </c>
      <c r="M1151" t="s">
        <v>409</v>
      </c>
      <c r="R1151" t="s">
        <v>411</v>
      </c>
      <c r="U1151" t="s">
        <v>412</v>
      </c>
      <c r="V1151" s="6" t="s">
        <v>413</v>
      </c>
      <c r="W1151" t="s">
        <v>414</v>
      </c>
      <c r="Y1151" t="s">
        <v>419</v>
      </c>
    </row>
    <row r="1152" spans="2:25" x14ac:dyDescent="0.3">
      <c r="B1152" s="5" t="s">
        <v>25</v>
      </c>
      <c r="C1152" s="5" t="str">
        <f>VLOOKUP(B1152,[1]물질정보!B:C,2,0)</f>
        <v>97-88-1</v>
      </c>
      <c r="D1152" t="str">
        <f>VLOOKUP(B1152,[1]물질정보!B:D,3,0)</f>
        <v>butyl methacrylate</v>
      </c>
      <c r="E1152" t="str">
        <f>VLOOKUP(B1152,[1]물질정보!B:E,4,0)</f>
        <v>C8H14O2</v>
      </c>
      <c r="F1152" t="str">
        <f>VLOOKUP(B1152,[1]물질정보!B:F,5,0)</f>
        <v>142.2 g/mol</v>
      </c>
      <c r="G1152" s="5" t="str">
        <f>VLOOKUP(B1152,[1]물질정보!B:G,6,0)</f>
        <v>CCCCOC(=O)C(=C)C</v>
      </c>
      <c r="I1152" t="s">
        <v>420</v>
      </c>
      <c r="J1152" t="s">
        <v>419</v>
      </c>
      <c r="K1152">
        <v>0.63700000000000001</v>
      </c>
      <c r="L1152" t="s">
        <v>39</v>
      </c>
      <c r="M1152" t="s">
        <v>415</v>
      </c>
      <c r="R1152" t="s">
        <v>411</v>
      </c>
      <c r="U1152" t="s">
        <v>412</v>
      </c>
      <c r="V1152" s="6" t="s">
        <v>413</v>
      </c>
      <c r="W1152" t="s">
        <v>416</v>
      </c>
      <c r="Y1152" t="s">
        <v>419</v>
      </c>
    </row>
    <row r="1153" spans="2:25" x14ac:dyDescent="0.3">
      <c r="B1153" s="5" t="s">
        <v>25</v>
      </c>
      <c r="C1153" s="5" t="str">
        <f>VLOOKUP(B1153,[1]물질정보!B:C,2,0)</f>
        <v>97-88-1</v>
      </c>
      <c r="D1153" t="str">
        <f>VLOOKUP(B1153,[1]물질정보!B:D,3,0)</f>
        <v>butyl methacrylate</v>
      </c>
      <c r="E1153" t="str">
        <f>VLOOKUP(B1153,[1]물질정보!B:E,4,0)</f>
        <v>C8H14O2</v>
      </c>
      <c r="F1153" t="str">
        <f>VLOOKUP(B1153,[1]물질정보!B:F,5,0)</f>
        <v>142.2 g/mol</v>
      </c>
      <c r="G1153" s="5" t="str">
        <f>VLOOKUP(B1153,[1]물질정보!B:G,6,0)</f>
        <v>CCCCOC(=O)C(=C)C</v>
      </c>
      <c r="I1153" t="s">
        <v>421</v>
      </c>
      <c r="J1153" t="s">
        <v>419</v>
      </c>
      <c r="K1153">
        <v>8.3000000000000004E-2</v>
      </c>
      <c r="L1153" t="s">
        <v>39</v>
      </c>
      <c r="M1153" t="s">
        <v>36</v>
      </c>
      <c r="R1153" t="s">
        <v>411</v>
      </c>
      <c r="U1153" t="s">
        <v>412</v>
      </c>
      <c r="V1153" s="6" t="s">
        <v>413</v>
      </c>
      <c r="W1153" t="s">
        <v>417</v>
      </c>
      <c r="Y1153" t="s">
        <v>419</v>
      </c>
    </row>
    <row r="1154" spans="2:25" x14ac:dyDescent="0.3">
      <c r="B1154" s="5" t="s">
        <v>68</v>
      </c>
      <c r="C1154" s="5" t="str">
        <f>VLOOKUP(B1154,[1]물질정보!B:C,2,0)</f>
        <v>997-46-6</v>
      </c>
      <c r="D1154" t="str">
        <f>VLOOKUP(B1154,[1]물질정보!B:D,3,0)</f>
        <v>4-hydroxybutyl methacrylate</v>
      </c>
      <c r="E1154" t="str">
        <f>VLOOKUP(B1154,[1]물질정보!B:E,4,0)</f>
        <v>C8H14O3</v>
      </c>
      <c r="F1154" t="str">
        <f>VLOOKUP(B1154,[1]물질정보!B:F,5,0)</f>
        <v>158.19 g/mol</v>
      </c>
      <c r="G1154" s="5" t="str">
        <f>VLOOKUP(B1154,[1]물질정보!B:G,6,0)</f>
        <v>CC(=C)C(=O)OCCCCO</v>
      </c>
      <c r="I1154" t="s">
        <v>51</v>
      </c>
      <c r="J1154" t="s">
        <v>49</v>
      </c>
      <c r="K1154">
        <v>92.147999999999996</v>
      </c>
      <c r="L1154" t="s">
        <v>39</v>
      </c>
      <c r="M1154" t="s">
        <v>409</v>
      </c>
      <c r="P1154">
        <v>96</v>
      </c>
      <c r="Q1154" t="s">
        <v>410</v>
      </c>
      <c r="R1154" t="s">
        <v>411</v>
      </c>
      <c r="U1154" t="s">
        <v>412</v>
      </c>
      <c r="V1154" s="6" t="s">
        <v>413</v>
      </c>
      <c r="W1154" t="s">
        <v>414</v>
      </c>
      <c r="Y1154" t="s">
        <v>49</v>
      </c>
    </row>
    <row r="1155" spans="2:25" x14ac:dyDescent="0.3">
      <c r="B1155" s="5" t="s">
        <v>68</v>
      </c>
      <c r="C1155" s="5" t="str">
        <f>VLOOKUP(B1155,[1]물질정보!B:C,2,0)</f>
        <v>997-46-6</v>
      </c>
      <c r="D1155" t="str">
        <f>VLOOKUP(B1155,[1]물질정보!B:D,3,0)</f>
        <v>4-hydroxybutyl methacrylate</v>
      </c>
      <c r="E1155" t="str">
        <f>VLOOKUP(B1155,[1]물질정보!B:E,4,0)</f>
        <v>C8H14O3</v>
      </c>
      <c r="F1155" t="str">
        <f>VLOOKUP(B1155,[1]물질정보!B:F,5,0)</f>
        <v>158.19 g/mol</v>
      </c>
      <c r="G1155" s="5" t="str">
        <f>VLOOKUP(B1155,[1]물질정보!B:G,6,0)</f>
        <v>CC(=C)C(=O)OCCCCO</v>
      </c>
      <c r="I1155" t="s">
        <v>45</v>
      </c>
      <c r="J1155" t="s">
        <v>49</v>
      </c>
      <c r="K1155">
        <v>70.186999999999998</v>
      </c>
      <c r="L1155" t="s">
        <v>39</v>
      </c>
      <c r="M1155" t="s">
        <v>415</v>
      </c>
      <c r="P1155">
        <v>48</v>
      </c>
      <c r="Q1155" t="s">
        <v>410</v>
      </c>
      <c r="R1155" t="s">
        <v>411</v>
      </c>
      <c r="U1155" t="s">
        <v>412</v>
      </c>
      <c r="V1155" s="6" t="s">
        <v>413</v>
      </c>
      <c r="W1155" t="s">
        <v>416</v>
      </c>
      <c r="Y1155" t="s">
        <v>49</v>
      </c>
    </row>
    <row r="1156" spans="2:25" x14ac:dyDescent="0.3">
      <c r="B1156" s="5" t="s">
        <v>68</v>
      </c>
      <c r="C1156" s="5" t="str">
        <f>VLOOKUP(B1156,[1]물질정보!B:C,2,0)</f>
        <v>997-46-6</v>
      </c>
      <c r="D1156" t="str">
        <f>VLOOKUP(B1156,[1]물질정보!B:D,3,0)</f>
        <v>4-hydroxybutyl methacrylate</v>
      </c>
      <c r="E1156" t="str">
        <f>VLOOKUP(B1156,[1]물질정보!B:E,4,0)</f>
        <v>C8H14O3</v>
      </c>
      <c r="F1156" t="str">
        <f>VLOOKUP(B1156,[1]물질정보!B:F,5,0)</f>
        <v>158.19 g/mol</v>
      </c>
      <c r="G1156" s="5" t="str">
        <f>VLOOKUP(B1156,[1]물질정보!B:G,6,0)</f>
        <v>CC(=C)C(=O)OCCCCO</v>
      </c>
      <c r="I1156" t="s">
        <v>27</v>
      </c>
      <c r="J1156" t="s">
        <v>28</v>
      </c>
      <c r="K1156">
        <v>0.40699999999999997</v>
      </c>
      <c r="L1156" t="s">
        <v>39</v>
      </c>
      <c r="M1156" t="s">
        <v>36</v>
      </c>
      <c r="P1156">
        <v>96</v>
      </c>
      <c r="Q1156" t="s">
        <v>410</v>
      </c>
      <c r="R1156" t="s">
        <v>411</v>
      </c>
      <c r="U1156" t="s">
        <v>412</v>
      </c>
      <c r="V1156" s="6" t="s">
        <v>413</v>
      </c>
      <c r="W1156" t="s">
        <v>36</v>
      </c>
      <c r="Y1156" t="s">
        <v>28</v>
      </c>
    </row>
    <row r="1157" spans="2:25" x14ac:dyDescent="0.3">
      <c r="B1157" s="5" t="s">
        <v>68</v>
      </c>
      <c r="C1157" s="5" t="str">
        <f>VLOOKUP(B1157,[1]물질정보!B:C,2,0)</f>
        <v>997-46-6</v>
      </c>
      <c r="D1157" t="str">
        <f>VLOOKUP(B1157,[1]물질정보!B:D,3,0)</f>
        <v>4-hydroxybutyl methacrylate</v>
      </c>
      <c r="E1157" t="str">
        <f>VLOOKUP(B1157,[1]물질정보!B:E,4,0)</f>
        <v>C8H14O3</v>
      </c>
      <c r="F1157" t="str">
        <f>VLOOKUP(B1157,[1]물질정보!B:F,5,0)</f>
        <v>158.19 g/mol</v>
      </c>
      <c r="G1157" s="5" t="str">
        <f>VLOOKUP(B1157,[1]물질정보!B:G,6,0)</f>
        <v>CC(=C)C(=O)OCCCCO</v>
      </c>
      <c r="I1157" t="s">
        <v>418</v>
      </c>
      <c r="J1157" t="s">
        <v>419</v>
      </c>
      <c r="K1157">
        <v>8.5429999999999993</v>
      </c>
      <c r="L1157" t="s">
        <v>39</v>
      </c>
      <c r="M1157" t="s">
        <v>409</v>
      </c>
      <c r="R1157" t="s">
        <v>411</v>
      </c>
      <c r="U1157" t="s">
        <v>412</v>
      </c>
      <c r="V1157" s="6" t="s">
        <v>413</v>
      </c>
      <c r="W1157" t="s">
        <v>414</v>
      </c>
      <c r="Y1157" t="s">
        <v>419</v>
      </c>
    </row>
    <row r="1158" spans="2:25" x14ac:dyDescent="0.3">
      <c r="B1158" s="5" t="s">
        <v>68</v>
      </c>
      <c r="C1158" s="5" t="str">
        <f>VLOOKUP(B1158,[1]물질정보!B:C,2,0)</f>
        <v>997-46-6</v>
      </c>
      <c r="D1158" t="str">
        <f>VLOOKUP(B1158,[1]물질정보!B:D,3,0)</f>
        <v>4-hydroxybutyl methacrylate</v>
      </c>
      <c r="E1158" t="str">
        <f>VLOOKUP(B1158,[1]물질정보!B:E,4,0)</f>
        <v>C8H14O3</v>
      </c>
      <c r="F1158" t="str">
        <f>VLOOKUP(B1158,[1]물질정보!B:F,5,0)</f>
        <v>158.19 g/mol</v>
      </c>
      <c r="G1158" s="5" t="str">
        <f>VLOOKUP(B1158,[1]물질정보!B:G,6,0)</f>
        <v>CC(=C)C(=O)OCCCCO</v>
      </c>
      <c r="I1158" t="s">
        <v>420</v>
      </c>
      <c r="J1158" t="s">
        <v>419</v>
      </c>
      <c r="K1158">
        <v>6.5890000000000004</v>
      </c>
      <c r="L1158" t="s">
        <v>39</v>
      </c>
      <c r="M1158" t="s">
        <v>415</v>
      </c>
      <c r="R1158" t="s">
        <v>411</v>
      </c>
      <c r="U1158" t="s">
        <v>412</v>
      </c>
      <c r="V1158" s="6" t="s">
        <v>413</v>
      </c>
      <c r="W1158" t="s">
        <v>416</v>
      </c>
      <c r="Y1158" t="s">
        <v>419</v>
      </c>
    </row>
    <row r="1159" spans="2:25" x14ac:dyDescent="0.3">
      <c r="B1159" s="5" t="s">
        <v>68</v>
      </c>
      <c r="C1159" s="5" t="str">
        <f>VLOOKUP(B1159,[1]물질정보!B:C,2,0)</f>
        <v>997-46-6</v>
      </c>
      <c r="D1159" t="str">
        <f>VLOOKUP(B1159,[1]물질정보!B:D,3,0)</f>
        <v>4-hydroxybutyl methacrylate</v>
      </c>
      <c r="E1159" t="str">
        <f>VLOOKUP(B1159,[1]물질정보!B:E,4,0)</f>
        <v>C8H14O3</v>
      </c>
      <c r="F1159" t="str">
        <f>VLOOKUP(B1159,[1]물질정보!B:F,5,0)</f>
        <v>158.19 g/mol</v>
      </c>
      <c r="G1159" s="5" t="str">
        <f>VLOOKUP(B1159,[1]물질정보!B:G,6,0)</f>
        <v>CC(=C)C(=O)OCCCCO</v>
      </c>
      <c r="I1159" t="s">
        <v>421</v>
      </c>
      <c r="J1159" t="s">
        <v>419</v>
      </c>
      <c r="K1159">
        <v>0.22900000000000001</v>
      </c>
      <c r="L1159" t="s">
        <v>39</v>
      </c>
      <c r="M1159" t="s">
        <v>36</v>
      </c>
      <c r="R1159" t="s">
        <v>411</v>
      </c>
      <c r="U1159" t="s">
        <v>412</v>
      </c>
      <c r="V1159" s="6" t="s">
        <v>413</v>
      </c>
      <c r="W1159" t="s">
        <v>417</v>
      </c>
      <c r="Y1159" t="s">
        <v>419</v>
      </c>
    </row>
    <row r="1160" spans="2:25" x14ac:dyDescent="0.3">
      <c r="B1160" s="5" t="s">
        <v>77</v>
      </c>
      <c r="C1160" s="5" t="str">
        <f>VLOOKUP(B1160,[1]물질정보!B:C,2,0)</f>
        <v>140-88-5</v>
      </c>
      <c r="D1160" t="str">
        <f>VLOOKUP(B1160,[1]물질정보!B:D,3,0)</f>
        <v>ethyl acrylate</v>
      </c>
      <c r="E1160" t="str">
        <f>VLOOKUP(B1160,[1]물질정보!B:E,4,0)</f>
        <v>C5H8O2</v>
      </c>
      <c r="F1160" t="str">
        <f>VLOOKUP(B1160,[1]물질정보!B:F,5,0)</f>
        <v>100.12 g/mol</v>
      </c>
      <c r="G1160" s="5" t="str">
        <f>VLOOKUP(B1160,[1]물질정보!B:G,6,0)</f>
        <v>CCOC(=O)C=C</v>
      </c>
      <c r="I1160" t="s">
        <v>51</v>
      </c>
      <c r="J1160" t="s">
        <v>49</v>
      </c>
      <c r="K1160">
        <v>2.198</v>
      </c>
      <c r="L1160" t="s">
        <v>39</v>
      </c>
      <c r="M1160" t="s">
        <v>409</v>
      </c>
      <c r="P1160">
        <v>96</v>
      </c>
      <c r="Q1160" t="s">
        <v>410</v>
      </c>
      <c r="R1160" t="s">
        <v>411</v>
      </c>
      <c r="U1160" t="s">
        <v>412</v>
      </c>
      <c r="V1160" s="6" t="s">
        <v>413</v>
      </c>
      <c r="W1160" t="s">
        <v>414</v>
      </c>
      <c r="Y1160" t="s">
        <v>49</v>
      </c>
    </row>
    <row r="1161" spans="2:25" x14ac:dyDescent="0.3">
      <c r="B1161" s="5" t="s">
        <v>77</v>
      </c>
      <c r="C1161" s="5" t="str">
        <f>VLOOKUP(B1161,[1]물질정보!B:C,2,0)</f>
        <v>140-88-5</v>
      </c>
      <c r="D1161" t="str">
        <f>VLOOKUP(B1161,[1]물질정보!B:D,3,0)</f>
        <v>ethyl acrylate</v>
      </c>
      <c r="E1161" t="str">
        <f>VLOOKUP(B1161,[1]물질정보!B:E,4,0)</f>
        <v>C5H8O2</v>
      </c>
      <c r="F1161" t="str">
        <f>VLOOKUP(B1161,[1]물질정보!B:F,5,0)</f>
        <v>100.12 g/mol</v>
      </c>
      <c r="G1161" s="5" t="str">
        <f>VLOOKUP(B1161,[1]물질정보!B:G,6,0)</f>
        <v>CCOC(=O)C=C</v>
      </c>
      <c r="I1161" t="s">
        <v>45</v>
      </c>
      <c r="J1161" t="s">
        <v>49</v>
      </c>
      <c r="K1161">
        <v>5.8029999999999999</v>
      </c>
      <c r="L1161" t="s">
        <v>39</v>
      </c>
      <c r="M1161" t="s">
        <v>415</v>
      </c>
      <c r="P1161">
        <v>48</v>
      </c>
      <c r="Q1161" t="s">
        <v>410</v>
      </c>
      <c r="R1161" t="s">
        <v>411</v>
      </c>
      <c r="U1161" t="s">
        <v>412</v>
      </c>
      <c r="V1161" s="6" t="s">
        <v>413</v>
      </c>
      <c r="W1161" t="s">
        <v>416</v>
      </c>
      <c r="Y1161" t="s">
        <v>49</v>
      </c>
    </row>
    <row r="1162" spans="2:25" x14ac:dyDescent="0.3">
      <c r="B1162" s="5" t="s">
        <v>77</v>
      </c>
      <c r="C1162" s="5" t="str">
        <f>VLOOKUP(B1162,[1]물질정보!B:C,2,0)</f>
        <v>140-88-5</v>
      </c>
      <c r="D1162" t="str">
        <f>VLOOKUP(B1162,[1]물질정보!B:D,3,0)</f>
        <v>ethyl acrylate</v>
      </c>
      <c r="E1162" t="str">
        <f>VLOOKUP(B1162,[1]물질정보!B:E,4,0)</f>
        <v>C5H8O2</v>
      </c>
      <c r="F1162" t="str">
        <f>VLOOKUP(B1162,[1]물질정보!B:F,5,0)</f>
        <v>100.12 g/mol</v>
      </c>
      <c r="G1162" s="5" t="str">
        <f>VLOOKUP(B1162,[1]물질정보!B:G,6,0)</f>
        <v>CCOC(=O)C=C</v>
      </c>
      <c r="I1162" t="s">
        <v>27</v>
      </c>
      <c r="J1162" t="s">
        <v>28</v>
      </c>
      <c r="K1162">
        <v>0.58099999999999996</v>
      </c>
      <c r="L1162" t="s">
        <v>39</v>
      </c>
      <c r="M1162" t="s">
        <v>36</v>
      </c>
      <c r="P1162">
        <v>96</v>
      </c>
      <c r="Q1162" t="s">
        <v>410</v>
      </c>
      <c r="R1162" t="s">
        <v>411</v>
      </c>
      <c r="U1162" t="s">
        <v>412</v>
      </c>
      <c r="V1162" s="6" t="s">
        <v>413</v>
      </c>
      <c r="W1162" t="s">
        <v>36</v>
      </c>
      <c r="Y1162" t="s">
        <v>28</v>
      </c>
    </row>
    <row r="1163" spans="2:25" x14ac:dyDescent="0.3">
      <c r="B1163" s="5" t="s">
        <v>77</v>
      </c>
      <c r="C1163" s="5" t="str">
        <f>VLOOKUP(B1163,[1]물질정보!B:C,2,0)</f>
        <v>140-88-5</v>
      </c>
      <c r="D1163" t="str">
        <f>VLOOKUP(B1163,[1]물질정보!B:D,3,0)</f>
        <v>ethyl acrylate</v>
      </c>
      <c r="E1163" t="str">
        <f>VLOOKUP(B1163,[1]물질정보!B:E,4,0)</f>
        <v>C5H8O2</v>
      </c>
      <c r="F1163" t="str">
        <f>VLOOKUP(B1163,[1]물질정보!B:F,5,0)</f>
        <v>100.12 g/mol</v>
      </c>
      <c r="G1163" s="5" t="str">
        <f>VLOOKUP(B1163,[1]물질정보!B:G,6,0)</f>
        <v>CCOC(=O)C=C</v>
      </c>
      <c r="I1163" t="s">
        <v>418</v>
      </c>
      <c r="J1163" t="s">
        <v>419</v>
      </c>
      <c r="K1163">
        <v>4.7E-2</v>
      </c>
      <c r="L1163" t="s">
        <v>39</v>
      </c>
      <c r="M1163" t="s">
        <v>409</v>
      </c>
      <c r="R1163" t="s">
        <v>411</v>
      </c>
      <c r="U1163" t="s">
        <v>412</v>
      </c>
      <c r="V1163" s="6" t="s">
        <v>413</v>
      </c>
      <c r="W1163" t="s">
        <v>414</v>
      </c>
      <c r="Y1163" t="s">
        <v>419</v>
      </c>
    </row>
    <row r="1164" spans="2:25" x14ac:dyDescent="0.3">
      <c r="B1164" s="5" t="s">
        <v>77</v>
      </c>
      <c r="C1164" s="5" t="str">
        <f>VLOOKUP(B1164,[1]물질정보!B:C,2,0)</f>
        <v>140-88-5</v>
      </c>
      <c r="D1164" t="str">
        <f>VLOOKUP(B1164,[1]물질정보!B:D,3,0)</f>
        <v>ethyl acrylate</v>
      </c>
      <c r="E1164" t="str">
        <f>VLOOKUP(B1164,[1]물질정보!B:E,4,0)</f>
        <v>C5H8O2</v>
      </c>
      <c r="F1164" t="str">
        <f>VLOOKUP(B1164,[1]물질정보!B:F,5,0)</f>
        <v>100.12 g/mol</v>
      </c>
      <c r="G1164" s="5" t="str">
        <f>VLOOKUP(B1164,[1]물질정보!B:G,6,0)</f>
        <v>CCOC(=O)C=C</v>
      </c>
      <c r="I1164" t="s">
        <v>420</v>
      </c>
      <c r="J1164" t="s">
        <v>419</v>
      </c>
      <c r="K1164">
        <v>0.41599999999999998</v>
      </c>
      <c r="L1164" t="s">
        <v>39</v>
      </c>
      <c r="M1164" t="s">
        <v>415</v>
      </c>
      <c r="R1164" t="s">
        <v>411</v>
      </c>
      <c r="U1164" t="s">
        <v>412</v>
      </c>
      <c r="V1164" s="6" t="s">
        <v>413</v>
      </c>
      <c r="W1164" t="s">
        <v>416</v>
      </c>
      <c r="Y1164" t="s">
        <v>419</v>
      </c>
    </row>
    <row r="1165" spans="2:25" x14ac:dyDescent="0.3">
      <c r="B1165" s="5" t="s">
        <v>77</v>
      </c>
      <c r="C1165" s="5" t="str">
        <f>VLOOKUP(B1165,[1]물질정보!B:C,2,0)</f>
        <v>140-88-5</v>
      </c>
      <c r="D1165" t="str">
        <f>VLOOKUP(B1165,[1]물질정보!B:D,3,0)</f>
        <v>ethyl acrylate</v>
      </c>
      <c r="E1165" t="str">
        <f>VLOOKUP(B1165,[1]물질정보!B:E,4,0)</f>
        <v>C5H8O2</v>
      </c>
      <c r="F1165" t="str">
        <f>VLOOKUP(B1165,[1]물질정보!B:F,5,0)</f>
        <v>100.12 g/mol</v>
      </c>
      <c r="G1165" s="5" t="str">
        <f>VLOOKUP(B1165,[1]물질정보!B:G,6,0)</f>
        <v>CCOC(=O)C=C</v>
      </c>
      <c r="I1165" t="s">
        <v>421</v>
      </c>
      <c r="J1165" t="s">
        <v>419</v>
      </c>
      <c r="K1165">
        <v>0.189</v>
      </c>
      <c r="L1165" t="s">
        <v>39</v>
      </c>
      <c r="M1165" t="s">
        <v>36</v>
      </c>
      <c r="R1165" t="s">
        <v>411</v>
      </c>
      <c r="U1165" t="s">
        <v>412</v>
      </c>
      <c r="V1165" s="6" t="s">
        <v>413</v>
      </c>
      <c r="W1165" t="s">
        <v>417</v>
      </c>
      <c r="Y1165" t="s">
        <v>419</v>
      </c>
    </row>
    <row r="1166" spans="2:25" x14ac:dyDescent="0.3">
      <c r="B1166" s="5" t="s">
        <v>67</v>
      </c>
      <c r="C1166" s="5" t="str">
        <f>VLOOKUP(B1166,[1]물질정보!B:C,2,0)</f>
        <v>818-61-1</v>
      </c>
      <c r="D1166" t="str">
        <f>VLOOKUP(B1166,[1]물질정보!B:D,3,0)</f>
        <v>2-hydroxyethyl acrylate</v>
      </c>
      <c r="E1166" t="str">
        <f>VLOOKUP(B1166,[1]물질정보!B:E,4,0)</f>
        <v>C5H8O3</v>
      </c>
      <c r="F1166" t="str">
        <f>VLOOKUP(B1166,[1]물질정보!B:F,5,0)</f>
        <v>116.11 g/mol</v>
      </c>
      <c r="G1166" s="5" t="str">
        <f>VLOOKUP(B1166,[1]물질정보!B:G,6,0)</f>
        <v>C=CC(=O)OCCO</v>
      </c>
      <c r="I1166" t="s">
        <v>51</v>
      </c>
      <c r="J1166" t="s">
        <v>49</v>
      </c>
      <c r="K1166">
        <v>5.9409999999999998</v>
      </c>
      <c r="L1166" t="s">
        <v>39</v>
      </c>
      <c r="M1166" t="s">
        <v>409</v>
      </c>
      <c r="P1166">
        <v>96</v>
      </c>
      <c r="Q1166" t="s">
        <v>410</v>
      </c>
      <c r="R1166" t="s">
        <v>411</v>
      </c>
      <c r="U1166" t="s">
        <v>412</v>
      </c>
      <c r="V1166" s="6" t="s">
        <v>413</v>
      </c>
      <c r="W1166" t="s">
        <v>414</v>
      </c>
      <c r="Y1166" t="s">
        <v>49</v>
      </c>
    </row>
    <row r="1167" spans="2:25" x14ac:dyDescent="0.3">
      <c r="B1167" s="5" t="s">
        <v>67</v>
      </c>
      <c r="C1167" s="5" t="str">
        <f>VLOOKUP(B1167,[1]물질정보!B:C,2,0)</f>
        <v>818-61-1</v>
      </c>
      <c r="D1167" t="str">
        <f>VLOOKUP(B1167,[1]물질정보!B:D,3,0)</f>
        <v>2-hydroxyethyl acrylate</v>
      </c>
      <c r="E1167" t="str">
        <f>VLOOKUP(B1167,[1]물질정보!B:E,4,0)</f>
        <v>C5H8O3</v>
      </c>
      <c r="F1167" t="str">
        <f>VLOOKUP(B1167,[1]물질정보!B:F,5,0)</f>
        <v>116.11 g/mol</v>
      </c>
      <c r="G1167" s="5" t="str">
        <f>VLOOKUP(B1167,[1]물질정보!B:G,6,0)</f>
        <v>C=CC(=O)OCCO</v>
      </c>
      <c r="I1167" t="s">
        <v>45</v>
      </c>
      <c r="J1167" t="s">
        <v>49</v>
      </c>
      <c r="K1167">
        <v>25.044</v>
      </c>
      <c r="L1167" t="s">
        <v>39</v>
      </c>
      <c r="M1167" t="s">
        <v>415</v>
      </c>
      <c r="P1167">
        <v>48</v>
      </c>
      <c r="Q1167" t="s">
        <v>410</v>
      </c>
      <c r="R1167" t="s">
        <v>411</v>
      </c>
      <c r="U1167" t="s">
        <v>412</v>
      </c>
      <c r="V1167" s="6" t="s">
        <v>413</v>
      </c>
      <c r="W1167" t="s">
        <v>416</v>
      </c>
      <c r="Y1167" t="s">
        <v>49</v>
      </c>
    </row>
    <row r="1168" spans="2:25" x14ac:dyDescent="0.3">
      <c r="B1168" s="5" t="s">
        <v>67</v>
      </c>
      <c r="C1168" s="5" t="str">
        <f>VLOOKUP(B1168,[1]물질정보!B:C,2,0)</f>
        <v>818-61-1</v>
      </c>
      <c r="D1168" t="str">
        <f>VLOOKUP(B1168,[1]물질정보!B:D,3,0)</f>
        <v>2-hydroxyethyl acrylate</v>
      </c>
      <c r="E1168" t="str">
        <f>VLOOKUP(B1168,[1]물질정보!B:E,4,0)</f>
        <v>C5H8O3</v>
      </c>
      <c r="F1168" t="str">
        <f>VLOOKUP(B1168,[1]물질정보!B:F,5,0)</f>
        <v>116.11 g/mol</v>
      </c>
      <c r="G1168" s="5" t="str">
        <f>VLOOKUP(B1168,[1]물질정보!B:G,6,0)</f>
        <v>C=CC(=O)OCCO</v>
      </c>
      <c r="I1168" t="s">
        <v>27</v>
      </c>
      <c r="J1168" t="s">
        <v>28</v>
      </c>
      <c r="K1168">
        <v>1.7629999999999999</v>
      </c>
      <c r="L1168" t="s">
        <v>39</v>
      </c>
      <c r="M1168" t="s">
        <v>36</v>
      </c>
      <c r="P1168">
        <v>96</v>
      </c>
      <c r="Q1168" t="s">
        <v>410</v>
      </c>
      <c r="R1168" t="s">
        <v>411</v>
      </c>
      <c r="U1168" t="s">
        <v>412</v>
      </c>
      <c r="V1168" s="6" t="s">
        <v>413</v>
      </c>
      <c r="W1168" t="s">
        <v>36</v>
      </c>
      <c r="Y1168" t="s">
        <v>28</v>
      </c>
    </row>
    <row r="1169" spans="2:25" x14ac:dyDescent="0.3">
      <c r="B1169" s="5" t="s">
        <v>67</v>
      </c>
      <c r="C1169" s="5" t="str">
        <f>VLOOKUP(B1169,[1]물질정보!B:C,2,0)</f>
        <v>818-61-1</v>
      </c>
      <c r="D1169" t="str">
        <f>VLOOKUP(B1169,[1]물질정보!B:D,3,0)</f>
        <v>2-hydroxyethyl acrylate</v>
      </c>
      <c r="E1169" t="str">
        <f>VLOOKUP(B1169,[1]물질정보!B:E,4,0)</f>
        <v>C5H8O3</v>
      </c>
      <c r="F1169" t="str">
        <f>VLOOKUP(B1169,[1]물질정보!B:F,5,0)</f>
        <v>116.11 g/mol</v>
      </c>
      <c r="G1169" s="5" t="str">
        <f>VLOOKUP(B1169,[1]물질정보!B:G,6,0)</f>
        <v>C=CC(=O)OCCO</v>
      </c>
      <c r="I1169" t="s">
        <v>418</v>
      </c>
      <c r="J1169" t="s">
        <v>419</v>
      </c>
      <c r="K1169">
        <v>0.76500000000000001</v>
      </c>
      <c r="L1169" t="s">
        <v>39</v>
      </c>
      <c r="M1169" t="s">
        <v>409</v>
      </c>
      <c r="R1169" t="s">
        <v>411</v>
      </c>
      <c r="U1169" t="s">
        <v>412</v>
      </c>
      <c r="V1169" s="6" t="s">
        <v>413</v>
      </c>
      <c r="W1169" t="s">
        <v>414</v>
      </c>
      <c r="Y1169" t="s">
        <v>419</v>
      </c>
    </row>
    <row r="1170" spans="2:25" x14ac:dyDescent="0.3">
      <c r="B1170" s="5" t="s">
        <v>67</v>
      </c>
      <c r="C1170" s="5" t="str">
        <f>VLOOKUP(B1170,[1]물질정보!B:C,2,0)</f>
        <v>818-61-1</v>
      </c>
      <c r="D1170" t="str">
        <f>VLOOKUP(B1170,[1]물질정보!B:D,3,0)</f>
        <v>2-hydroxyethyl acrylate</v>
      </c>
      <c r="E1170" t="str">
        <f>VLOOKUP(B1170,[1]물질정보!B:E,4,0)</f>
        <v>C5H8O3</v>
      </c>
      <c r="F1170" t="str">
        <f>VLOOKUP(B1170,[1]물질정보!B:F,5,0)</f>
        <v>116.11 g/mol</v>
      </c>
      <c r="G1170" s="5" t="str">
        <f>VLOOKUP(B1170,[1]물질정보!B:G,6,0)</f>
        <v>C=CC(=O)OCCO</v>
      </c>
      <c r="I1170" t="s">
        <v>420</v>
      </c>
      <c r="J1170" t="s">
        <v>419</v>
      </c>
      <c r="K1170">
        <v>2.6669999999999998</v>
      </c>
      <c r="L1170" t="s">
        <v>39</v>
      </c>
      <c r="M1170" t="s">
        <v>415</v>
      </c>
      <c r="R1170" t="s">
        <v>411</v>
      </c>
      <c r="U1170" t="s">
        <v>412</v>
      </c>
      <c r="V1170" s="6" t="s">
        <v>413</v>
      </c>
      <c r="W1170" t="s">
        <v>416</v>
      </c>
      <c r="Y1170" t="s">
        <v>419</v>
      </c>
    </row>
    <row r="1171" spans="2:25" x14ac:dyDescent="0.3">
      <c r="B1171" s="5" t="s">
        <v>67</v>
      </c>
      <c r="C1171" s="5" t="str">
        <f>VLOOKUP(B1171,[1]물질정보!B:C,2,0)</f>
        <v>818-61-1</v>
      </c>
      <c r="D1171" t="str">
        <f>VLOOKUP(B1171,[1]물질정보!B:D,3,0)</f>
        <v>2-hydroxyethyl acrylate</v>
      </c>
      <c r="E1171" t="str">
        <f>VLOOKUP(B1171,[1]물질정보!B:E,4,0)</f>
        <v>C5H8O3</v>
      </c>
      <c r="F1171" t="str">
        <f>VLOOKUP(B1171,[1]물질정보!B:F,5,0)</f>
        <v>116.11 g/mol</v>
      </c>
      <c r="G1171" s="5" t="str">
        <f>VLOOKUP(B1171,[1]물질정보!B:G,6,0)</f>
        <v>C=CC(=O)OCCO</v>
      </c>
      <c r="I1171" t="s">
        <v>421</v>
      </c>
      <c r="J1171" t="s">
        <v>419</v>
      </c>
      <c r="K1171">
        <v>0.53600000000000003</v>
      </c>
      <c r="L1171" t="s">
        <v>39</v>
      </c>
      <c r="M1171" t="s">
        <v>36</v>
      </c>
      <c r="R1171" t="s">
        <v>411</v>
      </c>
      <c r="U1171" t="s">
        <v>412</v>
      </c>
      <c r="V1171" s="6" t="s">
        <v>413</v>
      </c>
      <c r="W1171" t="s">
        <v>417</v>
      </c>
      <c r="Y1171" t="s">
        <v>419</v>
      </c>
    </row>
    <row r="1172" spans="2:25" x14ac:dyDescent="0.3">
      <c r="B1172" s="5" t="s">
        <v>65</v>
      </c>
      <c r="C1172" s="5" t="str">
        <f>VLOOKUP(B1172,[1]물질정보!B:C,2,0)</f>
        <v>141-32-2</v>
      </c>
      <c r="D1172" t="str">
        <f>VLOOKUP(B1172,[1]물질정보!B:D,3,0)</f>
        <v>butyl acrylate</v>
      </c>
      <c r="E1172" t="str">
        <f>VLOOKUP(B1172,[1]물질정보!B:E,4,0)</f>
        <v>C7H12O2</v>
      </c>
      <c r="F1172" t="str">
        <f>VLOOKUP(B1172,[1]물질정보!B:F,5,0)</f>
        <v>128.169 g/mol</v>
      </c>
      <c r="G1172" s="5" t="str">
        <f>VLOOKUP(B1172,[1]물질정보!B:G,6,0)</f>
        <v>CCCCOC(=O)C=C</v>
      </c>
      <c r="I1172" t="s">
        <v>51</v>
      </c>
      <c r="J1172" t="s">
        <v>49</v>
      </c>
      <c r="K1172">
        <v>1.595</v>
      </c>
      <c r="L1172" t="s">
        <v>39</v>
      </c>
      <c r="M1172" t="s">
        <v>409</v>
      </c>
      <c r="P1172">
        <v>96</v>
      </c>
      <c r="Q1172" t="s">
        <v>410</v>
      </c>
      <c r="R1172" t="s">
        <v>411</v>
      </c>
      <c r="U1172" t="s">
        <v>412</v>
      </c>
      <c r="V1172" s="6" t="s">
        <v>413</v>
      </c>
      <c r="W1172" t="s">
        <v>414</v>
      </c>
      <c r="Y1172" t="s">
        <v>49</v>
      </c>
    </row>
    <row r="1173" spans="2:25" x14ac:dyDescent="0.3">
      <c r="B1173" s="5" t="s">
        <v>65</v>
      </c>
      <c r="C1173" s="5" t="str">
        <f>VLOOKUP(B1173,[1]물질정보!B:C,2,0)</f>
        <v>141-32-2</v>
      </c>
      <c r="D1173" t="str">
        <f>VLOOKUP(B1173,[1]물질정보!B:D,3,0)</f>
        <v>butyl acrylate</v>
      </c>
      <c r="E1173" t="str">
        <f>VLOOKUP(B1173,[1]물질정보!B:E,4,0)</f>
        <v>C7H12O2</v>
      </c>
      <c r="F1173" t="str">
        <f>VLOOKUP(B1173,[1]물질정보!B:F,5,0)</f>
        <v>128.169 g/mol</v>
      </c>
      <c r="G1173" s="5" t="str">
        <f>VLOOKUP(B1173,[1]물질정보!B:G,6,0)</f>
        <v>CCCCOC(=O)C=C</v>
      </c>
      <c r="I1173" t="s">
        <v>45</v>
      </c>
      <c r="J1173" t="s">
        <v>49</v>
      </c>
      <c r="K1173">
        <v>3.0779999999999998</v>
      </c>
      <c r="L1173" t="s">
        <v>39</v>
      </c>
      <c r="M1173" t="s">
        <v>415</v>
      </c>
      <c r="P1173">
        <v>48</v>
      </c>
      <c r="Q1173" t="s">
        <v>410</v>
      </c>
      <c r="R1173" t="s">
        <v>411</v>
      </c>
      <c r="U1173" t="s">
        <v>412</v>
      </c>
      <c r="V1173" s="6" t="s">
        <v>413</v>
      </c>
      <c r="W1173" t="s">
        <v>416</v>
      </c>
      <c r="Y1173" t="s">
        <v>49</v>
      </c>
    </row>
    <row r="1174" spans="2:25" x14ac:dyDescent="0.3">
      <c r="B1174" s="5" t="s">
        <v>65</v>
      </c>
      <c r="C1174" s="5" t="str">
        <f>VLOOKUP(B1174,[1]물질정보!B:C,2,0)</f>
        <v>141-32-2</v>
      </c>
      <c r="D1174" t="str">
        <f>VLOOKUP(B1174,[1]물질정보!B:D,3,0)</f>
        <v>butyl acrylate</v>
      </c>
      <c r="E1174" t="str">
        <f>VLOOKUP(B1174,[1]물질정보!B:E,4,0)</f>
        <v>C7H12O2</v>
      </c>
      <c r="F1174" t="str">
        <f>VLOOKUP(B1174,[1]물질정보!B:F,5,0)</f>
        <v>128.169 g/mol</v>
      </c>
      <c r="G1174" s="5" t="str">
        <f>VLOOKUP(B1174,[1]물질정보!B:G,6,0)</f>
        <v>CCCCOC(=O)C=C</v>
      </c>
      <c r="I1174" t="s">
        <v>27</v>
      </c>
      <c r="J1174" t="s">
        <v>28</v>
      </c>
      <c r="K1174">
        <v>0.39</v>
      </c>
      <c r="L1174" t="s">
        <v>39</v>
      </c>
      <c r="M1174" t="s">
        <v>36</v>
      </c>
      <c r="P1174">
        <v>96</v>
      </c>
      <c r="Q1174" t="s">
        <v>410</v>
      </c>
      <c r="R1174" t="s">
        <v>411</v>
      </c>
      <c r="U1174" t="s">
        <v>412</v>
      </c>
      <c r="V1174" s="6" t="s">
        <v>413</v>
      </c>
      <c r="W1174" t="s">
        <v>36</v>
      </c>
      <c r="Y1174" t="s">
        <v>28</v>
      </c>
    </row>
    <row r="1175" spans="2:25" x14ac:dyDescent="0.3">
      <c r="B1175" s="5" t="s">
        <v>65</v>
      </c>
      <c r="C1175" s="5" t="str">
        <f>VLOOKUP(B1175,[1]물질정보!B:C,2,0)</f>
        <v>141-32-2</v>
      </c>
      <c r="D1175" t="str">
        <f>VLOOKUP(B1175,[1]물질정보!B:D,3,0)</f>
        <v>butyl acrylate</v>
      </c>
      <c r="E1175" t="str">
        <f>VLOOKUP(B1175,[1]물질정보!B:E,4,0)</f>
        <v>C7H12O2</v>
      </c>
      <c r="F1175" t="str">
        <f>VLOOKUP(B1175,[1]물질정보!B:F,5,0)</f>
        <v>128.169 g/mol</v>
      </c>
      <c r="G1175" s="5" t="str">
        <f>VLOOKUP(B1175,[1]물질정보!B:G,6,0)</f>
        <v>CCCCOC(=O)C=C</v>
      </c>
      <c r="I1175" t="s">
        <v>418</v>
      </c>
      <c r="J1175" t="s">
        <v>419</v>
      </c>
      <c r="K1175">
        <v>0.01</v>
      </c>
      <c r="L1175" t="s">
        <v>39</v>
      </c>
      <c r="M1175" t="s">
        <v>409</v>
      </c>
      <c r="R1175" t="s">
        <v>411</v>
      </c>
      <c r="U1175" t="s">
        <v>412</v>
      </c>
      <c r="V1175" s="6" t="s">
        <v>413</v>
      </c>
      <c r="W1175" t="s">
        <v>414</v>
      </c>
      <c r="Y1175" t="s">
        <v>419</v>
      </c>
    </row>
    <row r="1176" spans="2:25" x14ac:dyDescent="0.3">
      <c r="B1176" s="5" t="s">
        <v>65</v>
      </c>
      <c r="C1176" s="5" t="str">
        <f>VLOOKUP(B1176,[1]물질정보!B:C,2,0)</f>
        <v>141-32-2</v>
      </c>
      <c r="D1176" t="str">
        <f>VLOOKUP(B1176,[1]물질정보!B:D,3,0)</f>
        <v>butyl acrylate</v>
      </c>
      <c r="E1176" t="str">
        <f>VLOOKUP(B1176,[1]물질정보!B:E,4,0)</f>
        <v>C7H12O2</v>
      </c>
      <c r="F1176" t="str">
        <f>VLOOKUP(B1176,[1]물질정보!B:F,5,0)</f>
        <v>128.169 g/mol</v>
      </c>
      <c r="G1176" s="5" t="str">
        <f>VLOOKUP(B1176,[1]물질정보!B:G,6,0)</f>
        <v>CCCCOC(=O)C=C</v>
      </c>
      <c r="I1176" t="s">
        <v>420</v>
      </c>
      <c r="J1176" t="s">
        <v>419</v>
      </c>
      <c r="K1176">
        <v>0.16900000000000001</v>
      </c>
      <c r="L1176" t="s">
        <v>39</v>
      </c>
      <c r="M1176" t="s">
        <v>415</v>
      </c>
      <c r="R1176" t="s">
        <v>411</v>
      </c>
      <c r="U1176" t="s">
        <v>412</v>
      </c>
      <c r="V1176" s="6" t="s">
        <v>413</v>
      </c>
      <c r="W1176" t="s">
        <v>416</v>
      </c>
      <c r="Y1176" t="s">
        <v>419</v>
      </c>
    </row>
    <row r="1177" spans="2:25" x14ac:dyDescent="0.3">
      <c r="B1177" s="5" t="s">
        <v>65</v>
      </c>
      <c r="C1177" s="5" t="str">
        <f>VLOOKUP(B1177,[1]물질정보!B:C,2,0)</f>
        <v>141-32-2</v>
      </c>
      <c r="D1177" t="str">
        <f>VLOOKUP(B1177,[1]물질정보!B:D,3,0)</f>
        <v>butyl acrylate</v>
      </c>
      <c r="E1177" t="str">
        <f>VLOOKUP(B1177,[1]물질정보!B:E,4,0)</f>
        <v>C7H12O2</v>
      </c>
      <c r="F1177" t="str">
        <f>VLOOKUP(B1177,[1]물질정보!B:F,5,0)</f>
        <v>128.169 g/mol</v>
      </c>
      <c r="G1177" s="5" t="str">
        <f>VLOOKUP(B1177,[1]물질정보!B:G,6,0)</f>
        <v>CCCCOC(=O)C=C</v>
      </c>
      <c r="I1177" t="s">
        <v>421</v>
      </c>
      <c r="J1177" t="s">
        <v>419</v>
      </c>
      <c r="K1177">
        <v>0.13300000000000001</v>
      </c>
      <c r="L1177" t="s">
        <v>39</v>
      </c>
      <c r="M1177" t="s">
        <v>36</v>
      </c>
      <c r="R1177" t="s">
        <v>411</v>
      </c>
      <c r="U1177" t="s">
        <v>412</v>
      </c>
      <c r="V1177" s="6" t="s">
        <v>413</v>
      </c>
      <c r="W1177" t="s">
        <v>417</v>
      </c>
      <c r="Y1177" t="s">
        <v>419</v>
      </c>
    </row>
    <row r="1178" spans="2:25" x14ac:dyDescent="0.3">
      <c r="B1178" s="5" t="s">
        <v>64</v>
      </c>
      <c r="C1178" s="5" t="str">
        <f>VLOOKUP(B1178,[1]물질정보!B:C,2,0)</f>
        <v>2478-10-6</v>
      </c>
      <c r="D1178" t="str">
        <f>VLOOKUP(B1178,[1]물질정보!B:D,3,0)</f>
        <v>4-hydroxybutyl acrylate</v>
      </c>
      <c r="E1178" t="str">
        <f>VLOOKUP(B1178,[1]물질정보!B:E,4,0)</f>
        <v>C7H12O3</v>
      </c>
      <c r="F1178" t="str">
        <f>VLOOKUP(B1178,[1]물질정보!B:F,5,0)</f>
        <v>144.17 g/mol</v>
      </c>
      <c r="G1178" s="5" t="str">
        <f>VLOOKUP(B1178,[1]물질정보!B:G,6,0)</f>
        <v>C=CC(=O)OCCCCO</v>
      </c>
      <c r="I1178" t="s">
        <v>51</v>
      </c>
      <c r="J1178" t="s">
        <v>49</v>
      </c>
      <c r="K1178">
        <v>4.1829999999999998</v>
      </c>
      <c r="L1178" t="s">
        <v>39</v>
      </c>
      <c r="M1178" t="s">
        <v>409</v>
      </c>
      <c r="P1178">
        <v>96</v>
      </c>
      <c r="Q1178" t="s">
        <v>410</v>
      </c>
      <c r="R1178" t="s">
        <v>411</v>
      </c>
      <c r="U1178" t="s">
        <v>412</v>
      </c>
      <c r="V1178" s="6" t="s">
        <v>413</v>
      </c>
      <c r="W1178" t="s">
        <v>414</v>
      </c>
      <c r="Y1178" t="s">
        <v>49</v>
      </c>
    </row>
    <row r="1179" spans="2:25" x14ac:dyDescent="0.3">
      <c r="B1179" s="5" t="s">
        <v>64</v>
      </c>
      <c r="C1179" s="5" t="str">
        <f>VLOOKUP(B1179,[1]물질정보!B:C,2,0)</f>
        <v>2478-10-6</v>
      </c>
      <c r="D1179" t="str">
        <f>VLOOKUP(B1179,[1]물질정보!B:D,3,0)</f>
        <v>4-hydroxybutyl acrylate</v>
      </c>
      <c r="E1179" t="str">
        <f>VLOOKUP(B1179,[1]물질정보!B:E,4,0)</f>
        <v>C7H12O3</v>
      </c>
      <c r="F1179" t="str">
        <f>VLOOKUP(B1179,[1]물질정보!B:F,5,0)</f>
        <v>144.17 g/mol</v>
      </c>
      <c r="G1179" s="5" t="str">
        <f>VLOOKUP(B1179,[1]물질정보!B:G,6,0)</f>
        <v>C=CC(=O)OCCCCO</v>
      </c>
      <c r="I1179" t="s">
        <v>45</v>
      </c>
      <c r="J1179" t="s">
        <v>49</v>
      </c>
      <c r="K1179">
        <v>12.882999999999999</v>
      </c>
      <c r="L1179" t="s">
        <v>39</v>
      </c>
      <c r="M1179" t="s">
        <v>415</v>
      </c>
      <c r="P1179">
        <v>48</v>
      </c>
      <c r="Q1179" t="s">
        <v>410</v>
      </c>
      <c r="R1179" t="s">
        <v>411</v>
      </c>
      <c r="U1179" t="s">
        <v>412</v>
      </c>
      <c r="V1179" s="6" t="s">
        <v>413</v>
      </c>
      <c r="W1179" t="s">
        <v>416</v>
      </c>
      <c r="Y1179" t="s">
        <v>49</v>
      </c>
    </row>
    <row r="1180" spans="2:25" x14ac:dyDescent="0.3">
      <c r="B1180" s="5" t="s">
        <v>64</v>
      </c>
      <c r="C1180" s="5" t="str">
        <f>VLOOKUP(B1180,[1]물질정보!B:C,2,0)</f>
        <v>2478-10-6</v>
      </c>
      <c r="D1180" t="str">
        <f>VLOOKUP(B1180,[1]물질정보!B:D,3,0)</f>
        <v>4-hydroxybutyl acrylate</v>
      </c>
      <c r="E1180" t="str">
        <f>VLOOKUP(B1180,[1]물질정보!B:E,4,0)</f>
        <v>C7H12O3</v>
      </c>
      <c r="F1180" t="str">
        <f>VLOOKUP(B1180,[1]물질정보!B:F,5,0)</f>
        <v>144.17 g/mol</v>
      </c>
      <c r="G1180" s="5" t="str">
        <f>VLOOKUP(B1180,[1]물질정보!B:G,6,0)</f>
        <v>C=CC(=O)OCCCCO</v>
      </c>
      <c r="I1180" t="s">
        <v>27</v>
      </c>
      <c r="J1180" t="s">
        <v>28</v>
      </c>
      <c r="K1180">
        <v>1.1479999999999999</v>
      </c>
      <c r="L1180" t="s">
        <v>39</v>
      </c>
      <c r="M1180" t="s">
        <v>36</v>
      </c>
      <c r="P1180">
        <v>96</v>
      </c>
      <c r="Q1180" t="s">
        <v>410</v>
      </c>
      <c r="R1180" t="s">
        <v>411</v>
      </c>
      <c r="U1180" t="s">
        <v>412</v>
      </c>
      <c r="V1180" s="6" t="s">
        <v>413</v>
      </c>
      <c r="W1180" t="s">
        <v>36</v>
      </c>
      <c r="Y1180" t="s">
        <v>28</v>
      </c>
    </row>
    <row r="1181" spans="2:25" x14ac:dyDescent="0.3">
      <c r="B1181" s="5" t="s">
        <v>64</v>
      </c>
      <c r="C1181" s="5" t="str">
        <f>VLOOKUP(B1181,[1]물질정보!B:C,2,0)</f>
        <v>2478-10-6</v>
      </c>
      <c r="D1181" t="str">
        <f>VLOOKUP(B1181,[1]물질정보!B:D,3,0)</f>
        <v>4-hydroxybutyl acrylate</v>
      </c>
      <c r="E1181" t="str">
        <f>VLOOKUP(B1181,[1]물질정보!B:E,4,0)</f>
        <v>C7H12O3</v>
      </c>
      <c r="F1181" t="str">
        <f>VLOOKUP(B1181,[1]물질정보!B:F,5,0)</f>
        <v>144.17 g/mol</v>
      </c>
      <c r="G1181" s="5" t="str">
        <f>VLOOKUP(B1181,[1]물질정보!B:G,6,0)</f>
        <v>C=CC(=O)OCCCCO</v>
      </c>
      <c r="I1181" t="s">
        <v>418</v>
      </c>
      <c r="J1181" t="s">
        <v>419</v>
      </c>
      <c r="K1181">
        <v>0.16200000000000001</v>
      </c>
      <c r="L1181" t="s">
        <v>39</v>
      </c>
      <c r="M1181" t="s">
        <v>409</v>
      </c>
      <c r="R1181" t="s">
        <v>411</v>
      </c>
      <c r="U1181" t="s">
        <v>412</v>
      </c>
      <c r="V1181" s="6" t="s">
        <v>413</v>
      </c>
      <c r="W1181" t="s">
        <v>414</v>
      </c>
      <c r="Y1181" t="s">
        <v>419</v>
      </c>
    </row>
    <row r="1182" spans="2:25" x14ac:dyDescent="0.3">
      <c r="B1182" s="5" t="s">
        <v>64</v>
      </c>
      <c r="C1182" s="5" t="str">
        <f>VLOOKUP(B1182,[1]물질정보!B:C,2,0)</f>
        <v>2478-10-6</v>
      </c>
      <c r="D1182" t="str">
        <f>VLOOKUP(B1182,[1]물질정보!B:D,3,0)</f>
        <v>4-hydroxybutyl acrylate</v>
      </c>
      <c r="E1182" t="str">
        <f>VLOOKUP(B1182,[1]물질정보!B:E,4,0)</f>
        <v>C7H12O3</v>
      </c>
      <c r="F1182" t="str">
        <f>VLOOKUP(B1182,[1]물질정보!B:F,5,0)</f>
        <v>144.17 g/mol</v>
      </c>
      <c r="G1182" s="5" t="str">
        <f>VLOOKUP(B1182,[1]물질정보!B:G,6,0)</f>
        <v>C=CC(=O)OCCCCO</v>
      </c>
      <c r="I1182" t="s">
        <v>420</v>
      </c>
      <c r="J1182" t="s">
        <v>419</v>
      </c>
      <c r="K1182">
        <v>1.052</v>
      </c>
      <c r="L1182" t="s">
        <v>39</v>
      </c>
      <c r="M1182" t="s">
        <v>415</v>
      </c>
      <c r="R1182" t="s">
        <v>411</v>
      </c>
      <c r="U1182" t="s">
        <v>412</v>
      </c>
      <c r="V1182" s="6" t="s">
        <v>413</v>
      </c>
      <c r="W1182" t="s">
        <v>416</v>
      </c>
      <c r="Y1182" t="s">
        <v>419</v>
      </c>
    </row>
    <row r="1183" spans="2:25" x14ac:dyDescent="0.3">
      <c r="B1183" s="5" t="s">
        <v>64</v>
      </c>
      <c r="C1183" s="5" t="str">
        <f>VLOOKUP(B1183,[1]물질정보!B:C,2,0)</f>
        <v>2478-10-6</v>
      </c>
      <c r="D1183" t="str">
        <f>VLOOKUP(B1183,[1]물질정보!B:D,3,0)</f>
        <v>4-hydroxybutyl acrylate</v>
      </c>
      <c r="E1183" t="str">
        <f>VLOOKUP(B1183,[1]물질정보!B:E,4,0)</f>
        <v>C7H12O3</v>
      </c>
      <c r="F1183" t="str">
        <f>VLOOKUP(B1183,[1]물질정보!B:F,5,0)</f>
        <v>144.17 g/mol</v>
      </c>
      <c r="G1183" s="5" t="str">
        <f>VLOOKUP(B1183,[1]물질정보!B:G,6,0)</f>
        <v>C=CC(=O)OCCCCO</v>
      </c>
      <c r="I1183" t="s">
        <v>421</v>
      </c>
      <c r="J1183" t="s">
        <v>419</v>
      </c>
      <c r="K1183">
        <v>0.36599999999999999</v>
      </c>
      <c r="L1183" t="s">
        <v>39</v>
      </c>
      <c r="M1183" t="s">
        <v>36</v>
      </c>
      <c r="R1183" t="s">
        <v>411</v>
      </c>
      <c r="U1183" t="s">
        <v>412</v>
      </c>
      <c r="V1183" s="6" t="s">
        <v>413</v>
      </c>
      <c r="W1183" t="s">
        <v>417</v>
      </c>
      <c r="Y1183" t="s">
        <v>419</v>
      </c>
    </row>
    <row r="1184" spans="2:25" x14ac:dyDescent="0.3">
      <c r="B1184" s="5" t="s">
        <v>59</v>
      </c>
      <c r="C1184" s="5" t="str">
        <f>VLOOKUP(B1184,[1]물질정보!B:C,2,0)</f>
        <v>2499-95-8</v>
      </c>
      <c r="D1184" t="str">
        <f>VLOOKUP(B1184,[1]물질정보!B:D,3,0)</f>
        <v>hexyl acrylate</v>
      </c>
      <c r="E1184" t="str">
        <f>VLOOKUP(B1184,[1]물질정보!B:E,4,0)</f>
        <v>C9H16O2</v>
      </c>
      <c r="F1184" t="str">
        <f>VLOOKUP(B1184,[1]물질정보!B:F,5,0)</f>
        <v>156.22 g/mol</v>
      </c>
      <c r="G1184" s="5" t="str">
        <f>VLOOKUP(B1184,[1]물질정보!B:G,6,0)</f>
        <v>CCCCCCOC(=O)C=C</v>
      </c>
      <c r="I1184" t="s">
        <v>51</v>
      </c>
      <c r="J1184" t="s">
        <v>49</v>
      </c>
      <c r="K1184">
        <v>1.1020000000000001</v>
      </c>
      <c r="L1184" t="s">
        <v>39</v>
      </c>
      <c r="M1184" t="s">
        <v>409</v>
      </c>
      <c r="P1184">
        <v>96</v>
      </c>
      <c r="Q1184" t="s">
        <v>410</v>
      </c>
      <c r="R1184" t="s">
        <v>411</v>
      </c>
      <c r="U1184" t="s">
        <v>412</v>
      </c>
      <c r="V1184" s="6" t="s">
        <v>413</v>
      </c>
      <c r="W1184" t="s">
        <v>414</v>
      </c>
      <c r="Y1184" t="s">
        <v>49</v>
      </c>
    </row>
    <row r="1185" spans="2:25" x14ac:dyDescent="0.3">
      <c r="B1185" s="5" t="s">
        <v>59</v>
      </c>
      <c r="C1185" s="5" t="str">
        <f>VLOOKUP(B1185,[1]물질정보!B:C,2,0)</f>
        <v>2499-95-8</v>
      </c>
      <c r="D1185" t="str">
        <f>VLOOKUP(B1185,[1]물질정보!B:D,3,0)</f>
        <v>hexyl acrylate</v>
      </c>
      <c r="E1185" t="str">
        <f>VLOOKUP(B1185,[1]물질정보!B:E,4,0)</f>
        <v>C9H16O2</v>
      </c>
      <c r="F1185" t="str">
        <f>VLOOKUP(B1185,[1]물질정보!B:F,5,0)</f>
        <v>156.22 g/mol</v>
      </c>
      <c r="G1185" s="5" t="str">
        <f>VLOOKUP(B1185,[1]물질정보!B:G,6,0)</f>
        <v>CCCCCCOC(=O)C=C</v>
      </c>
      <c r="I1185" t="s">
        <v>45</v>
      </c>
      <c r="J1185" t="s">
        <v>49</v>
      </c>
      <c r="K1185">
        <v>1.554</v>
      </c>
      <c r="L1185" t="s">
        <v>39</v>
      </c>
      <c r="M1185" t="s">
        <v>415</v>
      </c>
      <c r="P1185">
        <v>48</v>
      </c>
      <c r="Q1185" t="s">
        <v>410</v>
      </c>
      <c r="R1185" t="s">
        <v>411</v>
      </c>
      <c r="U1185" t="s">
        <v>412</v>
      </c>
      <c r="V1185" s="6" t="s">
        <v>413</v>
      </c>
      <c r="W1185" t="s">
        <v>416</v>
      </c>
      <c r="Y1185" t="s">
        <v>49</v>
      </c>
    </row>
    <row r="1186" spans="2:25" x14ac:dyDescent="0.3">
      <c r="B1186" s="5" t="s">
        <v>59</v>
      </c>
      <c r="C1186" s="5" t="str">
        <f>VLOOKUP(B1186,[1]물질정보!B:C,2,0)</f>
        <v>2499-95-8</v>
      </c>
      <c r="D1186" t="str">
        <f>VLOOKUP(B1186,[1]물질정보!B:D,3,0)</f>
        <v>hexyl acrylate</v>
      </c>
      <c r="E1186" t="str">
        <f>VLOOKUP(B1186,[1]물질정보!B:E,4,0)</f>
        <v>C9H16O2</v>
      </c>
      <c r="F1186" t="str">
        <f>VLOOKUP(B1186,[1]물질정보!B:F,5,0)</f>
        <v>156.22 g/mol</v>
      </c>
      <c r="G1186" s="5" t="str">
        <f>VLOOKUP(B1186,[1]물질정보!B:G,6,0)</f>
        <v>CCCCCCOC(=O)C=C</v>
      </c>
      <c r="I1186" t="s">
        <v>27</v>
      </c>
      <c r="J1186" t="s">
        <v>28</v>
      </c>
      <c r="K1186">
        <v>0.249</v>
      </c>
      <c r="L1186" t="s">
        <v>39</v>
      </c>
      <c r="M1186" t="s">
        <v>36</v>
      </c>
      <c r="P1186">
        <v>96</v>
      </c>
      <c r="Q1186" t="s">
        <v>410</v>
      </c>
      <c r="R1186" t="s">
        <v>411</v>
      </c>
      <c r="U1186" t="s">
        <v>412</v>
      </c>
      <c r="V1186" s="6" t="s">
        <v>413</v>
      </c>
      <c r="W1186" t="s">
        <v>36</v>
      </c>
      <c r="Y1186" t="s">
        <v>28</v>
      </c>
    </row>
    <row r="1187" spans="2:25" x14ac:dyDescent="0.3">
      <c r="B1187" s="5" t="s">
        <v>59</v>
      </c>
      <c r="C1187" s="5" t="str">
        <f>VLOOKUP(B1187,[1]물질정보!B:C,2,0)</f>
        <v>2499-95-8</v>
      </c>
      <c r="D1187" t="str">
        <f>VLOOKUP(B1187,[1]물질정보!B:D,3,0)</f>
        <v>hexyl acrylate</v>
      </c>
      <c r="E1187" t="str">
        <f>VLOOKUP(B1187,[1]물질정보!B:E,4,0)</f>
        <v>C9H16O2</v>
      </c>
      <c r="F1187" t="str">
        <f>VLOOKUP(B1187,[1]물질정보!B:F,5,0)</f>
        <v>156.22 g/mol</v>
      </c>
      <c r="G1187" s="5" t="str">
        <f>VLOOKUP(B1187,[1]물질정보!B:G,6,0)</f>
        <v>CCCCCCOC(=O)C=C</v>
      </c>
      <c r="I1187" t="s">
        <v>418</v>
      </c>
      <c r="J1187" t="s">
        <v>419</v>
      </c>
      <c r="K1187">
        <v>2E-3</v>
      </c>
      <c r="L1187" t="s">
        <v>39</v>
      </c>
      <c r="M1187" t="s">
        <v>409</v>
      </c>
      <c r="R1187" t="s">
        <v>411</v>
      </c>
      <c r="U1187" t="s">
        <v>412</v>
      </c>
      <c r="V1187" s="6" t="s">
        <v>413</v>
      </c>
      <c r="W1187" t="s">
        <v>414</v>
      </c>
      <c r="Y1187" t="s">
        <v>419</v>
      </c>
    </row>
    <row r="1188" spans="2:25" x14ac:dyDescent="0.3">
      <c r="B1188" s="5" t="s">
        <v>59</v>
      </c>
      <c r="C1188" s="5" t="str">
        <f>VLOOKUP(B1188,[1]물질정보!B:C,2,0)</f>
        <v>2499-95-8</v>
      </c>
      <c r="D1188" t="str">
        <f>VLOOKUP(B1188,[1]물질정보!B:D,3,0)</f>
        <v>hexyl acrylate</v>
      </c>
      <c r="E1188" t="str">
        <f>VLOOKUP(B1188,[1]물질정보!B:E,4,0)</f>
        <v>C9H16O2</v>
      </c>
      <c r="F1188" t="str">
        <f>VLOOKUP(B1188,[1]물질정보!B:F,5,0)</f>
        <v>156.22 g/mol</v>
      </c>
      <c r="G1188" s="5" t="str">
        <f>VLOOKUP(B1188,[1]물질정보!B:G,6,0)</f>
        <v>CCCCCCOC(=O)C=C</v>
      </c>
      <c r="I1188" t="s">
        <v>420</v>
      </c>
      <c r="J1188" t="s">
        <v>419</v>
      </c>
      <c r="K1188">
        <v>6.5000000000000002E-2</v>
      </c>
      <c r="L1188" t="s">
        <v>39</v>
      </c>
      <c r="M1188" t="s">
        <v>415</v>
      </c>
      <c r="R1188" t="s">
        <v>411</v>
      </c>
      <c r="U1188" t="s">
        <v>412</v>
      </c>
      <c r="V1188" s="6" t="s">
        <v>413</v>
      </c>
      <c r="W1188" t="s">
        <v>416</v>
      </c>
      <c r="Y1188" t="s">
        <v>419</v>
      </c>
    </row>
    <row r="1189" spans="2:25" x14ac:dyDescent="0.3">
      <c r="B1189" s="5" t="s">
        <v>59</v>
      </c>
      <c r="C1189" s="5" t="str">
        <f>VLOOKUP(B1189,[1]물질정보!B:C,2,0)</f>
        <v>2499-95-8</v>
      </c>
      <c r="D1189" t="str">
        <f>VLOOKUP(B1189,[1]물질정보!B:D,3,0)</f>
        <v>hexyl acrylate</v>
      </c>
      <c r="E1189" t="str">
        <f>VLOOKUP(B1189,[1]물질정보!B:E,4,0)</f>
        <v>C9H16O2</v>
      </c>
      <c r="F1189" t="str">
        <f>VLOOKUP(B1189,[1]물질정보!B:F,5,0)</f>
        <v>156.22 g/mol</v>
      </c>
      <c r="G1189" s="5" t="str">
        <f>VLOOKUP(B1189,[1]물질정보!B:G,6,0)</f>
        <v>CCCCCCOC(=O)C=C</v>
      </c>
      <c r="I1189" t="s">
        <v>421</v>
      </c>
      <c r="J1189" t="s">
        <v>419</v>
      </c>
      <c r="K1189">
        <v>8.8999999999999996E-2</v>
      </c>
      <c r="L1189" t="s">
        <v>39</v>
      </c>
      <c r="M1189" t="s">
        <v>36</v>
      </c>
      <c r="R1189" t="s">
        <v>411</v>
      </c>
      <c r="U1189" t="s">
        <v>412</v>
      </c>
      <c r="V1189" s="6" t="s">
        <v>413</v>
      </c>
      <c r="W1189" t="s">
        <v>417</v>
      </c>
      <c r="Y1189" t="s">
        <v>419</v>
      </c>
    </row>
    <row r="1190" spans="2:25" x14ac:dyDescent="0.3">
      <c r="B1190" s="5" t="s">
        <v>70</v>
      </c>
      <c r="C1190" s="5" t="str">
        <f>VLOOKUP(B1190,[1]물질정보!B:C,2,0)</f>
        <v>10095-14-4</v>
      </c>
      <c r="D1190" t="str">
        <f>VLOOKUP(B1190,[1]물질정보!B:D,3,0)</f>
        <v>6-hydroxybutyl acrylate</v>
      </c>
      <c r="E1190" t="str">
        <f>VLOOKUP(B1190,[1]물질정보!B:E,4,0)</f>
        <v>C9H16O3</v>
      </c>
      <c r="F1190" t="str">
        <f>VLOOKUP(B1190,[1]물질정보!B:F,5,0)</f>
        <v>172.22 g/mol</v>
      </c>
      <c r="G1190" s="5" t="str">
        <f>VLOOKUP(B1190,[1]물질정보!B:G,6,0)</f>
        <v>C=CC(=O)OCCCCCCO</v>
      </c>
      <c r="I1190" t="s">
        <v>51</v>
      </c>
      <c r="J1190" t="s">
        <v>49</v>
      </c>
      <c r="K1190">
        <v>2.8330000000000002</v>
      </c>
      <c r="L1190" t="s">
        <v>39</v>
      </c>
      <c r="M1190" t="s">
        <v>409</v>
      </c>
      <c r="P1190">
        <v>96</v>
      </c>
      <c r="Q1190" t="s">
        <v>410</v>
      </c>
      <c r="R1190" t="s">
        <v>411</v>
      </c>
      <c r="U1190" t="s">
        <v>412</v>
      </c>
      <c r="V1190" s="6" t="s">
        <v>413</v>
      </c>
      <c r="W1190" t="s">
        <v>414</v>
      </c>
      <c r="Y1190" t="s">
        <v>49</v>
      </c>
    </row>
    <row r="1191" spans="2:25" x14ac:dyDescent="0.3">
      <c r="B1191" s="5" t="s">
        <v>70</v>
      </c>
      <c r="C1191" s="5" t="str">
        <f>VLOOKUP(B1191,[1]물질정보!B:C,2,0)</f>
        <v>10095-14-4</v>
      </c>
      <c r="D1191" t="str">
        <f>VLOOKUP(B1191,[1]물질정보!B:D,3,0)</f>
        <v>6-hydroxybutyl acrylate</v>
      </c>
      <c r="E1191" t="str">
        <f>VLOOKUP(B1191,[1]물질정보!B:E,4,0)</f>
        <v>C9H16O3</v>
      </c>
      <c r="F1191" t="str">
        <f>VLOOKUP(B1191,[1]물질정보!B:F,5,0)</f>
        <v>172.22 g/mol</v>
      </c>
      <c r="G1191" s="5" t="str">
        <f>VLOOKUP(B1191,[1]물질정보!B:G,6,0)</f>
        <v>C=CC(=O)OCCCCCCO</v>
      </c>
      <c r="I1191" t="s">
        <v>45</v>
      </c>
      <c r="J1191" t="s">
        <v>49</v>
      </c>
      <c r="K1191">
        <v>6.3760000000000003</v>
      </c>
      <c r="L1191" t="s">
        <v>39</v>
      </c>
      <c r="M1191" t="s">
        <v>415</v>
      </c>
      <c r="P1191">
        <v>48</v>
      </c>
      <c r="Q1191" t="s">
        <v>410</v>
      </c>
      <c r="R1191" t="s">
        <v>411</v>
      </c>
      <c r="U1191" t="s">
        <v>412</v>
      </c>
      <c r="V1191" s="6" t="s">
        <v>413</v>
      </c>
      <c r="W1191" t="s">
        <v>416</v>
      </c>
      <c r="Y1191" t="s">
        <v>49</v>
      </c>
    </row>
    <row r="1192" spans="2:25" x14ac:dyDescent="0.3">
      <c r="B1192" s="5" t="s">
        <v>70</v>
      </c>
      <c r="C1192" s="5" t="str">
        <f>VLOOKUP(B1192,[1]물질정보!B:C,2,0)</f>
        <v>10095-14-4</v>
      </c>
      <c r="D1192" t="str">
        <f>VLOOKUP(B1192,[1]물질정보!B:D,3,0)</f>
        <v>6-hydroxybutyl acrylate</v>
      </c>
      <c r="E1192" t="str">
        <f>VLOOKUP(B1192,[1]물질정보!B:E,4,0)</f>
        <v>C9H16O3</v>
      </c>
      <c r="F1192" t="str">
        <f>VLOOKUP(B1192,[1]물질정보!B:F,5,0)</f>
        <v>172.22 g/mol</v>
      </c>
      <c r="G1192" s="5" t="str">
        <f>VLOOKUP(B1192,[1]물질정보!B:G,6,0)</f>
        <v>C=CC(=O)OCCCCCCO</v>
      </c>
      <c r="I1192" t="s">
        <v>27</v>
      </c>
      <c r="J1192" t="s">
        <v>28</v>
      </c>
      <c r="K1192">
        <v>0.71899999999999997</v>
      </c>
      <c r="L1192" t="s">
        <v>39</v>
      </c>
      <c r="M1192" t="s">
        <v>36</v>
      </c>
      <c r="P1192">
        <v>96</v>
      </c>
      <c r="Q1192" t="s">
        <v>410</v>
      </c>
      <c r="R1192" t="s">
        <v>411</v>
      </c>
      <c r="U1192" t="s">
        <v>412</v>
      </c>
      <c r="V1192" s="6" t="s">
        <v>413</v>
      </c>
      <c r="W1192" t="s">
        <v>36</v>
      </c>
      <c r="Y1192" t="s">
        <v>28</v>
      </c>
    </row>
    <row r="1193" spans="2:25" x14ac:dyDescent="0.3">
      <c r="B1193" s="5" t="s">
        <v>70</v>
      </c>
      <c r="C1193" s="5" t="str">
        <f>VLOOKUP(B1193,[1]물질정보!B:C,2,0)</f>
        <v>10095-14-4</v>
      </c>
      <c r="D1193" t="str">
        <f>VLOOKUP(B1193,[1]물질정보!B:D,3,0)</f>
        <v>6-hydroxybutyl acrylate</v>
      </c>
      <c r="E1193" t="str">
        <f>VLOOKUP(B1193,[1]물질정보!B:E,4,0)</f>
        <v>C9H16O3</v>
      </c>
      <c r="F1193" t="str">
        <f>VLOOKUP(B1193,[1]물질정보!B:F,5,0)</f>
        <v>172.22 g/mol</v>
      </c>
      <c r="G1193" s="5" t="str">
        <f>VLOOKUP(B1193,[1]물질정보!B:G,6,0)</f>
        <v>C=CC(=O)OCCCCCCO</v>
      </c>
      <c r="I1193" t="s">
        <v>418</v>
      </c>
      <c r="J1193" t="s">
        <v>419</v>
      </c>
      <c r="K1193">
        <v>3.3000000000000002E-2</v>
      </c>
      <c r="L1193" t="s">
        <v>39</v>
      </c>
      <c r="M1193" t="s">
        <v>409</v>
      </c>
      <c r="R1193" t="s">
        <v>411</v>
      </c>
      <c r="U1193" t="s">
        <v>412</v>
      </c>
      <c r="V1193" s="6" t="s">
        <v>413</v>
      </c>
      <c r="W1193" t="s">
        <v>414</v>
      </c>
      <c r="Y1193" t="s">
        <v>419</v>
      </c>
    </row>
    <row r="1194" spans="2:25" x14ac:dyDescent="0.3">
      <c r="B1194" s="5" t="s">
        <v>70</v>
      </c>
      <c r="C1194" s="5" t="str">
        <f>VLOOKUP(B1194,[1]물질정보!B:C,2,0)</f>
        <v>10095-14-4</v>
      </c>
      <c r="D1194" t="str">
        <f>VLOOKUP(B1194,[1]물질정보!B:D,3,0)</f>
        <v>6-hydroxybutyl acrylate</v>
      </c>
      <c r="E1194" t="str">
        <f>VLOOKUP(B1194,[1]물질정보!B:E,4,0)</f>
        <v>C9H16O3</v>
      </c>
      <c r="F1194" t="str">
        <f>VLOOKUP(B1194,[1]물질정보!B:F,5,0)</f>
        <v>172.22 g/mol</v>
      </c>
      <c r="G1194" s="5" t="str">
        <f>VLOOKUP(B1194,[1]물질정보!B:G,6,0)</f>
        <v>C=CC(=O)OCCCCCCO</v>
      </c>
      <c r="I1194" t="s">
        <v>420</v>
      </c>
      <c r="J1194" t="s">
        <v>419</v>
      </c>
      <c r="K1194">
        <v>0.39900000000000002</v>
      </c>
      <c r="L1194" t="s">
        <v>39</v>
      </c>
      <c r="M1194" t="s">
        <v>415</v>
      </c>
      <c r="R1194" t="s">
        <v>411</v>
      </c>
      <c r="U1194" t="s">
        <v>412</v>
      </c>
      <c r="V1194" s="6" t="s">
        <v>413</v>
      </c>
      <c r="W1194" t="s">
        <v>416</v>
      </c>
      <c r="Y1194" t="s">
        <v>419</v>
      </c>
    </row>
    <row r="1195" spans="2:25" x14ac:dyDescent="0.3">
      <c r="B1195" s="5" t="s">
        <v>70</v>
      </c>
      <c r="C1195" s="5" t="str">
        <f>VLOOKUP(B1195,[1]물질정보!B:C,2,0)</f>
        <v>10095-14-4</v>
      </c>
      <c r="D1195" t="str">
        <f>VLOOKUP(B1195,[1]물질정보!B:D,3,0)</f>
        <v>6-hydroxybutyl acrylate</v>
      </c>
      <c r="E1195" t="str">
        <f>VLOOKUP(B1195,[1]물질정보!B:E,4,0)</f>
        <v>C9H16O3</v>
      </c>
      <c r="F1195" t="str">
        <f>VLOOKUP(B1195,[1]물질정보!B:F,5,0)</f>
        <v>172.22 g/mol</v>
      </c>
      <c r="G1195" s="5" t="str">
        <f>VLOOKUP(B1195,[1]물질정보!B:G,6,0)</f>
        <v>C=CC(=O)OCCCCCCO</v>
      </c>
      <c r="I1195" t="s">
        <v>421</v>
      </c>
      <c r="J1195" t="s">
        <v>419</v>
      </c>
      <c r="K1195">
        <v>0.24</v>
      </c>
      <c r="L1195" t="s">
        <v>39</v>
      </c>
      <c r="M1195" t="s">
        <v>36</v>
      </c>
      <c r="R1195" t="s">
        <v>411</v>
      </c>
      <c r="U1195" t="s">
        <v>412</v>
      </c>
      <c r="V1195" s="6" t="s">
        <v>413</v>
      </c>
      <c r="W1195" t="s">
        <v>417</v>
      </c>
      <c r="Y1195" t="s">
        <v>419</v>
      </c>
    </row>
    <row r="1196" spans="2:25" x14ac:dyDescent="0.3">
      <c r="B1196" s="5" t="s">
        <v>77</v>
      </c>
      <c r="C1196" s="5" t="str">
        <f>VLOOKUP(B1196,[1]물질정보!B:C,2,0)</f>
        <v>140-88-5</v>
      </c>
      <c r="D1196" t="str">
        <f>VLOOKUP(B1196,[1]물질정보!B:D,3,0)</f>
        <v>ethyl acrylate</v>
      </c>
      <c r="E1196" t="str">
        <f>VLOOKUP(B1196,[1]물질정보!B:E,4,0)</f>
        <v>C5H8O2</v>
      </c>
      <c r="F1196" t="str">
        <f>VLOOKUP(B1196,[1]물질정보!B:F,5,0)</f>
        <v>100.12 g/mol</v>
      </c>
      <c r="G1196" s="5" t="str">
        <f>VLOOKUP(B1196,[1]물질정보!B:G,6,0)</f>
        <v>CCOC(=O)C=C</v>
      </c>
      <c r="I1196" t="s">
        <v>432</v>
      </c>
      <c r="J1196" t="s">
        <v>49</v>
      </c>
      <c r="K1196">
        <v>1.044</v>
      </c>
      <c r="L1196" t="s">
        <v>39</v>
      </c>
      <c r="M1196" t="s">
        <v>423</v>
      </c>
      <c r="P1196">
        <v>96</v>
      </c>
      <c r="Q1196" t="s">
        <v>410</v>
      </c>
      <c r="R1196" t="s">
        <v>411</v>
      </c>
      <c r="U1196" t="s">
        <v>412</v>
      </c>
      <c r="V1196" s="6" t="s">
        <v>413</v>
      </c>
      <c r="W1196" t="s">
        <v>423</v>
      </c>
      <c r="Y1196" t="s">
        <v>49</v>
      </c>
    </row>
    <row r="1197" spans="2:25" x14ac:dyDescent="0.3">
      <c r="B1197" s="5" t="s">
        <v>77</v>
      </c>
      <c r="C1197" s="5" t="str">
        <f>VLOOKUP(B1197,[1]물질정보!B:C,2,0)</f>
        <v>140-88-5</v>
      </c>
      <c r="D1197" t="str">
        <f>VLOOKUP(B1197,[1]물질정보!B:D,3,0)</f>
        <v>ethyl acrylate</v>
      </c>
      <c r="E1197" t="str">
        <f>VLOOKUP(B1197,[1]물질정보!B:E,4,0)</f>
        <v>C5H8O2</v>
      </c>
      <c r="F1197" t="str">
        <f>VLOOKUP(B1197,[1]물질정보!B:F,5,0)</f>
        <v>100.12 g/mol</v>
      </c>
      <c r="G1197" s="5" t="str">
        <f>VLOOKUP(B1197,[1]물질정보!B:G,6,0)</f>
        <v>CCOC(=O)C=C</v>
      </c>
      <c r="I1197" t="s">
        <v>433</v>
      </c>
      <c r="J1197" t="s">
        <v>49</v>
      </c>
      <c r="K1197">
        <v>1.1140000000000001</v>
      </c>
      <c r="L1197" t="s">
        <v>39</v>
      </c>
      <c r="M1197" t="s">
        <v>428</v>
      </c>
      <c r="P1197">
        <v>96</v>
      </c>
      <c r="Q1197" t="s">
        <v>410</v>
      </c>
      <c r="R1197" t="s">
        <v>411</v>
      </c>
      <c r="U1197" t="s">
        <v>412</v>
      </c>
      <c r="V1197" s="6" t="s">
        <v>413</v>
      </c>
      <c r="W1197" t="s">
        <v>428</v>
      </c>
      <c r="Y1197" t="s">
        <v>49</v>
      </c>
    </row>
    <row r="1198" spans="2:25" x14ac:dyDescent="0.3">
      <c r="B1198" s="5" t="s">
        <v>77</v>
      </c>
      <c r="C1198" s="5" t="str">
        <f>VLOOKUP(B1198,[1]물질정보!B:C,2,0)</f>
        <v>140-88-5</v>
      </c>
      <c r="D1198" t="str">
        <f>VLOOKUP(B1198,[1]물질정보!B:D,3,0)</f>
        <v>ethyl acrylate</v>
      </c>
      <c r="E1198" t="str">
        <f>VLOOKUP(B1198,[1]물질정보!B:E,4,0)</f>
        <v>C5H8O2</v>
      </c>
      <c r="F1198" t="str">
        <f>VLOOKUP(B1198,[1]물질정보!B:F,5,0)</f>
        <v>100.12 g/mol</v>
      </c>
      <c r="G1198" s="5" t="str">
        <f>VLOOKUP(B1198,[1]물질정보!B:G,6,0)</f>
        <v>CCOC(=O)C=C</v>
      </c>
      <c r="I1198" t="s">
        <v>426</v>
      </c>
      <c r="J1198" t="s">
        <v>419</v>
      </c>
      <c r="K1198">
        <v>9.6000000000000002E-2</v>
      </c>
      <c r="L1198" t="s">
        <v>39</v>
      </c>
      <c r="M1198" t="s">
        <v>423</v>
      </c>
      <c r="R1198" t="s">
        <v>411</v>
      </c>
      <c r="U1198" t="s">
        <v>412</v>
      </c>
      <c r="V1198" s="6" t="s">
        <v>413</v>
      </c>
      <c r="W1198" t="s">
        <v>423</v>
      </c>
      <c r="Y1198" t="s">
        <v>419</v>
      </c>
    </row>
    <row r="1199" spans="2:25" x14ac:dyDescent="0.3">
      <c r="B1199" s="5" t="s">
        <v>77</v>
      </c>
      <c r="C1199" s="5" t="str">
        <f>VLOOKUP(B1199,[1]물질정보!B:C,2,0)</f>
        <v>140-88-5</v>
      </c>
      <c r="D1199" t="str">
        <f>VLOOKUP(B1199,[1]물질정보!B:D,3,0)</f>
        <v>ethyl acrylate</v>
      </c>
      <c r="E1199" t="str">
        <f>VLOOKUP(B1199,[1]물질정보!B:E,4,0)</f>
        <v>C5H8O2</v>
      </c>
      <c r="F1199" t="str">
        <f>VLOOKUP(B1199,[1]물질정보!B:F,5,0)</f>
        <v>100.12 g/mol</v>
      </c>
      <c r="G1199" s="5" t="str">
        <f>VLOOKUP(B1199,[1]물질정보!B:G,6,0)</f>
        <v>CCOC(=O)C=C</v>
      </c>
      <c r="I1199" t="s">
        <v>434</v>
      </c>
      <c r="J1199" t="s">
        <v>419</v>
      </c>
      <c r="K1199">
        <v>7.0000000000000007E-2</v>
      </c>
      <c r="L1199" t="s">
        <v>39</v>
      </c>
      <c r="M1199" t="s">
        <v>428</v>
      </c>
      <c r="R1199" t="s">
        <v>411</v>
      </c>
      <c r="U1199" t="s">
        <v>412</v>
      </c>
      <c r="V1199" s="6" t="s">
        <v>413</v>
      </c>
      <c r="W1199" t="s">
        <v>428</v>
      </c>
      <c r="Y1199" t="s">
        <v>419</v>
      </c>
    </row>
    <row r="1200" spans="2:25" x14ac:dyDescent="0.3">
      <c r="B1200" s="5" t="s">
        <v>67</v>
      </c>
      <c r="C1200" s="5" t="str">
        <f>VLOOKUP(B1200,[1]물질정보!B:C,2,0)</f>
        <v>818-61-1</v>
      </c>
      <c r="D1200" t="str">
        <f>VLOOKUP(B1200,[1]물질정보!B:D,3,0)</f>
        <v>2-hydroxyethyl acrylate</v>
      </c>
      <c r="E1200" t="str">
        <f>VLOOKUP(B1200,[1]물질정보!B:E,4,0)</f>
        <v>C5H8O3</v>
      </c>
      <c r="F1200" t="str">
        <f>VLOOKUP(B1200,[1]물질정보!B:F,5,0)</f>
        <v>116.11 g/mol</v>
      </c>
      <c r="G1200" s="5" t="str">
        <f>VLOOKUP(B1200,[1]물질정보!B:G,6,0)</f>
        <v>C=CC(=O)OCCO</v>
      </c>
      <c r="I1200" t="s">
        <v>432</v>
      </c>
      <c r="J1200" t="s">
        <v>49</v>
      </c>
      <c r="K1200">
        <v>2.2349999999999999</v>
      </c>
      <c r="L1200" t="s">
        <v>39</v>
      </c>
      <c r="M1200" t="s">
        <v>423</v>
      </c>
      <c r="P1200">
        <v>96</v>
      </c>
      <c r="Q1200" t="s">
        <v>410</v>
      </c>
      <c r="R1200" t="s">
        <v>411</v>
      </c>
      <c r="U1200" t="s">
        <v>412</v>
      </c>
      <c r="V1200" s="6" t="s">
        <v>413</v>
      </c>
      <c r="W1200" t="s">
        <v>423</v>
      </c>
      <c r="Y1200" t="s">
        <v>49</v>
      </c>
    </row>
    <row r="1201" spans="2:25" x14ac:dyDescent="0.3">
      <c r="B1201" s="5" t="s">
        <v>67</v>
      </c>
      <c r="C1201" s="5" t="str">
        <f>VLOOKUP(B1201,[1]물질정보!B:C,2,0)</f>
        <v>818-61-1</v>
      </c>
      <c r="D1201" t="str">
        <f>VLOOKUP(B1201,[1]물질정보!B:D,3,0)</f>
        <v>2-hydroxyethyl acrylate</v>
      </c>
      <c r="E1201" t="str">
        <f>VLOOKUP(B1201,[1]물질정보!B:E,4,0)</f>
        <v>C5H8O3</v>
      </c>
      <c r="F1201" t="str">
        <f>VLOOKUP(B1201,[1]물질정보!B:F,5,0)</f>
        <v>116.11 g/mol</v>
      </c>
      <c r="G1201" s="5" t="str">
        <f>VLOOKUP(B1201,[1]물질정보!B:G,6,0)</f>
        <v>C=CC(=O)OCCO</v>
      </c>
      <c r="I1201" t="s">
        <v>433</v>
      </c>
      <c r="J1201" t="s">
        <v>49</v>
      </c>
      <c r="K1201">
        <v>6.0270000000000001</v>
      </c>
      <c r="L1201" t="s">
        <v>39</v>
      </c>
      <c r="M1201" t="s">
        <v>428</v>
      </c>
      <c r="P1201">
        <v>96</v>
      </c>
      <c r="Q1201" t="s">
        <v>410</v>
      </c>
      <c r="R1201" t="s">
        <v>411</v>
      </c>
      <c r="U1201" t="s">
        <v>412</v>
      </c>
      <c r="V1201" s="6" t="s">
        <v>413</v>
      </c>
      <c r="W1201" t="s">
        <v>428</v>
      </c>
      <c r="Y1201" t="s">
        <v>49</v>
      </c>
    </row>
    <row r="1202" spans="2:25" x14ac:dyDescent="0.3">
      <c r="B1202" s="5" t="s">
        <v>67</v>
      </c>
      <c r="C1202" s="5" t="str">
        <f>VLOOKUP(B1202,[1]물질정보!B:C,2,0)</f>
        <v>818-61-1</v>
      </c>
      <c r="D1202" t="str">
        <f>VLOOKUP(B1202,[1]물질정보!B:D,3,0)</f>
        <v>2-hydroxyethyl acrylate</v>
      </c>
      <c r="E1202" t="str">
        <f>VLOOKUP(B1202,[1]물질정보!B:E,4,0)</f>
        <v>C5H8O3</v>
      </c>
      <c r="F1202" t="str">
        <f>VLOOKUP(B1202,[1]물질정보!B:F,5,0)</f>
        <v>116.11 g/mol</v>
      </c>
      <c r="G1202" s="5" t="str">
        <f>VLOOKUP(B1202,[1]물질정보!B:G,6,0)</f>
        <v>C=CC(=O)OCCO</v>
      </c>
      <c r="I1202" t="s">
        <v>426</v>
      </c>
      <c r="J1202" t="s">
        <v>419</v>
      </c>
      <c r="K1202">
        <v>0.26200000000000001</v>
      </c>
      <c r="L1202" t="s">
        <v>39</v>
      </c>
      <c r="M1202" t="s">
        <v>423</v>
      </c>
      <c r="R1202" t="s">
        <v>411</v>
      </c>
      <c r="U1202" t="s">
        <v>412</v>
      </c>
      <c r="V1202" s="6" t="s">
        <v>413</v>
      </c>
      <c r="W1202" t="s">
        <v>423</v>
      </c>
      <c r="Y1202" t="s">
        <v>419</v>
      </c>
    </row>
    <row r="1203" spans="2:25" x14ac:dyDescent="0.3">
      <c r="B1203" s="5" t="s">
        <v>67</v>
      </c>
      <c r="C1203" s="5" t="str">
        <f>VLOOKUP(B1203,[1]물질정보!B:C,2,0)</f>
        <v>818-61-1</v>
      </c>
      <c r="D1203" t="str">
        <f>VLOOKUP(B1203,[1]물질정보!B:D,3,0)</f>
        <v>2-hydroxyethyl acrylate</v>
      </c>
      <c r="E1203" t="str">
        <f>VLOOKUP(B1203,[1]물질정보!B:E,4,0)</f>
        <v>C5H8O3</v>
      </c>
      <c r="F1203" t="str">
        <f>VLOOKUP(B1203,[1]물질정보!B:F,5,0)</f>
        <v>116.11 g/mol</v>
      </c>
      <c r="G1203" s="5" t="str">
        <f>VLOOKUP(B1203,[1]물질정보!B:G,6,0)</f>
        <v>C=CC(=O)OCCO</v>
      </c>
      <c r="I1203" t="s">
        <v>434</v>
      </c>
      <c r="J1203" t="s">
        <v>419</v>
      </c>
      <c r="K1203">
        <v>1.542</v>
      </c>
      <c r="L1203" t="s">
        <v>39</v>
      </c>
      <c r="M1203" t="s">
        <v>428</v>
      </c>
      <c r="R1203" t="s">
        <v>411</v>
      </c>
      <c r="U1203" t="s">
        <v>412</v>
      </c>
      <c r="V1203" s="6" t="s">
        <v>413</v>
      </c>
      <c r="W1203" t="s">
        <v>428</v>
      </c>
      <c r="Y1203" t="s">
        <v>419</v>
      </c>
    </row>
    <row r="1204" spans="2:25" x14ac:dyDescent="0.3">
      <c r="B1204" s="5" t="s">
        <v>65</v>
      </c>
      <c r="C1204" s="5" t="str">
        <f>VLOOKUP(B1204,[1]물질정보!B:C,2,0)</f>
        <v>141-32-2</v>
      </c>
      <c r="D1204" t="str">
        <f>VLOOKUP(B1204,[1]물질정보!B:D,3,0)</f>
        <v>butyl acrylate</v>
      </c>
      <c r="E1204" t="str">
        <f>VLOOKUP(B1204,[1]물질정보!B:E,4,0)</f>
        <v>C7H12O2</v>
      </c>
      <c r="F1204" t="str">
        <f>VLOOKUP(B1204,[1]물질정보!B:F,5,0)</f>
        <v>128.169 g/mol</v>
      </c>
      <c r="G1204" s="5" t="str">
        <f>VLOOKUP(B1204,[1]물질정보!B:G,6,0)</f>
        <v>CCCCOC(=O)C=C</v>
      </c>
      <c r="I1204" t="s">
        <v>432</v>
      </c>
      <c r="J1204" t="s">
        <v>49</v>
      </c>
      <c r="K1204">
        <v>0.88500000000000001</v>
      </c>
      <c r="L1204" t="s">
        <v>39</v>
      </c>
      <c r="M1204" t="s">
        <v>423</v>
      </c>
      <c r="P1204">
        <v>96</v>
      </c>
      <c r="Q1204" t="s">
        <v>410</v>
      </c>
      <c r="R1204" t="s">
        <v>411</v>
      </c>
      <c r="U1204" t="s">
        <v>412</v>
      </c>
      <c r="V1204" s="6" t="s">
        <v>413</v>
      </c>
      <c r="W1204" t="s">
        <v>423</v>
      </c>
      <c r="Y1204" t="s">
        <v>49</v>
      </c>
    </row>
    <row r="1205" spans="2:25" x14ac:dyDescent="0.3">
      <c r="B1205" s="5" t="s">
        <v>65</v>
      </c>
      <c r="C1205" s="5" t="str">
        <f>VLOOKUP(B1205,[1]물질정보!B:C,2,0)</f>
        <v>141-32-2</v>
      </c>
      <c r="D1205" t="str">
        <f>VLOOKUP(B1205,[1]물질정보!B:D,3,0)</f>
        <v>butyl acrylate</v>
      </c>
      <c r="E1205" t="str">
        <f>VLOOKUP(B1205,[1]물질정보!B:E,4,0)</f>
        <v>C7H12O2</v>
      </c>
      <c r="F1205" t="str">
        <f>VLOOKUP(B1205,[1]물질정보!B:F,5,0)</f>
        <v>128.169 g/mol</v>
      </c>
      <c r="G1205" s="5" t="str">
        <f>VLOOKUP(B1205,[1]물질정보!B:G,6,0)</f>
        <v>CCCCOC(=O)C=C</v>
      </c>
      <c r="I1205" t="s">
        <v>433</v>
      </c>
      <c r="J1205" t="s">
        <v>49</v>
      </c>
      <c r="K1205">
        <v>0.50800000000000001</v>
      </c>
      <c r="L1205" t="s">
        <v>39</v>
      </c>
      <c r="M1205" t="s">
        <v>428</v>
      </c>
      <c r="P1205">
        <v>96</v>
      </c>
      <c r="Q1205" t="s">
        <v>410</v>
      </c>
      <c r="R1205" t="s">
        <v>411</v>
      </c>
      <c r="U1205" t="s">
        <v>412</v>
      </c>
      <c r="V1205" s="6" t="s">
        <v>413</v>
      </c>
      <c r="W1205" t="s">
        <v>428</v>
      </c>
      <c r="Y1205" t="s">
        <v>49</v>
      </c>
    </row>
    <row r="1206" spans="2:25" x14ac:dyDescent="0.3">
      <c r="B1206" s="5" t="s">
        <v>65</v>
      </c>
      <c r="C1206" s="5" t="str">
        <f>VLOOKUP(B1206,[1]물질정보!B:C,2,0)</f>
        <v>141-32-2</v>
      </c>
      <c r="D1206" t="str">
        <f>VLOOKUP(B1206,[1]물질정보!B:D,3,0)</f>
        <v>butyl acrylate</v>
      </c>
      <c r="E1206" t="str">
        <f>VLOOKUP(B1206,[1]물질정보!B:E,4,0)</f>
        <v>C7H12O2</v>
      </c>
      <c r="F1206" t="str">
        <f>VLOOKUP(B1206,[1]물질정보!B:F,5,0)</f>
        <v>128.169 g/mol</v>
      </c>
      <c r="G1206" s="5" t="str">
        <f>VLOOKUP(B1206,[1]물질정보!B:G,6,0)</f>
        <v>CCCCOC(=O)C=C</v>
      </c>
      <c r="I1206" t="s">
        <v>426</v>
      </c>
      <c r="J1206" t="s">
        <v>419</v>
      </c>
      <c r="K1206">
        <v>7.0000000000000007E-2</v>
      </c>
      <c r="L1206" t="s">
        <v>39</v>
      </c>
      <c r="M1206" t="s">
        <v>423</v>
      </c>
      <c r="R1206" t="s">
        <v>411</v>
      </c>
      <c r="U1206" t="s">
        <v>412</v>
      </c>
      <c r="V1206" s="6" t="s">
        <v>413</v>
      </c>
      <c r="W1206" t="s">
        <v>423</v>
      </c>
      <c r="Y1206" t="s">
        <v>419</v>
      </c>
    </row>
    <row r="1207" spans="2:25" x14ac:dyDescent="0.3">
      <c r="B1207" s="5" t="s">
        <v>65</v>
      </c>
      <c r="C1207" s="5" t="str">
        <f>VLOOKUP(B1207,[1]물질정보!B:C,2,0)</f>
        <v>141-32-2</v>
      </c>
      <c r="D1207" t="str">
        <f>VLOOKUP(B1207,[1]물질정보!B:D,3,0)</f>
        <v>butyl acrylate</v>
      </c>
      <c r="E1207" t="str">
        <f>VLOOKUP(B1207,[1]물질정보!B:E,4,0)</f>
        <v>C7H12O2</v>
      </c>
      <c r="F1207" t="str">
        <f>VLOOKUP(B1207,[1]물질정보!B:F,5,0)</f>
        <v>128.169 g/mol</v>
      </c>
      <c r="G1207" s="5" t="str">
        <f>VLOOKUP(B1207,[1]물질정보!B:G,6,0)</f>
        <v>CCCCOC(=O)C=C</v>
      </c>
      <c r="I1207" t="s">
        <v>434</v>
      </c>
      <c r="J1207" t="s">
        <v>419</v>
      </c>
      <c r="K1207">
        <v>1.2E-2</v>
      </c>
      <c r="L1207" t="s">
        <v>39</v>
      </c>
      <c r="M1207" t="s">
        <v>428</v>
      </c>
      <c r="R1207" t="s">
        <v>411</v>
      </c>
      <c r="U1207" t="s">
        <v>412</v>
      </c>
      <c r="V1207" s="6" t="s">
        <v>413</v>
      </c>
      <c r="W1207" t="s">
        <v>428</v>
      </c>
      <c r="Y1207" t="s">
        <v>419</v>
      </c>
    </row>
    <row r="1208" spans="2:25" x14ac:dyDescent="0.3">
      <c r="B1208" s="5" t="s">
        <v>64</v>
      </c>
      <c r="C1208" s="5" t="str">
        <f>VLOOKUP(B1208,[1]물질정보!B:C,2,0)</f>
        <v>2478-10-6</v>
      </c>
      <c r="D1208" t="str">
        <f>VLOOKUP(B1208,[1]물질정보!B:D,3,0)</f>
        <v>4-hydroxybutyl acrylate</v>
      </c>
      <c r="E1208" t="str">
        <f>VLOOKUP(B1208,[1]물질정보!B:E,4,0)</f>
        <v>C7H12O3</v>
      </c>
      <c r="F1208" t="str">
        <f>VLOOKUP(B1208,[1]물질정보!B:F,5,0)</f>
        <v>144.17 g/mol</v>
      </c>
      <c r="G1208" s="5" t="str">
        <f>VLOOKUP(B1208,[1]물질정보!B:G,6,0)</f>
        <v>C=CC(=O)OCCCCO</v>
      </c>
      <c r="I1208" t="s">
        <v>432</v>
      </c>
      <c r="J1208" t="s">
        <v>49</v>
      </c>
      <c r="K1208">
        <v>1.839</v>
      </c>
      <c r="L1208" t="s">
        <v>39</v>
      </c>
      <c r="M1208" t="s">
        <v>423</v>
      </c>
      <c r="P1208">
        <v>96</v>
      </c>
      <c r="Q1208" t="s">
        <v>410</v>
      </c>
      <c r="R1208" t="s">
        <v>411</v>
      </c>
      <c r="U1208" t="s">
        <v>412</v>
      </c>
      <c r="V1208" s="6" t="s">
        <v>413</v>
      </c>
      <c r="W1208" t="s">
        <v>423</v>
      </c>
      <c r="Y1208" t="s">
        <v>49</v>
      </c>
    </row>
    <row r="1209" spans="2:25" x14ac:dyDescent="0.3">
      <c r="B1209" s="5" t="s">
        <v>64</v>
      </c>
      <c r="C1209" s="5" t="str">
        <f>VLOOKUP(B1209,[1]물질정보!B:C,2,0)</f>
        <v>2478-10-6</v>
      </c>
      <c r="D1209" t="str">
        <f>VLOOKUP(B1209,[1]물질정보!B:D,3,0)</f>
        <v>4-hydroxybutyl acrylate</v>
      </c>
      <c r="E1209" t="str">
        <f>VLOOKUP(B1209,[1]물질정보!B:E,4,0)</f>
        <v>C7H12O3</v>
      </c>
      <c r="F1209" t="str">
        <f>VLOOKUP(B1209,[1]물질정보!B:F,5,0)</f>
        <v>144.17 g/mol</v>
      </c>
      <c r="G1209" s="5" t="str">
        <f>VLOOKUP(B1209,[1]물질정보!B:G,6,0)</f>
        <v>C=CC(=O)OCCCCO</v>
      </c>
      <c r="I1209" t="s">
        <v>433</v>
      </c>
      <c r="J1209" t="s">
        <v>49</v>
      </c>
      <c r="K1209">
        <v>2.6640000000000001</v>
      </c>
      <c r="L1209" t="s">
        <v>39</v>
      </c>
      <c r="M1209" t="s">
        <v>428</v>
      </c>
      <c r="P1209">
        <v>96</v>
      </c>
      <c r="Q1209" t="s">
        <v>410</v>
      </c>
      <c r="R1209" t="s">
        <v>411</v>
      </c>
      <c r="U1209" t="s">
        <v>412</v>
      </c>
      <c r="V1209" s="6" t="s">
        <v>413</v>
      </c>
      <c r="W1209" t="s">
        <v>428</v>
      </c>
      <c r="Y1209" t="s">
        <v>49</v>
      </c>
    </row>
    <row r="1210" spans="2:25" x14ac:dyDescent="0.3">
      <c r="B1210" s="5" t="s">
        <v>64</v>
      </c>
      <c r="C1210" s="5" t="str">
        <f>VLOOKUP(B1210,[1]물질정보!B:C,2,0)</f>
        <v>2478-10-6</v>
      </c>
      <c r="D1210" t="str">
        <f>VLOOKUP(B1210,[1]물질정보!B:D,3,0)</f>
        <v>4-hydroxybutyl acrylate</v>
      </c>
      <c r="E1210" t="str">
        <f>VLOOKUP(B1210,[1]물질정보!B:E,4,0)</f>
        <v>C7H12O3</v>
      </c>
      <c r="F1210" t="str">
        <f>VLOOKUP(B1210,[1]물질정보!B:F,5,0)</f>
        <v>144.17 g/mol</v>
      </c>
      <c r="G1210" s="5" t="str">
        <f>VLOOKUP(B1210,[1]물질정보!B:G,6,0)</f>
        <v>C=CC(=O)OCCCCO</v>
      </c>
      <c r="I1210" t="s">
        <v>426</v>
      </c>
      <c r="J1210" t="s">
        <v>419</v>
      </c>
      <c r="K1210">
        <v>0.184</v>
      </c>
      <c r="L1210" t="s">
        <v>39</v>
      </c>
      <c r="M1210" t="s">
        <v>423</v>
      </c>
      <c r="R1210" t="s">
        <v>411</v>
      </c>
      <c r="U1210" t="s">
        <v>412</v>
      </c>
      <c r="V1210" s="6" t="s">
        <v>413</v>
      </c>
      <c r="W1210" t="s">
        <v>423</v>
      </c>
      <c r="Y1210" t="s">
        <v>419</v>
      </c>
    </row>
    <row r="1211" spans="2:25" x14ac:dyDescent="0.3">
      <c r="B1211" s="5" t="s">
        <v>64</v>
      </c>
      <c r="C1211" s="5" t="str">
        <f>VLOOKUP(B1211,[1]물질정보!B:C,2,0)</f>
        <v>2478-10-6</v>
      </c>
      <c r="D1211" t="str">
        <f>VLOOKUP(B1211,[1]물질정보!B:D,3,0)</f>
        <v>4-hydroxybutyl acrylate</v>
      </c>
      <c r="E1211" t="str">
        <f>VLOOKUP(B1211,[1]물질정보!B:E,4,0)</f>
        <v>C7H12O3</v>
      </c>
      <c r="F1211" t="str">
        <f>VLOOKUP(B1211,[1]물질정보!B:F,5,0)</f>
        <v>144.17 g/mol</v>
      </c>
      <c r="G1211" s="5" t="str">
        <f>VLOOKUP(B1211,[1]물질정보!B:G,6,0)</f>
        <v>C=CC(=O)OCCCCO</v>
      </c>
      <c r="I1211" t="s">
        <v>434</v>
      </c>
      <c r="J1211" t="s">
        <v>419</v>
      </c>
      <c r="K1211">
        <v>0.26500000000000001</v>
      </c>
      <c r="L1211" t="s">
        <v>39</v>
      </c>
      <c r="M1211" t="s">
        <v>428</v>
      </c>
      <c r="R1211" t="s">
        <v>411</v>
      </c>
      <c r="U1211" t="s">
        <v>412</v>
      </c>
      <c r="V1211" s="6" t="s">
        <v>413</v>
      </c>
      <c r="W1211" t="s">
        <v>428</v>
      </c>
      <c r="Y1211" t="s">
        <v>419</v>
      </c>
    </row>
    <row r="1212" spans="2:25" x14ac:dyDescent="0.3">
      <c r="B1212" s="5" t="s">
        <v>59</v>
      </c>
      <c r="C1212" s="5" t="str">
        <f>VLOOKUP(B1212,[1]물질정보!B:C,2,0)</f>
        <v>2499-95-8</v>
      </c>
      <c r="D1212" t="str">
        <f>VLOOKUP(B1212,[1]물질정보!B:D,3,0)</f>
        <v>hexyl acrylate</v>
      </c>
      <c r="E1212" t="str">
        <f>VLOOKUP(B1212,[1]물질정보!B:E,4,0)</f>
        <v>C9H16O2</v>
      </c>
      <c r="F1212" t="str">
        <f>VLOOKUP(B1212,[1]물질정보!B:F,5,0)</f>
        <v>156.22 g/mol</v>
      </c>
      <c r="G1212" s="5" t="str">
        <f>VLOOKUP(B1212,[1]물질정보!B:G,6,0)</f>
        <v>CCCCCCOC(=O)C=C</v>
      </c>
      <c r="I1212" t="s">
        <v>432</v>
      </c>
      <c r="J1212" t="s">
        <v>49</v>
      </c>
      <c r="K1212">
        <v>0.71499999999999997</v>
      </c>
      <c r="L1212" t="s">
        <v>39</v>
      </c>
      <c r="M1212" t="s">
        <v>423</v>
      </c>
      <c r="P1212">
        <v>96</v>
      </c>
      <c r="Q1212" t="s">
        <v>410</v>
      </c>
      <c r="R1212" t="s">
        <v>411</v>
      </c>
      <c r="U1212" t="s">
        <v>412</v>
      </c>
      <c r="V1212" s="6" t="s">
        <v>413</v>
      </c>
      <c r="W1212" t="s">
        <v>423</v>
      </c>
      <c r="Y1212" t="s">
        <v>49</v>
      </c>
    </row>
    <row r="1213" spans="2:25" x14ac:dyDescent="0.3">
      <c r="B1213" s="5" t="s">
        <v>59</v>
      </c>
      <c r="C1213" s="5" t="str">
        <f>VLOOKUP(B1213,[1]물질정보!B:C,2,0)</f>
        <v>2499-95-8</v>
      </c>
      <c r="D1213" t="str">
        <f>VLOOKUP(B1213,[1]물질정보!B:D,3,0)</f>
        <v>hexyl acrylate</v>
      </c>
      <c r="E1213" t="str">
        <f>VLOOKUP(B1213,[1]물질정보!B:E,4,0)</f>
        <v>C9H16O2</v>
      </c>
      <c r="F1213" t="str">
        <f>VLOOKUP(B1213,[1]물질정보!B:F,5,0)</f>
        <v>156.22 g/mol</v>
      </c>
      <c r="G1213" s="5" t="str">
        <f>VLOOKUP(B1213,[1]물질정보!B:G,6,0)</f>
        <v>CCCCCCOC(=O)C=C</v>
      </c>
      <c r="I1213" t="s">
        <v>433</v>
      </c>
      <c r="J1213" t="s">
        <v>49</v>
      </c>
      <c r="K1213">
        <v>0.22</v>
      </c>
      <c r="L1213" t="s">
        <v>39</v>
      </c>
      <c r="M1213" t="s">
        <v>428</v>
      </c>
      <c r="P1213">
        <v>96</v>
      </c>
      <c r="Q1213" t="s">
        <v>410</v>
      </c>
      <c r="R1213" t="s">
        <v>411</v>
      </c>
      <c r="U1213" t="s">
        <v>412</v>
      </c>
      <c r="V1213" s="6" t="s">
        <v>413</v>
      </c>
      <c r="W1213" t="s">
        <v>428</v>
      </c>
      <c r="Y1213" t="s">
        <v>49</v>
      </c>
    </row>
    <row r="1214" spans="2:25" x14ac:dyDescent="0.3">
      <c r="B1214" s="5" t="s">
        <v>59</v>
      </c>
      <c r="C1214" s="5" t="str">
        <f>VLOOKUP(B1214,[1]물질정보!B:C,2,0)</f>
        <v>2499-95-8</v>
      </c>
      <c r="D1214" t="str">
        <f>VLOOKUP(B1214,[1]물질정보!B:D,3,0)</f>
        <v>hexyl acrylate</v>
      </c>
      <c r="E1214" t="str">
        <f>VLOOKUP(B1214,[1]물질정보!B:E,4,0)</f>
        <v>C9H16O2</v>
      </c>
      <c r="F1214" t="str">
        <f>VLOOKUP(B1214,[1]물질정보!B:F,5,0)</f>
        <v>156.22 g/mol</v>
      </c>
      <c r="G1214" s="5" t="str">
        <f>VLOOKUP(B1214,[1]물질정보!B:G,6,0)</f>
        <v>CCCCCCOC(=O)C=C</v>
      </c>
      <c r="I1214" t="s">
        <v>426</v>
      </c>
      <c r="J1214" t="s">
        <v>419</v>
      </c>
      <c r="K1214">
        <v>4.8000000000000001E-2</v>
      </c>
      <c r="L1214" t="s">
        <v>39</v>
      </c>
      <c r="M1214" t="s">
        <v>423</v>
      </c>
      <c r="R1214" t="s">
        <v>411</v>
      </c>
      <c r="U1214" t="s">
        <v>412</v>
      </c>
      <c r="V1214" s="6" t="s">
        <v>413</v>
      </c>
      <c r="W1214" t="s">
        <v>423</v>
      </c>
      <c r="Y1214" t="s">
        <v>419</v>
      </c>
    </row>
    <row r="1215" spans="2:25" x14ac:dyDescent="0.3">
      <c r="B1215" s="5" t="s">
        <v>59</v>
      </c>
      <c r="C1215" s="5" t="str">
        <f>VLOOKUP(B1215,[1]물질정보!B:C,2,0)</f>
        <v>2499-95-8</v>
      </c>
      <c r="D1215" t="str">
        <f>VLOOKUP(B1215,[1]물질정보!B:D,3,0)</f>
        <v>hexyl acrylate</v>
      </c>
      <c r="E1215" t="str">
        <f>VLOOKUP(B1215,[1]물질정보!B:E,4,0)</f>
        <v>C9H16O2</v>
      </c>
      <c r="F1215" t="str">
        <f>VLOOKUP(B1215,[1]물질정보!B:F,5,0)</f>
        <v>156.22 g/mol</v>
      </c>
      <c r="G1215" s="5" t="str">
        <f>VLOOKUP(B1215,[1]물질정보!B:G,6,0)</f>
        <v>CCCCCCOC(=O)C=C</v>
      </c>
      <c r="I1215" t="s">
        <v>434</v>
      </c>
      <c r="J1215" t="s">
        <v>419</v>
      </c>
      <c r="K1215">
        <v>2E-3</v>
      </c>
      <c r="L1215" t="s">
        <v>39</v>
      </c>
      <c r="M1215" t="s">
        <v>428</v>
      </c>
      <c r="R1215" t="s">
        <v>411</v>
      </c>
      <c r="U1215" t="s">
        <v>412</v>
      </c>
      <c r="V1215" s="6" t="s">
        <v>413</v>
      </c>
      <c r="W1215" t="s">
        <v>428</v>
      </c>
      <c r="Y1215" t="s">
        <v>419</v>
      </c>
    </row>
    <row r="1216" spans="2:25" x14ac:dyDescent="0.3">
      <c r="B1216" s="5" t="s">
        <v>70</v>
      </c>
      <c r="C1216" s="5" t="str">
        <f>VLOOKUP(B1216,[1]물질정보!B:C,2,0)</f>
        <v>10095-14-4</v>
      </c>
      <c r="D1216" t="str">
        <f>VLOOKUP(B1216,[1]물질정보!B:D,3,0)</f>
        <v>6-hydroxybutyl acrylate</v>
      </c>
      <c r="E1216" t="str">
        <f>VLOOKUP(B1216,[1]물질정보!B:E,4,0)</f>
        <v>C9H16O3</v>
      </c>
      <c r="F1216" t="str">
        <f>VLOOKUP(B1216,[1]물질정보!B:F,5,0)</f>
        <v>172.22 g/mol</v>
      </c>
      <c r="G1216" s="5" t="str">
        <f>VLOOKUP(B1216,[1]물질정보!B:G,6,0)</f>
        <v>C=CC(=O)OCCCCCCO</v>
      </c>
      <c r="I1216" t="s">
        <v>432</v>
      </c>
      <c r="J1216" t="s">
        <v>49</v>
      </c>
      <c r="K1216">
        <v>1.456</v>
      </c>
      <c r="L1216" t="s">
        <v>39</v>
      </c>
      <c r="M1216" t="s">
        <v>423</v>
      </c>
      <c r="P1216">
        <v>96</v>
      </c>
      <c r="Q1216" t="s">
        <v>410</v>
      </c>
      <c r="R1216" t="s">
        <v>411</v>
      </c>
      <c r="U1216" t="s">
        <v>412</v>
      </c>
      <c r="V1216" s="6" t="s">
        <v>413</v>
      </c>
      <c r="W1216" t="s">
        <v>423</v>
      </c>
      <c r="Y1216" t="s">
        <v>49</v>
      </c>
    </row>
    <row r="1217" spans="2:25" x14ac:dyDescent="0.3">
      <c r="B1217" s="5" t="s">
        <v>70</v>
      </c>
      <c r="C1217" s="5" t="str">
        <f>VLOOKUP(B1217,[1]물질정보!B:C,2,0)</f>
        <v>10095-14-4</v>
      </c>
      <c r="D1217" t="str">
        <f>VLOOKUP(B1217,[1]물질정보!B:D,3,0)</f>
        <v>6-hydroxybutyl acrylate</v>
      </c>
      <c r="E1217" t="str">
        <f>VLOOKUP(B1217,[1]물질정보!B:E,4,0)</f>
        <v>C9H16O3</v>
      </c>
      <c r="F1217" t="str">
        <f>VLOOKUP(B1217,[1]물질정보!B:F,5,0)</f>
        <v>172.22 g/mol</v>
      </c>
      <c r="G1217" s="5" t="str">
        <f>VLOOKUP(B1217,[1]물질정보!B:G,6,0)</f>
        <v>C=CC(=O)OCCCCCCO</v>
      </c>
      <c r="I1217" t="s">
        <v>433</v>
      </c>
      <c r="J1217" t="s">
        <v>49</v>
      </c>
      <c r="K1217">
        <v>1.133</v>
      </c>
      <c r="L1217" t="s">
        <v>39</v>
      </c>
      <c r="M1217" t="s">
        <v>428</v>
      </c>
      <c r="P1217">
        <v>96</v>
      </c>
      <c r="Q1217" t="s">
        <v>410</v>
      </c>
      <c r="R1217" t="s">
        <v>411</v>
      </c>
      <c r="U1217" t="s">
        <v>412</v>
      </c>
      <c r="V1217" s="6" t="s">
        <v>413</v>
      </c>
      <c r="W1217" t="s">
        <v>428</v>
      </c>
      <c r="Y1217" t="s">
        <v>49</v>
      </c>
    </row>
    <row r="1218" spans="2:25" x14ac:dyDescent="0.3">
      <c r="B1218" s="5" t="s">
        <v>70</v>
      </c>
      <c r="C1218" s="5" t="str">
        <f>VLOOKUP(B1218,[1]물질정보!B:C,2,0)</f>
        <v>10095-14-4</v>
      </c>
      <c r="D1218" t="str">
        <f>VLOOKUP(B1218,[1]물질정보!B:D,3,0)</f>
        <v>6-hydroxybutyl acrylate</v>
      </c>
      <c r="E1218" t="str">
        <f>VLOOKUP(B1218,[1]물질정보!B:E,4,0)</f>
        <v>C9H16O3</v>
      </c>
      <c r="F1218" t="str">
        <f>VLOOKUP(B1218,[1]물질정보!B:F,5,0)</f>
        <v>172.22 g/mol</v>
      </c>
      <c r="G1218" s="5" t="str">
        <f>VLOOKUP(B1218,[1]물질정보!B:G,6,0)</f>
        <v>C=CC(=O)OCCCCCCO</v>
      </c>
      <c r="I1218" t="s">
        <v>426</v>
      </c>
      <c r="J1218" t="s">
        <v>419</v>
      </c>
      <c r="K1218">
        <v>0.124</v>
      </c>
      <c r="L1218" t="s">
        <v>39</v>
      </c>
      <c r="M1218" t="s">
        <v>423</v>
      </c>
      <c r="R1218" t="s">
        <v>411</v>
      </c>
      <c r="U1218" t="s">
        <v>412</v>
      </c>
      <c r="V1218" s="6" t="s">
        <v>413</v>
      </c>
      <c r="W1218" t="s">
        <v>423</v>
      </c>
      <c r="Y1218" t="s">
        <v>419</v>
      </c>
    </row>
    <row r="1219" spans="2:25" x14ac:dyDescent="0.3">
      <c r="B1219" s="5" t="s">
        <v>70</v>
      </c>
      <c r="C1219" s="5" t="str">
        <f>VLOOKUP(B1219,[1]물질정보!B:C,2,0)</f>
        <v>10095-14-4</v>
      </c>
      <c r="D1219" t="str">
        <f>VLOOKUP(B1219,[1]물질정보!B:D,3,0)</f>
        <v>6-hydroxybutyl acrylate</v>
      </c>
      <c r="E1219" t="str">
        <f>VLOOKUP(B1219,[1]물질정보!B:E,4,0)</f>
        <v>C9H16O3</v>
      </c>
      <c r="F1219" t="str">
        <f>VLOOKUP(B1219,[1]물질정보!B:F,5,0)</f>
        <v>172.22 g/mol</v>
      </c>
      <c r="G1219" s="5" t="str">
        <f>VLOOKUP(B1219,[1]물질정보!B:G,6,0)</f>
        <v>C=CC(=O)OCCCCCCO</v>
      </c>
      <c r="I1219" t="s">
        <v>434</v>
      </c>
      <c r="J1219" t="s">
        <v>419</v>
      </c>
      <c r="K1219">
        <v>4.3999999999999997E-2</v>
      </c>
      <c r="L1219" t="s">
        <v>39</v>
      </c>
      <c r="M1219" t="s">
        <v>428</v>
      </c>
      <c r="R1219" t="s">
        <v>411</v>
      </c>
      <c r="U1219" t="s">
        <v>412</v>
      </c>
      <c r="V1219" s="6" t="s">
        <v>413</v>
      </c>
      <c r="W1219" t="s">
        <v>428</v>
      </c>
      <c r="Y1219" t="s">
        <v>419</v>
      </c>
    </row>
    <row r="1220" spans="2:25" x14ac:dyDescent="0.3">
      <c r="B1220" s="5" t="s">
        <v>69</v>
      </c>
      <c r="C1220" s="7" t="s">
        <v>435</v>
      </c>
      <c r="D1220" t="str">
        <f>VLOOKUP(B1220,[2]물질정보!B:D,3,0)</f>
        <v>2-hydroxyethyl methacrylate</v>
      </c>
      <c r="E1220" t="str">
        <f>VLOOKUP(B1220,[2]물질정보!B:E,4,0)</f>
        <v>C6H10O3</v>
      </c>
      <c r="F1220" t="str">
        <f>VLOOKUP(B1220,[2]물질정보!B:F,5,0)</f>
        <v>130.139 g/mol</v>
      </c>
      <c r="G1220" t="str">
        <f>VLOOKUP(B1220,[2]물질정보!B:G,6,0)</f>
        <v>CC(=C)C(=O)OCCO</v>
      </c>
      <c r="H1220" t="s">
        <v>79</v>
      </c>
      <c r="I1220" t="s">
        <v>80</v>
      </c>
      <c r="J1220" t="s">
        <v>436</v>
      </c>
      <c r="K1220">
        <v>2000</v>
      </c>
      <c r="L1220" t="s">
        <v>437</v>
      </c>
      <c r="M1220" t="s">
        <v>438</v>
      </c>
      <c r="N1220" t="s">
        <v>439</v>
      </c>
      <c r="O1220" t="s">
        <v>166</v>
      </c>
      <c r="P1220">
        <v>24</v>
      </c>
      <c r="Q1220" t="s">
        <v>440</v>
      </c>
      <c r="R1220" t="s">
        <v>441</v>
      </c>
      <c r="S1220" t="s">
        <v>442</v>
      </c>
      <c r="T1220" t="s">
        <v>29</v>
      </c>
      <c r="U1220" t="s">
        <v>29</v>
      </c>
      <c r="V1220" s="6" t="s">
        <v>443</v>
      </c>
      <c r="W1220" t="s">
        <v>438</v>
      </c>
      <c r="X1220" t="s">
        <v>444</v>
      </c>
      <c r="Y1220" s="6" t="s">
        <v>436</v>
      </c>
    </row>
    <row r="1221" spans="2:25" x14ac:dyDescent="0.3">
      <c r="B1221" s="5" t="s">
        <v>69</v>
      </c>
      <c r="C1221" s="7" t="s">
        <v>435</v>
      </c>
      <c r="D1221" t="str">
        <f>VLOOKUP(B1221,[2]물질정보!B:D,3,0)</f>
        <v>2-hydroxyethyl methacrylate</v>
      </c>
      <c r="E1221" t="str">
        <f>VLOOKUP(B1221,[2]물질정보!B:E,4,0)</f>
        <v>C6H10O3</v>
      </c>
      <c r="F1221" t="str">
        <f>VLOOKUP(B1221,[2]물질정보!B:F,5,0)</f>
        <v>130.139 g/mol</v>
      </c>
      <c r="G1221" t="str">
        <f>VLOOKUP(B1221,[2]물질정보!B:G,6,0)</f>
        <v>CC(=C)C(=O)OCCO</v>
      </c>
      <c r="H1221" t="s">
        <v>79</v>
      </c>
      <c r="I1221" t="s">
        <v>137</v>
      </c>
      <c r="J1221" t="s">
        <v>89</v>
      </c>
      <c r="K1221" t="s">
        <v>90</v>
      </c>
      <c r="L1221" t="s">
        <v>29</v>
      </c>
      <c r="M1221" t="s">
        <v>445</v>
      </c>
      <c r="N1221" t="s">
        <v>446</v>
      </c>
      <c r="O1221" t="s">
        <v>29</v>
      </c>
      <c r="P1221" t="s">
        <v>29</v>
      </c>
      <c r="Q1221" t="s">
        <v>29</v>
      </c>
      <c r="R1221" t="s">
        <v>441</v>
      </c>
      <c r="S1221" t="s">
        <v>447</v>
      </c>
      <c r="T1221" t="s">
        <v>29</v>
      </c>
      <c r="U1221" t="s">
        <v>29</v>
      </c>
      <c r="V1221" s="6" t="s">
        <v>443</v>
      </c>
      <c r="W1221" t="s">
        <v>445</v>
      </c>
      <c r="X1221" t="s">
        <v>29</v>
      </c>
      <c r="Y1221" s="6" t="s">
        <v>89</v>
      </c>
    </row>
    <row r="1222" spans="2:25" x14ac:dyDescent="0.3">
      <c r="B1222" s="5" t="s">
        <v>69</v>
      </c>
      <c r="C1222" s="7" t="s">
        <v>435</v>
      </c>
      <c r="D1222" t="str">
        <f>VLOOKUP(B1222,[2]물질정보!B:D,3,0)</f>
        <v>2-hydroxyethyl methacrylate</v>
      </c>
      <c r="E1222" t="str">
        <f>VLOOKUP(B1222,[2]물질정보!B:E,4,0)</f>
        <v>C6H10O3</v>
      </c>
      <c r="F1222" t="str">
        <f>VLOOKUP(B1222,[2]물질정보!B:F,5,0)</f>
        <v>130.139 g/mol</v>
      </c>
      <c r="G1222" t="str">
        <f>VLOOKUP(B1222,[2]물질정보!B:G,6,0)</f>
        <v>CC(=C)C(=O)OCCO</v>
      </c>
      <c r="H1222" t="s">
        <v>79</v>
      </c>
      <c r="I1222" t="s">
        <v>137</v>
      </c>
      <c r="J1222" t="s">
        <v>89</v>
      </c>
      <c r="K1222" t="s">
        <v>90</v>
      </c>
      <c r="L1222" t="s">
        <v>29</v>
      </c>
      <c r="M1222" t="s">
        <v>448</v>
      </c>
      <c r="N1222" t="s">
        <v>449</v>
      </c>
      <c r="O1222" t="s">
        <v>29</v>
      </c>
      <c r="P1222" t="s">
        <v>29</v>
      </c>
      <c r="Q1222" t="s">
        <v>29</v>
      </c>
      <c r="R1222" t="s">
        <v>441</v>
      </c>
      <c r="S1222" t="s">
        <v>447</v>
      </c>
      <c r="T1222" t="s">
        <v>29</v>
      </c>
      <c r="U1222" t="s">
        <v>29</v>
      </c>
      <c r="V1222" s="6" t="s">
        <v>443</v>
      </c>
      <c r="W1222" t="s">
        <v>448</v>
      </c>
      <c r="X1222" t="s">
        <v>29</v>
      </c>
      <c r="Y1222" s="6" t="s">
        <v>89</v>
      </c>
    </row>
    <row r="1223" spans="2:25" x14ac:dyDescent="0.3">
      <c r="B1223" s="5" t="s">
        <v>69</v>
      </c>
      <c r="C1223" s="7" t="s">
        <v>435</v>
      </c>
      <c r="D1223" t="str">
        <f>VLOOKUP(B1223,[2]물질정보!B:D,3,0)</f>
        <v>2-hydroxyethyl methacrylate</v>
      </c>
      <c r="E1223" t="str">
        <f>VLOOKUP(B1223,[2]물질정보!B:E,4,0)</f>
        <v>C6H10O3</v>
      </c>
      <c r="F1223" t="str">
        <f>VLOOKUP(B1223,[2]물질정보!B:F,5,0)</f>
        <v>130.139 g/mol</v>
      </c>
      <c r="G1223" t="str">
        <f>VLOOKUP(B1223,[2]물질정보!B:G,6,0)</f>
        <v>CC(=C)C(=O)OCCO</v>
      </c>
      <c r="H1223" t="s">
        <v>79</v>
      </c>
      <c r="I1223" t="s">
        <v>137</v>
      </c>
      <c r="J1223" t="s">
        <v>89</v>
      </c>
      <c r="K1223" t="s">
        <v>90</v>
      </c>
      <c r="L1223" t="s">
        <v>29</v>
      </c>
      <c r="M1223" t="s">
        <v>445</v>
      </c>
      <c r="N1223" t="s">
        <v>446</v>
      </c>
      <c r="O1223" t="s">
        <v>29</v>
      </c>
      <c r="P1223" t="s">
        <v>29</v>
      </c>
      <c r="Q1223" t="s">
        <v>29</v>
      </c>
      <c r="R1223" t="s">
        <v>441</v>
      </c>
      <c r="S1223" t="s">
        <v>450</v>
      </c>
      <c r="T1223" t="s">
        <v>29</v>
      </c>
      <c r="U1223" t="s">
        <v>29</v>
      </c>
      <c r="V1223" s="6" t="s">
        <v>443</v>
      </c>
      <c r="W1223" t="s">
        <v>445</v>
      </c>
      <c r="X1223" t="s">
        <v>29</v>
      </c>
      <c r="Y1223" s="6" t="s">
        <v>89</v>
      </c>
    </row>
    <row r="1224" spans="2:25" x14ac:dyDescent="0.3">
      <c r="B1224" s="5" t="s">
        <v>69</v>
      </c>
      <c r="C1224" s="7" t="s">
        <v>435</v>
      </c>
      <c r="D1224" t="str">
        <f>VLOOKUP(B1224,[2]물질정보!B:D,3,0)</f>
        <v>2-hydroxyethyl methacrylate</v>
      </c>
      <c r="E1224" t="str">
        <f>VLOOKUP(B1224,[2]물질정보!B:E,4,0)</f>
        <v>C6H10O3</v>
      </c>
      <c r="F1224" t="str">
        <f>VLOOKUP(B1224,[2]물질정보!B:F,5,0)</f>
        <v>130.139 g/mol</v>
      </c>
      <c r="G1224" t="str">
        <f>VLOOKUP(B1224,[2]물질정보!B:G,6,0)</f>
        <v>CC(=C)C(=O)OCCO</v>
      </c>
      <c r="H1224" t="s">
        <v>79</v>
      </c>
      <c r="I1224" t="s">
        <v>137</v>
      </c>
      <c r="J1224" t="s">
        <v>89</v>
      </c>
      <c r="K1224" t="s">
        <v>90</v>
      </c>
      <c r="L1224" t="s">
        <v>29</v>
      </c>
      <c r="M1224" t="s">
        <v>448</v>
      </c>
      <c r="N1224" t="s">
        <v>449</v>
      </c>
      <c r="O1224" t="s">
        <v>29</v>
      </c>
      <c r="P1224" t="s">
        <v>29</v>
      </c>
      <c r="Q1224" t="s">
        <v>29</v>
      </c>
      <c r="R1224" t="s">
        <v>441</v>
      </c>
      <c r="S1224" t="s">
        <v>450</v>
      </c>
      <c r="T1224" t="s">
        <v>29</v>
      </c>
      <c r="U1224" t="s">
        <v>29</v>
      </c>
      <c r="V1224" s="6" t="s">
        <v>443</v>
      </c>
      <c r="W1224" t="s">
        <v>448</v>
      </c>
      <c r="X1224" t="s">
        <v>29</v>
      </c>
      <c r="Y1224" s="6" t="s">
        <v>89</v>
      </c>
    </row>
    <row r="1225" spans="2:25" x14ac:dyDescent="0.3">
      <c r="B1225" s="5" t="s">
        <v>69</v>
      </c>
      <c r="C1225" s="7" t="s">
        <v>435</v>
      </c>
      <c r="D1225" t="str">
        <f>VLOOKUP(B1225,[2]물질정보!B:D,3,0)</f>
        <v>2-hydroxyethyl methacrylate</v>
      </c>
      <c r="E1225" t="str">
        <f>VLOOKUP(B1225,[2]물질정보!B:E,4,0)</f>
        <v>C6H10O3</v>
      </c>
      <c r="F1225" t="str">
        <f>VLOOKUP(B1225,[2]물질정보!B:F,5,0)</f>
        <v>130.139 g/mol</v>
      </c>
      <c r="G1225" t="str">
        <f>VLOOKUP(B1225,[2]물질정보!B:G,6,0)</f>
        <v>CC(=C)C(=O)OCCO</v>
      </c>
      <c r="H1225" t="s">
        <v>79</v>
      </c>
      <c r="I1225" t="s">
        <v>97</v>
      </c>
      <c r="J1225" t="s">
        <v>98</v>
      </c>
      <c r="K1225" t="s">
        <v>99</v>
      </c>
      <c r="L1225" t="s">
        <v>29</v>
      </c>
      <c r="M1225" t="s">
        <v>451</v>
      </c>
      <c r="N1225" t="s">
        <v>452</v>
      </c>
      <c r="O1225" t="s">
        <v>29</v>
      </c>
      <c r="P1225" t="s">
        <v>29</v>
      </c>
      <c r="Q1225" t="s">
        <v>29</v>
      </c>
      <c r="R1225" t="s">
        <v>441</v>
      </c>
      <c r="S1225" t="s">
        <v>453</v>
      </c>
      <c r="T1225" t="s">
        <v>29</v>
      </c>
      <c r="U1225" t="s">
        <v>29</v>
      </c>
      <c r="V1225" s="6" t="s">
        <v>443</v>
      </c>
      <c r="W1225" t="s">
        <v>101</v>
      </c>
      <c r="X1225" t="s">
        <v>29</v>
      </c>
      <c r="Y1225" s="6" t="s">
        <v>98</v>
      </c>
    </row>
    <row r="1226" spans="2:25" x14ac:dyDescent="0.3">
      <c r="B1226" s="5" t="s">
        <v>69</v>
      </c>
      <c r="C1226" s="7" t="s">
        <v>435</v>
      </c>
      <c r="D1226" t="str">
        <f>VLOOKUP(B1226,[2]물질정보!B:D,3,0)</f>
        <v>2-hydroxyethyl methacrylate</v>
      </c>
      <c r="E1226" t="str">
        <f>VLOOKUP(B1226,[2]물질정보!B:E,4,0)</f>
        <v>C6H10O3</v>
      </c>
      <c r="F1226" t="str">
        <f>VLOOKUP(B1226,[2]물질정보!B:F,5,0)</f>
        <v>130.139 g/mol</v>
      </c>
      <c r="G1226" t="str">
        <f>VLOOKUP(B1226,[2]물질정보!B:G,6,0)</f>
        <v>CC(=C)C(=O)OCCO</v>
      </c>
      <c r="H1226" t="s">
        <v>79</v>
      </c>
      <c r="I1226" t="s">
        <v>97</v>
      </c>
      <c r="J1226" t="s">
        <v>98</v>
      </c>
      <c r="K1226" t="s">
        <v>99</v>
      </c>
      <c r="L1226" t="s">
        <v>29</v>
      </c>
      <c r="M1226" t="s">
        <v>451</v>
      </c>
      <c r="N1226" t="s">
        <v>452</v>
      </c>
      <c r="O1226" t="s">
        <v>29</v>
      </c>
      <c r="P1226" t="s">
        <v>29</v>
      </c>
      <c r="Q1226" t="s">
        <v>29</v>
      </c>
      <c r="R1226" t="s">
        <v>441</v>
      </c>
      <c r="S1226" t="s">
        <v>454</v>
      </c>
      <c r="T1226" t="s">
        <v>29</v>
      </c>
      <c r="U1226" t="s">
        <v>29</v>
      </c>
      <c r="V1226" s="6" t="s">
        <v>443</v>
      </c>
      <c r="W1226" t="s">
        <v>101</v>
      </c>
      <c r="X1226" t="s">
        <v>29</v>
      </c>
      <c r="Y1226" s="6" t="s">
        <v>98</v>
      </c>
    </row>
    <row r="1227" spans="2:25" x14ac:dyDescent="0.3">
      <c r="B1227" s="5" t="s">
        <v>69</v>
      </c>
      <c r="C1227" s="7" t="s">
        <v>435</v>
      </c>
      <c r="D1227" t="str">
        <f>VLOOKUP(B1227,[2]물질정보!B:D,3,0)</f>
        <v>2-hydroxyethyl methacrylate</v>
      </c>
      <c r="E1227" t="str">
        <f>VLOOKUP(B1227,[2]물질정보!B:E,4,0)</f>
        <v>C6H10O3</v>
      </c>
      <c r="F1227" t="str">
        <f>VLOOKUP(B1227,[2]물질정보!B:F,5,0)</f>
        <v>130.139 g/mol</v>
      </c>
      <c r="G1227" t="str">
        <f>VLOOKUP(B1227,[2]물질정보!B:G,6,0)</f>
        <v>CC(=C)C(=O)OCCO</v>
      </c>
      <c r="H1227" t="s">
        <v>26</v>
      </c>
      <c r="I1227" t="s">
        <v>127</v>
      </c>
      <c r="J1227" t="s">
        <v>128</v>
      </c>
      <c r="K1227">
        <v>100</v>
      </c>
      <c r="L1227" t="s">
        <v>129</v>
      </c>
      <c r="M1227" t="s">
        <v>249</v>
      </c>
      <c r="N1227" t="s">
        <v>29</v>
      </c>
      <c r="O1227" t="s">
        <v>29</v>
      </c>
      <c r="P1227">
        <v>96</v>
      </c>
      <c r="Q1227" t="s">
        <v>31</v>
      </c>
      <c r="R1227" t="s">
        <v>441</v>
      </c>
      <c r="S1227" t="s">
        <v>455</v>
      </c>
      <c r="T1227" t="s">
        <v>29</v>
      </c>
      <c r="U1227" t="s">
        <v>29</v>
      </c>
      <c r="V1227" s="6" t="s">
        <v>443</v>
      </c>
      <c r="W1227" t="s">
        <v>249</v>
      </c>
      <c r="X1227" t="s">
        <v>456</v>
      </c>
      <c r="Y1227" s="6" t="s">
        <v>128</v>
      </c>
    </row>
    <row r="1228" spans="2:25" x14ac:dyDescent="0.3">
      <c r="B1228" s="5" t="s">
        <v>69</v>
      </c>
      <c r="C1228" s="7" t="s">
        <v>435</v>
      </c>
      <c r="D1228" t="str">
        <f>VLOOKUP(B1228,[2]물질정보!B:D,3,0)</f>
        <v>2-hydroxyethyl methacrylate</v>
      </c>
      <c r="E1228" t="str">
        <f>VLOOKUP(B1228,[2]물질정보!B:E,4,0)</f>
        <v>C6H10O3</v>
      </c>
      <c r="F1228" t="str">
        <f>VLOOKUP(B1228,[2]물질정보!B:F,5,0)</f>
        <v>130.139 g/mol</v>
      </c>
      <c r="G1228" t="str">
        <f>VLOOKUP(B1228,[2]물질정보!B:G,6,0)</f>
        <v>CC(=C)C(=O)OCCO</v>
      </c>
      <c r="H1228" t="s">
        <v>26</v>
      </c>
      <c r="I1228" t="s">
        <v>132</v>
      </c>
      <c r="J1228" t="s">
        <v>457</v>
      </c>
      <c r="K1228">
        <v>171</v>
      </c>
      <c r="L1228" t="s">
        <v>129</v>
      </c>
      <c r="M1228" t="s">
        <v>47</v>
      </c>
      <c r="N1228" t="s">
        <v>29</v>
      </c>
      <c r="O1228" t="s">
        <v>29</v>
      </c>
      <c r="P1228">
        <v>48</v>
      </c>
      <c r="Q1228" t="s">
        <v>440</v>
      </c>
      <c r="R1228" t="s">
        <v>441</v>
      </c>
      <c r="S1228" s="8" t="s">
        <v>458</v>
      </c>
      <c r="T1228" t="s">
        <v>29</v>
      </c>
      <c r="U1228" t="s">
        <v>29</v>
      </c>
      <c r="V1228" s="6" t="s">
        <v>443</v>
      </c>
      <c r="W1228" t="s">
        <v>47</v>
      </c>
      <c r="X1228" t="s">
        <v>459</v>
      </c>
      <c r="Y1228" s="6" t="s">
        <v>457</v>
      </c>
    </row>
    <row r="1229" spans="2:25" x14ac:dyDescent="0.3">
      <c r="B1229" s="5" t="s">
        <v>69</v>
      </c>
      <c r="C1229" s="7" t="s">
        <v>435</v>
      </c>
      <c r="D1229" t="str">
        <f>VLOOKUP(B1229,[2]물질정보!B:D,3,0)</f>
        <v>2-hydroxyethyl methacrylate</v>
      </c>
      <c r="E1229" t="str">
        <f>VLOOKUP(B1229,[2]물질정보!B:E,4,0)</f>
        <v>C6H10O3</v>
      </c>
      <c r="F1229" t="str">
        <f>VLOOKUP(B1229,[2]물질정보!B:F,5,0)</f>
        <v>130.139 g/mol</v>
      </c>
      <c r="G1229" t="str">
        <f>VLOOKUP(B1229,[2]물질정보!B:G,6,0)</f>
        <v>CC(=C)C(=O)OCCO</v>
      </c>
      <c r="H1229" t="s">
        <v>26</v>
      </c>
      <c r="I1229" t="s">
        <v>132</v>
      </c>
      <c r="J1229" t="s">
        <v>460</v>
      </c>
      <c r="K1229">
        <v>380</v>
      </c>
      <c r="L1229" t="s">
        <v>129</v>
      </c>
      <c r="M1229" t="s">
        <v>47</v>
      </c>
      <c r="N1229" t="s">
        <v>29</v>
      </c>
      <c r="O1229" t="s">
        <v>29</v>
      </c>
      <c r="P1229">
        <v>48</v>
      </c>
      <c r="Q1229" t="s">
        <v>440</v>
      </c>
      <c r="R1229" t="s">
        <v>441</v>
      </c>
      <c r="S1229" s="8" t="s">
        <v>458</v>
      </c>
      <c r="T1229" t="s">
        <v>29</v>
      </c>
      <c r="U1229" t="s">
        <v>29</v>
      </c>
      <c r="V1229" s="6" t="s">
        <v>443</v>
      </c>
      <c r="W1229" t="s">
        <v>47</v>
      </c>
      <c r="X1229" t="s">
        <v>459</v>
      </c>
      <c r="Y1229" s="6" t="s">
        <v>460</v>
      </c>
    </row>
    <row r="1230" spans="2:25" x14ac:dyDescent="0.3">
      <c r="B1230" s="5" t="s">
        <v>69</v>
      </c>
      <c r="C1230" s="7" t="s">
        <v>435</v>
      </c>
      <c r="D1230" t="str">
        <f>VLOOKUP(B1230,[2]물질정보!B:D,3,0)</f>
        <v>2-hydroxyethyl methacrylate</v>
      </c>
      <c r="E1230" t="str">
        <f>VLOOKUP(B1230,[2]물질정보!B:E,4,0)</f>
        <v>C6H10O3</v>
      </c>
      <c r="F1230" t="str">
        <f>VLOOKUP(B1230,[2]물질정보!B:F,5,0)</f>
        <v>130.139 g/mol</v>
      </c>
      <c r="G1230" t="str">
        <f>VLOOKUP(B1230,[2]물질정보!B:G,6,0)</f>
        <v>CC(=C)C(=O)OCCO</v>
      </c>
      <c r="H1230" t="s">
        <v>26</v>
      </c>
      <c r="I1230" t="s">
        <v>134</v>
      </c>
      <c r="J1230" t="s">
        <v>460</v>
      </c>
      <c r="K1230">
        <v>345</v>
      </c>
      <c r="L1230" t="s">
        <v>129</v>
      </c>
      <c r="M1230" s="8" t="s">
        <v>292</v>
      </c>
      <c r="N1230" t="s">
        <v>29</v>
      </c>
      <c r="O1230" t="s">
        <v>29</v>
      </c>
      <c r="P1230">
        <v>72</v>
      </c>
      <c r="Q1230" t="s">
        <v>440</v>
      </c>
      <c r="R1230" t="s">
        <v>441</v>
      </c>
      <c r="S1230" t="s">
        <v>461</v>
      </c>
      <c r="T1230" t="s">
        <v>29</v>
      </c>
      <c r="U1230" t="s">
        <v>29</v>
      </c>
      <c r="V1230" s="6" t="s">
        <v>443</v>
      </c>
      <c r="W1230" s="8" t="s">
        <v>292</v>
      </c>
      <c r="X1230" t="s">
        <v>462</v>
      </c>
      <c r="Y1230" s="6" t="s">
        <v>460</v>
      </c>
    </row>
    <row r="1231" spans="2:25" x14ac:dyDescent="0.3">
      <c r="B1231" s="5" t="s">
        <v>69</v>
      </c>
      <c r="C1231" s="7" t="s">
        <v>435</v>
      </c>
      <c r="D1231" t="str">
        <f>VLOOKUP(B1231,[2]물질정보!B:D,3,0)</f>
        <v>2-hydroxyethyl methacrylate</v>
      </c>
      <c r="E1231" t="str">
        <f>VLOOKUP(B1231,[2]물질정보!B:E,4,0)</f>
        <v>C6H10O3</v>
      </c>
      <c r="F1231" t="str">
        <f>VLOOKUP(B1231,[2]물질정보!B:F,5,0)</f>
        <v>130.139 g/mol</v>
      </c>
      <c r="G1231" t="str">
        <f>VLOOKUP(B1231,[2]물질정보!B:G,6,0)</f>
        <v>CC(=C)C(=O)OCCO</v>
      </c>
      <c r="H1231" t="s">
        <v>26</v>
      </c>
      <c r="I1231" t="s">
        <v>143</v>
      </c>
      <c r="J1231" t="s">
        <v>305</v>
      </c>
      <c r="K1231" t="s">
        <v>463</v>
      </c>
      <c r="L1231" t="s">
        <v>464</v>
      </c>
      <c r="M1231" t="s">
        <v>29</v>
      </c>
      <c r="N1231" t="s">
        <v>29</v>
      </c>
      <c r="O1231" t="s">
        <v>29</v>
      </c>
      <c r="P1231">
        <v>14</v>
      </c>
      <c r="Q1231" t="s">
        <v>465</v>
      </c>
      <c r="R1231" t="s">
        <v>441</v>
      </c>
      <c r="S1231" s="8" t="s">
        <v>466</v>
      </c>
      <c r="T1231" t="s">
        <v>29</v>
      </c>
      <c r="U1231" t="s">
        <v>29</v>
      </c>
      <c r="V1231" s="6" t="s">
        <v>443</v>
      </c>
      <c r="W1231" t="s">
        <v>29</v>
      </c>
      <c r="X1231" t="s">
        <v>467</v>
      </c>
      <c r="Y1231" s="6" t="s">
        <v>305</v>
      </c>
    </row>
    <row r="1232" spans="2:25" x14ac:dyDescent="0.3">
      <c r="B1232" s="5" t="s">
        <v>69</v>
      </c>
      <c r="C1232" s="7" t="s">
        <v>435</v>
      </c>
      <c r="D1232" t="str">
        <f>VLOOKUP(B1232,[2]물질정보!B:D,3,0)</f>
        <v>2-hydroxyethyl methacrylate</v>
      </c>
      <c r="E1232" t="str">
        <f>VLOOKUP(B1232,[2]물질정보!B:E,4,0)</f>
        <v>C6H10O3</v>
      </c>
      <c r="F1232" t="str">
        <f>VLOOKUP(B1232,[2]물질정보!B:F,5,0)</f>
        <v>130.139 g/mol</v>
      </c>
      <c r="G1232" t="str">
        <f>VLOOKUP(B1232,[2]물질정보!B:G,6,0)</f>
        <v>CC(=C)C(=O)OCCO</v>
      </c>
      <c r="H1232" t="s">
        <v>26</v>
      </c>
      <c r="I1232" t="s">
        <v>143</v>
      </c>
      <c r="J1232" t="s">
        <v>468</v>
      </c>
      <c r="K1232" t="s">
        <v>469</v>
      </c>
      <c r="L1232" t="s">
        <v>464</v>
      </c>
      <c r="M1232" t="s">
        <v>29</v>
      </c>
      <c r="N1232" t="s">
        <v>29</v>
      </c>
      <c r="O1232" t="s">
        <v>29</v>
      </c>
      <c r="P1232">
        <v>14</v>
      </c>
      <c r="Q1232" t="s">
        <v>465</v>
      </c>
      <c r="R1232" t="s">
        <v>441</v>
      </c>
      <c r="S1232" s="8" t="s">
        <v>466</v>
      </c>
      <c r="T1232" t="s">
        <v>29</v>
      </c>
      <c r="U1232" t="s">
        <v>29</v>
      </c>
      <c r="V1232" s="6" t="s">
        <v>443</v>
      </c>
      <c r="W1232" t="s">
        <v>29</v>
      </c>
      <c r="X1232" t="s">
        <v>467</v>
      </c>
      <c r="Y1232" s="6" t="s">
        <v>470</v>
      </c>
    </row>
    <row r="1233" spans="2:25" x14ac:dyDescent="0.3">
      <c r="B1233" s="5" t="s">
        <v>69</v>
      </c>
      <c r="C1233" s="7" t="s">
        <v>435</v>
      </c>
      <c r="D1233" t="str">
        <f>VLOOKUP(B1233,[2]물질정보!B:D,3,0)</f>
        <v>2-hydroxyethyl methacrylate</v>
      </c>
      <c r="E1233" t="str">
        <f>VLOOKUP(B1233,[2]물질정보!B:E,4,0)</f>
        <v>C6H10O3</v>
      </c>
      <c r="F1233" t="str">
        <f>VLOOKUP(B1233,[2]물질정보!B:F,5,0)</f>
        <v>130.139 g/mol</v>
      </c>
      <c r="G1233" t="str">
        <f>VLOOKUP(B1233,[2]물질정보!B:G,6,0)</f>
        <v>CC(=C)C(=O)OCCO</v>
      </c>
      <c r="H1233" t="s">
        <v>79</v>
      </c>
      <c r="I1233" t="s">
        <v>471</v>
      </c>
      <c r="J1233" t="s">
        <v>388</v>
      </c>
      <c r="K1233">
        <v>0.5</v>
      </c>
      <c r="L1233" t="s">
        <v>29</v>
      </c>
      <c r="M1233" s="8" t="s">
        <v>472</v>
      </c>
      <c r="N1233" t="s">
        <v>473</v>
      </c>
      <c r="O1233" t="s">
        <v>29</v>
      </c>
      <c r="P1233">
        <v>24</v>
      </c>
      <c r="Q1233" t="s">
        <v>440</v>
      </c>
      <c r="R1233" t="s">
        <v>441</v>
      </c>
      <c r="S1233" t="s">
        <v>474</v>
      </c>
      <c r="T1233" t="s">
        <v>29</v>
      </c>
      <c r="U1233" t="s">
        <v>29</v>
      </c>
      <c r="V1233" s="6" t="s">
        <v>443</v>
      </c>
      <c r="W1233" s="8" t="s">
        <v>472</v>
      </c>
      <c r="X1233" t="s">
        <v>444</v>
      </c>
      <c r="Y1233" s="6" t="s">
        <v>388</v>
      </c>
    </row>
    <row r="1234" spans="2:25" x14ac:dyDescent="0.3">
      <c r="B1234" s="5" t="s">
        <v>69</v>
      </c>
      <c r="C1234" s="7" t="s">
        <v>435</v>
      </c>
      <c r="D1234" t="str">
        <f>VLOOKUP(B1234,[2]물질정보!B:D,3,0)</f>
        <v>2-hydroxyethyl methacrylate</v>
      </c>
      <c r="E1234" t="str">
        <f>VLOOKUP(B1234,[2]물질정보!B:E,4,0)</f>
        <v>C6H10O3</v>
      </c>
      <c r="F1234" t="str">
        <f>VLOOKUP(B1234,[2]물질정보!B:F,5,0)</f>
        <v>130.139 g/mol</v>
      </c>
      <c r="G1234" t="str">
        <f>VLOOKUP(B1234,[2]물질정보!B:G,6,0)</f>
        <v>CC(=C)C(=O)OCCO</v>
      </c>
      <c r="H1234" t="s">
        <v>79</v>
      </c>
      <c r="I1234" t="s">
        <v>471</v>
      </c>
      <c r="J1234" t="s">
        <v>388</v>
      </c>
      <c r="K1234">
        <v>1</v>
      </c>
      <c r="L1234" t="s">
        <v>29</v>
      </c>
      <c r="M1234" s="8" t="s">
        <v>472</v>
      </c>
      <c r="N1234" t="s">
        <v>473</v>
      </c>
      <c r="O1234" t="s">
        <v>29</v>
      </c>
      <c r="P1234">
        <v>24</v>
      </c>
      <c r="Q1234" t="s">
        <v>440</v>
      </c>
      <c r="R1234" t="s">
        <v>441</v>
      </c>
      <c r="S1234" t="s">
        <v>474</v>
      </c>
      <c r="T1234" t="s">
        <v>29</v>
      </c>
      <c r="U1234" t="s">
        <v>29</v>
      </c>
      <c r="V1234" s="6" t="s">
        <v>443</v>
      </c>
      <c r="W1234" s="8" t="s">
        <v>472</v>
      </c>
      <c r="X1234" t="s">
        <v>444</v>
      </c>
      <c r="Y1234" s="6" t="s">
        <v>388</v>
      </c>
    </row>
    <row r="1235" spans="2:25" x14ac:dyDescent="0.3">
      <c r="B1235" s="5" t="s">
        <v>69</v>
      </c>
      <c r="C1235" s="7" t="s">
        <v>435</v>
      </c>
      <c r="D1235" t="str">
        <f>VLOOKUP(B1235,[2]물질정보!B:D,3,0)</f>
        <v>2-hydroxyethyl methacrylate</v>
      </c>
      <c r="E1235" t="str">
        <f>VLOOKUP(B1235,[2]물질정보!B:E,4,0)</f>
        <v>C6H10O3</v>
      </c>
      <c r="F1235" t="str">
        <f>VLOOKUP(B1235,[2]물질정보!B:F,5,0)</f>
        <v>130.139 g/mol</v>
      </c>
      <c r="G1235" t="str">
        <f>VLOOKUP(B1235,[2]물질정보!B:G,6,0)</f>
        <v>CC(=C)C(=O)OCCO</v>
      </c>
      <c r="H1235" t="s">
        <v>79</v>
      </c>
      <c r="I1235" t="s">
        <v>471</v>
      </c>
      <c r="J1235" t="s">
        <v>388</v>
      </c>
      <c r="K1235">
        <v>0</v>
      </c>
      <c r="L1235" t="s">
        <v>29</v>
      </c>
      <c r="M1235" s="8" t="s">
        <v>472</v>
      </c>
      <c r="N1235" t="s">
        <v>473</v>
      </c>
      <c r="O1235" t="s">
        <v>29</v>
      </c>
      <c r="P1235">
        <v>24</v>
      </c>
      <c r="Q1235" t="s">
        <v>440</v>
      </c>
      <c r="R1235" t="s">
        <v>441</v>
      </c>
      <c r="S1235" t="s">
        <v>474</v>
      </c>
      <c r="T1235" t="s">
        <v>29</v>
      </c>
      <c r="U1235" t="s">
        <v>29</v>
      </c>
      <c r="V1235" s="6" t="s">
        <v>443</v>
      </c>
      <c r="W1235" s="8" t="s">
        <v>472</v>
      </c>
      <c r="X1235" t="s">
        <v>444</v>
      </c>
      <c r="Y1235" s="6" t="s">
        <v>388</v>
      </c>
    </row>
    <row r="1236" spans="2:25" x14ac:dyDescent="0.3">
      <c r="B1236" s="5" t="s">
        <v>69</v>
      </c>
      <c r="C1236" s="7" t="s">
        <v>435</v>
      </c>
      <c r="D1236" t="str">
        <f>VLOOKUP(B1236,[2]물질정보!B:D,3,0)</f>
        <v>2-hydroxyethyl methacrylate</v>
      </c>
      <c r="E1236" t="str">
        <f>VLOOKUP(B1236,[2]물질정보!B:E,4,0)</f>
        <v>C6H10O3</v>
      </c>
      <c r="F1236" t="str">
        <f>VLOOKUP(B1236,[2]물질정보!B:F,5,0)</f>
        <v>130.139 g/mol</v>
      </c>
      <c r="G1236" t="str">
        <f>VLOOKUP(B1236,[2]물질정보!B:G,6,0)</f>
        <v>CC(=C)C(=O)OCCO</v>
      </c>
      <c r="H1236" t="s">
        <v>79</v>
      </c>
      <c r="I1236" t="s">
        <v>471</v>
      </c>
      <c r="J1236" t="s">
        <v>391</v>
      </c>
      <c r="K1236">
        <v>0</v>
      </c>
      <c r="L1236" t="s">
        <v>29</v>
      </c>
      <c r="M1236" s="8" t="s">
        <v>472</v>
      </c>
      <c r="N1236" t="s">
        <v>473</v>
      </c>
      <c r="O1236" t="s">
        <v>29</v>
      </c>
      <c r="P1236">
        <v>24</v>
      </c>
      <c r="Q1236" t="s">
        <v>440</v>
      </c>
      <c r="R1236" t="s">
        <v>441</v>
      </c>
      <c r="S1236" t="s">
        <v>474</v>
      </c>
      <c r="T1236" t="s">
        <v>29</v>
      </c>
      <c r="U1236" t="s">
        <v>29</v>
      </c>
      <c r="V1236" s="6" t="s">
        <v>443</v>
      </c>
      <c r="W1236" s="8" t="s">
        <v>472</v>
      </c>
      <c r="X1236" t="s">
        <v>444</v>
      </c>
      <c r="Y1236" s="6" t="s">
        <v>391</v>
      </c>
    </row>
    <row r="1237" spans="2:25" x14ac:dyDescent="0.3">
      <c r="B1237" s="5" t="s">
        <v>69</v>
      </c>
      <c r="C1237" s="7" t="s">
        <v>435</v>
      </c>
      <c r="D1237" t="str">
        <f>VLOOKUP(B1237,[2]물질정보!B:D,3,0)</f>
        <v>2-hydroxyethyl methacrylate</v>
      </c>
      <c r="E1237" t="str">
        <f>VLOOKUP(B1237,[2]물질정보!B:E,4,0)</f>
        <v>C6H10O3</v>
      </c>
      <c r="F1237" t="str">
        <f>VLOOKUP(B1237,[2]물질정보!B:F,5,0)</f>
        <v>130.139 g/mol</v>
      </c>
      <c r="G1237" t="str">
        <f>VLOOKUP(B1237,[2]물질정보!B:G,6,0)</f>
        <v>CC(=C)C(=O)OCCO</v>
      </c>
      <c r="H1237" t="s">
        <v>79</v>
      </c>
      <c r="I1237" t="s">
        <v>80</v>
      </c>
      <c r="J1237" t="s">
        <v>436</v>
      </c>
      <c r="K1237">
        <v>3275</v>
      </c>
      <c r="L1237" t="s">
        <v>475</v>
      </c>
      <c r="M1237" t="s">
        <v>83</v>
      </c>
      <c r="N1237" t="s">
        <v>29</v>
      </c>
      <c r="O1237" t="s">
        <v>29</v>
      </c>
      <c r="P1237" t="s">
        <v>29</v>
      </c>
      <c r="Q1237" t="s">
        <v>29</v>
      </c>
      <c r="R1237" t="s">
        <v>441</v>
      </c>
      <c r="S1237" t="s">
        <v>29</v>
      </c>
      <c r="T1237" t="s">
        <v>29</v>
      </c>
      <c r="U1237" t="s">
        <v>29</v>
      </c>
      <c r="V1237" s="6" t="s">
        <v>476</v>
      </c>
      <c r="W1237" t="s">
        <v>83</v>
      </c>
      <c r="X1237" t="s">
        <v>29</v>
      </c>
      <c r="Y1237" s="6" t="s">
        <v>436</v>
      </c>
    </row>
    <row r="1238" spans="2:25" x14ac:dyDescent="0.3">
      <c r="B1238" s="5" t="s">
        <v>69</v>
      </c>
      <c r="C1238" s="7" t="s">
        <v>435</v>
      </c>
      <c r="D1238" t="str">
        <f>VLOOKUP(B1238,[2]물질정보!B:D,3,0)</f>
        <v>2-hydroxyethyl methacrylate</v>
      </c>
      <c r="E1238" t="str">
        <f>VLOOKUP(B1238,[2]물질정보!B:E,4,0)</f>
        <v>C6H10O3</v>
      </c>
      <c r="F1238" t="str">
        <f>VLOOKUP(B1238,[2]물질정보!B:F,5,0)</f>
        <v>130.139 g/mol</v>
      </c>
      <c r="G1238" t="str">
        <f>VLOOKUP(B1238,[2]물질정보!B:G,6,0)</f>
        <v>CC(=C)C(=O)OCCO</v>
      </c>
      <c r="H1238" t="s">
        <v>79</v>
      </c>
      <c r="I1238" t="s">
        <v>80</v>
      </c>
      <c r="J1238" t="s">
        <v>436</v>
      </c>
      <c r="K1238">
        <v>5050</v>
      </c>
      <c r="L1238" t="s">
        <v>475</v>
      </c>
      <c r="M1238" s="8" t="s">
        <v>438</v>
      </c>
      <c r="N1238" t="s">
        <v>29</v>
      </c>
      <c r="O1238" t="s">
        <v>29</v>
      </c>
      <c r="P1238" t="s">
        <v>29</v>
      </c>
      <c r="Q1238" t="s">
        <v>29</v>
      </c>
      <c r="R1238" t="s">
        <v>441</v>
      </c>
      <c r="S1238" t="s">
        <v>29</v>
      </c>
      <c r="T1238" t="s">
        <v>29</v>
      </c>
      <c r="U1238" t="s">
        <v>29</v>
      </c>
      <c r="V1238" s="6" t="s">
        <v>476</v>
      </c>
      <c r="W1238" s="8" t="s">
        <v>438</v>
      </c>
      <c r="X1238" t="s">
        <v>29</v>
      </c>
      <c r="Y1238" s="6" t="s">
        <v>436</v>
      </c>
    </row>
    <row r="1239" spans="2:25" x14ac:dyDescent="0.3">
      <c r="B1239" s="5" t="s">
        <v>69</v>
      </c>
      <c r="C1239" s="7" t="s">
        <v>435</v>
      </c>
      <c r="D1239" t="str">
        <f>VLOOKUP(B1239,[2]물질정보!B:D,3,0)</f>
        <v>2-hydroxyethyl methacrylate</v>
      </c>
      <c r="E1239" t="str">
        <f>VLOOKUP(B1239,[2]물질정보!B:E,4,0)</f>
        <v>C6H10O3</v>
      </c>
      <c r="F1239" t="str">
        <f>VLOOKUP(B1239,[2]물질정보!B:F,5,0)</f>
        <v>130.139 g/mol</v>
      </c>
      <c r="G1239" t="str">
        <f>VLOOKUP(B1239,[2]물질정보!B:G,6,0)</f>
        <v>CC(=C)C(=O)OCCO</v>
      </c>
      <c r="H1239" t="s">
        <v>79</v>
      </c>
      <c r="I1239" t="s">
        <v>80</v>
      </c>
      <c r="J1239" t="s">
        <v>436</v>
      </c>
      <c r="K1239">
        <v>2000</v>
      </c>
      <c r="L1239" t="s">
        <v>475</v>
      </c>
      <c r="M1239" s="8" t="s">
        <v>438</v>
      </c>
      <c r="N1239" t="s">
        <v>29</v>
      </c>
      <c r="O1239" t="s">
        <v>29</v>
      </c>
      <c r="P1239" t="s">
        <v>29</v>
      </c>
      <c r="Q1239" t="s">
        <v>29</v>
      </c>
      <c r="R1239" t="s">
        <v>441</v>
      </c>
      <c r="S1239" t="s">
        <v>29</v>
      </c>
      <c r="T1239" t="s">
        <v>29</v>
      </c>
      <c r="U1239" t="s">
        <v>29</v>
      </c>
      <c r="V1239" s="6" t="s">
        <v>476</v>
      </c>
      <c r="W1239" s="8" t="s">
        <v>438</v>
      </c>
      <c r="X1239" t="s">
        <v>29</v>
      </c>
      <c r="Y1239" s="6" t="s">
        <v>436</v>
      </c>
    </row>
    <row r="1240" spans="2:25" x14ac:dyDescent="0.3">
      <c r="B1240" s="5" t="s">
        <v>69</v>
      </c>
      <c r="C1240" s="7" t="s">
        <v>435</v>
      </c>
      <c r="D1240" t="str">
        <f>VLOOKUP(B1240,[2]물질정보!B:D,3,0)</f>
        <v>2-hydroxyethyl methacrylate</v>
      </c>
      <c r="E1240" t="str">
        <f>VLOOKUP(B1240,[2]물질정보!B:E,4,0)</f>
        <v>C6H10O3</v>
      </c>
      <c r="F1240" t="str">
        <f>VLOOKUP(B1240,[2]물질정보!B:F,5,0)</f>
        <v>130.139 g/mol</v>
      </c>
      <c r="G1240" t="str">
        <f>VLOOKUP(B1240,[2]물질정보!B:G,6,0)</f>
        <v>CC(=C)C(=O)OCCO</v>
      </c>
      <c r="H1240" t="s">
        <v>79</v>
      </c>
      <c r="I1240" t="s">
        <v>80</v>
      </c>
      <c r="J1240" t="s">
        <v>436</v>
      </c>
      <c r="K1240">
        <v>4680</v>
      </c>
      <c r="L1240" t="s">
        <v>475</v>
      </c>
      <c r="M1240" t="s">
        <v>477</v>
      </c>
      <c r="N1240" t="s">
        <v>29</v>
      </c>
      <c r="O1240" t="s">
        <v>29</v>
      </c>
      <c r="P1240" t="s">
        <v>29</v>
      </c>
      <c r="Q1240" t="s">
        <v>29</v>
      </c>
      <c r="R1240" t="s">
        <v>441</v>
      </c>
      <c r="S1240" t="s">
        <v>29</v>
      </c>
      <c r="T1240" t="s">
        <v>29</v>
      </c>
      <c r="U1240" t="s">
        <v>29</v>
      </c>
      <c r="V1240" s="6" t="s">
        <v>476</v>
      </c>
      <c r="W1240" t="s">
        <v>477</v>
      </c>
      <c r="X1240" t="s">
        <v>29</v>
      </c>
      <c r="Y1240" s="6" t="s">
        <v>436</v>
      </c>
    </row>
    <row r="1241" spans="2:25" x14ac:dyDescent="0.3">
      <c r="B1241" s="5" t="s">
        <v>69</v>
      </c>
      <c r="C1241" s="7" t="s">
        <v>435</v>
      </c>
      <c r="D1241" t="str">
        <f>VLOOKUP(B1241,[2]물질정보!B:D,3,0)</f>
        <v>2-hydroxyethyl methacrylate</v>
      </c>
      <c r="E1241" t="str">
        <f>VLOOKUP(B1241,[2]물질정보!B:E,4,0)</f>
        <v>C6H10O3</v>
      </c>
      <c r="F1241" t="str">
        <f>VLOOKUP(B1241,[2]물질정보!B:F,5,0)</f>
        <v>130.139 g/mol</v>
      </c>
      <c r="G1241" t="str">
        <f>VLOOKUP(B1241,[2]물질정보!B:G,6,0)</f>
        <v>CC(=C)C(=O)OCCO</v>
      </c>
      <c r="H1241" t="s">
        <v>79</v>
      </c>
      <c r="I1241" t="s">
        <v>80</v>
      </c>
      <c r="J1241" t="s">
        <v>436</v>
      </c>
      <c r="K1241">
        <v>4000</v>
      </c>
      <c r="L1241" t="s">
        <v>475</v>
      </c>
      <c r="M1241" s="8" t="s">
        <v>438</v>
      </c>
      <c r="N1241" t="s">
        <v>29</v>
      </c>
      <c r="O1241" t="s">
        <v>29</v>
      </c>
      <c r="P1241" t="s">
        <v>29</v>
      </c>
      <c r="Q1241" t="s">
        <v>29</v>
      </c>
      <c r="R1241" t="s">
        <v>441</v>
      </c>
      <c r="S1241" t="s">
        <v>29</v>
      </c>
      <c r="T1241" t="s">
        <v>29</v>
      </c>
      <c r="U1241" t="s">
        <v>29</v>
      </c>
      <c r="V1241" s="6" t="s">
        <v>476</v>
      </c>
      <c r="W1241" s="8" t="s">
        <v>438</v>
      </c>
      <c r="X1241" t="s">
        <v>29</v>
      </c>
      <c r="Y1241" s="6" t="s">
        <v>436</v>
      </c>
    </row>
    <row r="1242" spans="2:25" x14ac:dyDescent="0.3">
      <c r="B1242" s="5" t="s">
        <v>69</v>
      </c>
      <c r="C1242" s="7" t="s">
        <v>435</v>
      </c>
      <c r="D1242" t="str">
        <f>VLOOKUP(B1242,[2]물질정보!B:D,3,0)</f>
        <v>2-hydroxyethyl methacrylate</v>
      </c>
      <c r="E1242" t="str">
        <f>VLOOKUP(B1242,[2]물질정보!B:E,4,0)</f>
        <v>C6H10O3</v>
      </c>
      <c r="F1242" t="str">
        <f>VLOOKUP(B1242,[2]물질정보!B:F,5,0)</f>
        <v>130.139 g/mol</v>
      </c>
      <c r="G1242" t="str">
        <f>VLOOKUP(B1242,[2]물질정보!B:G,6,0)</f>
        <v>CC(=C)C(=O)OCCO</v>
      </c>
      <c r="H1242" t="s">
        <v>79</v>
      </c>
      <c r="I1242" t="s">
        <v>80</v>
      </c>
      <c r="J1242" t="s">
        <v>436</v>
      </c>
      <c r="K1242">
        <v>5564</v>
      </c>
      <c r="L1242" t="s">
        <v>475</v>
      </c>
      <c r="M1242" s="8" t="s">
        <v>438</v>
      </c>
      <c r="N1242" t="s">
        <v>29</v>
      </c>
      <c r="O1242" t="s">
        <v>29</v>
      </c>
      <c r="P1242" t="s">
        <v>29</v>
      </c>
      <c r="Q1242" t="s">
        <v>29</v>
      </c>
      <c r="R1242" t="s">
        <v>441</v>
      </c>
      <c r="S1242" t="s">
        <v>29</v>
      </c>
      <c r="T1242" t="s">
        <v>29</v>
      </c>
      <c r="U1242" t="s">
        <v>29</v>
      </c>
      <c r="V1242" s="6" t="s">
        <v>476</v>
      </c>
      <c r="W1242" s="8" t="s">
        <v>438</v>
      </c>
      <c r="X1242" t="s">
        <v>29</v>
      </c>
      <c r="Y1242" s="6" t="s">
        <v>436</v>
      </c>
    </row>
    <row r="1243" spans="2:25" x14ac:dyDescent="0.3">
      <c r="B1243" s="5" t="s">
        <v>69</v>
      </c>
      <c r="C1243" s="7" t="s">
        <v>435</v>
      </c>
      <c r="D1243" t="str">
        <f>VLOOKUP(B1243,[2]물질정보!B:D,3,0)</f>
        <v>2-hydroxyethyl methacrylate</v>
      </c>
      <c r="E1243" t="str">
        <f>VLOOKUP(B1243,[2]물질정보!B:E,4,0)</f>
        <v>C6H10O3</v>
      </c>
      <c r="F1243" t="str">
        <f>VLOOKUP(B1243,[2]물질정보!B:F,5,0)</f>
        <v>130.139 g/mol</v>
      </c>
      <c r="G1243" t="str">
        <f>VLOOKUP(B1243,[2]물질정보!B:G,6,0)</f>
        <v>CC(=C)C(=O)OCCO</v>
      </c>
      <c r="H1243" t="s">
        <v>79</v>
      </c>
      <c r="I1243" t="s">
        <v>80</v>
      </c>
      <c r="J1243" t="s">
        <v>436</v>
      </c>
      <c r="K1243">
        <v>5457</v>
      </c>
      <c r="L1243" t="s">
        <v>475</v>
      </c>
      <c r="M1243" t="s">
        <v>83</v>
      </c>
      <c r="N1243" t="s">
        <v>29</v>
      </c>
      <c r="O1243" t="s">
        <v>29</v>
      </c>
      <c r="P1243" t="s">
        <v>29</v>
      </c>
      <c r="Q1243" t="s">
        <v>29</v>
      </c>
      <c r="R1243" t="s">
        <v>441</v>
      </c>
      <c r="S1243" t="s">
        <v>29</v>
      </c>
      <c r="T1243" t="s">
        <v>29</v>
      </c>
      <c r="U1243" t="s">
        <v>29</v>
      </c>
      <c r="V1243" s="6" t="s">
        <v>476</v>
      </c>
      <c r="W1243" t="s">
        <v>83</v>
      </c>
      <c r="X1243" t="s">
        <v>29</v>
      </c>
      <c r="Y1243" s="6" t="s">
        <v>436</v>
      </c>
    </row>
    <row r="1244" spans="2:25" x14ac:dyDescent="0.3">
      <c r="B1244" s="5" t="s">
        <v>69</v>
      </c>
      <c r="C1244" s="7" t="s">
        <v>435</v>
      </c>
      <c r="D1244" t="str">
        <f>VLOOKUP(B1244,[2]물질정보!B:D,3,0)</f>
        <v>2-hydroxyethyl methacrylate</v>
      </c>
      <c r="E1244" t="str">
        <f>VLOOKUP(B1244,[2]물질정보!B:E,4,0)</f>
        <v>C6H10O3</v>
      </c>
      <c r="F1244" t="str">
        <f>VLOOKUP(B1244,[2]물질정보!B:F,5,0)</f>
        <v>130.139 g/mol</v>
      </c>
      <c r="G1244" t="str">
        <f>VLOOKUP(B1244,[2]물질정보!B:G,6,0)</f>
        <v>CC(=C)C(=O)OCCO</v>
      </c>
      <c r="H1244" t="s">
        <v>79</v>
      </c>
      <c r="I1244" t="s">
        <v>137</v>
      </c>
      <c r="J1244" t="s">
        <v>89</v>
      </c>
      <c r="K1244" t="s">
        <v>90</v>
      </c>
      <c r="L1244" t="s">
        <v>29</v>
      </c>
      <c r="M1244" t="s">
        <v>445</v>
      </c>
      <c r="N1244" t="s">
        <v>446</v>
      </c>
      <c r="O1244" t="s">
        <v>29</v>
      </c>
      <c r="P1244" t="s">
        <v>29</v>
      </c>
      <c r="Q1244" t="s">
        <v>29</v>
      </c>
      <c r="R1244" t="s">
        <v>441</v>
      </c>
      <c r="S1244" t="s">
        <v>29</v>
      </c>
      <c r="T1244" t="s">
        <v>29</v>
      </c>
      <c r="U1244" t="s">
        <v>29</v>
      </c>
      <c r="V1244" s="6" t="s">
        <v>476</v>
      </c>
      <c r="W1244" t="s">
        <v>445</v>
      </c>
      <c r="X1244" t="s">
        <v>29</v>
      </c>
      <c r="Y1244" s="6" t="s">
        <v>89</v>
      </c>
    </row>
    <row r="1245" spans="2:25" x14ac:dyDescent="0.3">
      <c r="B1245" s="5" t="s">
        <v>69</v>
      </c>
      <c r="C1245" s="7" t="s">
        <v>435</v>
      </c>
      <c r="D1245" t="str">
        <f>VLOOKUP(B1245,[2]물질정보!B:D,3,0)</f>
        <v>2-hydroxyethyl methacrylate</v>
      </c>
      <c r="E1245" t="str">
        <f>VLOOKUP(B1245,[2]물질정보!B:E,4,0)</f>
        <v>C6H10O3</v>
      </c>
      <c r="F1245" t="str">
        <f>VLOOKUP(B1245,[2]물질정보!B:F,5,0)</f>
        <v>130.139 g/mol</v>
      </c>
      <c r="G1245" t="str">
        <f>VLOOKUP(B1245,[2]물질정보!B:G,6,0)</f>
        <v>CC(=C)C(=O)OCCO</v>
      </c>
      <c r="H1245" t="s">
        <v>79</v>
      </c>
      <c r="I1245" t="s">
        <v>97</v>
      </c>
      <c r="J1245" t="s">
        <v>478</v>
      </c>
      <c r="K1245" t="s">
        <v>99</v>
      </c>
      <c r="L1245" t="s">
        <v>29</v>
      </c>
      <c r="M1245" t="s">
        <v>451</v>
      </c>
      <c r="N1245" t="s">
        <v>452</v>
      </c>
      <c r="O1245" t="s">
        <v>29</v>
      </c>
      <c r="P1245" t="s">
        <v>29</v>
      </c>
      <c r="Q1245" t="s">
        <v>29</v>
      </c>
      <c r="R1245" t="s">
        <v>441</v>
      </c>
      <c r="S1245" t="s">
        <v>29</v>
      </c>
      <c r="T1245" t="s">
        <v>29</v>
      </c>
      <c r="U1245" t="s">
        <v>29</v>
      </c>
      <c r="V1245" s="6" t="s">
        <v>476</v>
      </c>
      <c r="W1245" t="s">
        <v>101</v>
      </c>
      <c r="X1245" t="s">
        <v>29</v>
      </c>
      <c r="Y1245" s="6" t="s">
        <v>98</v>
      </c>
    </row>
    <row r="1246" spans="2:25" x14ac:dyDescent="0.3">
      <c r="B1246" s="5" t="s">
        <v>69</v>
      </c>
      <c r="C1246" s="7" t="s">
        <v>435</v>
      </c>
      <c r="D1246" t="str">
        <f>VLOOKUP(B1246,[2]물질정보!B:D,3,0)</f>
        <v>2-hydroxyethyl methacrylate</v>
      </c>
      <c r="E1246" t="str">
        <f>VLOOKUP(B1246,[2]물질정보!B:E,4,0)</f>
        <v>C6H10O3</v>
      </c>
      <c r="F1246" t="str">
        <f>VLOOKUP(B1246,[2]물질정보!B:F,5,0)</f>
        <v>130.139 g/mol</v>
      </c>
      <c r="G1246" t="str">
        <f>VLOOKUP(B1246,[2]물질정보!B:G,6,0)</f>
        <v>CC(=C)C(=O)OCCO</v>
      </c>
      <c r="H1246" t="s">
        <v>79</v>
      </c>
      <c r="I1246" t="s">
        <v>471</v>
      </c>
      <c r="J1246" t="s">
        <v>29</v>
      </c>
      <c r="K1246" t="s">
        <v>90</v>
      </c>
      <c r="L1246" t="s">
        <v>29</v>
      </c>
      <c r="M1246" s="8" t="s">
        <v>472</v>
      </c>
      <c r="N1246" t="s">
        <v>473</v>
      </c>
      <c r="O1246" t="s">
        <v>29</v>
      </c>
      <c r="P1246" t="s">
        <v>29</v>
      </c>
      <c r="Q1246" t="s">
        <v>29</v>
      </c>
      <c r="R1246" t="s">
        <v>441</v>
      </c>
      <c r="S1246" t="s">
        <v>479</v>
      </c>
      <c r="T1246" t="s">
        <v>29</v>
      </c>
      <c r="U1246" t="s">
        <v>29</v>
      </c>
      <c r="V1246" s="6" t="s">
        <v>476</v>
      </c>
      <c r="W1246" s="8" t="s">
        <v>472</v>
      </c>
      <c r="X1246" t="s">
        <v>29</v>
      </c>
      <c r="Y1246" s="6" t="s">
        <v>29</v>
      </c>
    </row>
    <row r="1247" spans="2:25" x14ac:dyDescent="0.3">
      <c r="B1247" s="5" t="s">
        <v>69</v>
      </c>
      <c r="C1247" s="7" t="s">
        <v>435</v>
      </c>
      <c r="D1247" t="str">
        <f>VLOOKUP(B1247,[2]물질정보!B:D,3,0)</f>
        <v>2-hydroxyethyl methacrylate</v>
      </c>
      <c r="E1247" t="str">
        <f>VLOOKUP(B1247,[2]물질정보!B:E,4,0)</f>
        <v>C6H10O3</v>
      </c>
      <c r="F1247" t="str">
        <f>VLOOKUP(B1247,[2]물질정보!B:F,5,0)</f>
        <v>130.139 g/mol</v>
      </c>
      <c r="G1247" t="str">
        <f>VLOOKUP(B1247,[2]물질정보!B:G,6,0)</f>
        <v>CC(=C)C(=O)OCCO</v>
      </c>
      <c r="H1247" t="s">
        <v>79</v>
      </c>
      <c r="I1247" t="s">
        <v>685</v>
      </c>
      <c r="J1247" t="s">
        <v>29</v>
      </c>
      <c r="K1247" t="s">
        <v>99</v>
      </c>
      <c r="M1247" t="s">
        <v>29</v>
      </c>
      <c r="N1247" t="s">
        <v>29</v>
      </c>
      <c r="O1247" t="s">
        <v>29</v>
      </c>
      <c r="P1247" t="s">
        <v>29</v>
      </c>
      <c r="Q1247" t="s">
        <v>29</v>
      </c>
      <c r="R1247" t="s">
        <v>441</v>
      </c>
      <c r="S1247" t="s">
        <v>29</v>
      </c>
      <c r="T1247" t="s">
        <v>29</v>
      </c>
      <c r="U1247" t="s">
        <v>29</v>
      </c>
      <c r="V1247" s="6" t="s">
        <v>480</v>
      </c>
      <c r="W1247" t="s">
        <v>29</v>
      </c>
      <c r="X1247" t="s">
        <v>29</v>
      </c>
      <c r="Y1247" s="6" t="s">
        <v>29</v>
      </c>
    </row>
    <row r="1248" spans="2:25" x14ac:dyDescent="0.3">
      <c r="B1248" s="5" t="s">
        <v>69</v>
      </c>
      <c r="C1248" s="7" t="s">
        <v>435</v>
      </c>
      <c r="D1248" t="str">
        <f>VLOOKUP(B1248,[2]물질정보!B:D,3,0)</f>
        <v>2-hydroxyethyl methacrylate</v>
      </c>
      <c r="E1248" t="str">
        <f>VLOOKUP(B1248,[2]물질정보!B:E,4,0)</f>
        <v>C6H10O3</v>
      </c>
      <c r="F1248" t="str">
        <f>VLOOKUP(B1248,[2]물질정보!B:F,5,0)</f>
        <v>130.139 g/mol</v>
      </c>
      <c r="G1248" t="str">
        <f>VLOOKUP(B1248,[2]물질정보!B:G,6,0)</f>
        <v>CC(=C)C(=O)OCCO</v>
      </c>
      <c r="H1248" t="s">
        <v>79</v>
      </c>
      <c r="I1248" t="s">
        <v>80</v>
      </c>
      <c r="J1248" t="s">
        <v>436</v>
      </c>
      <c r="K1248">
        <v>5.0999999999999996</v>
      </c>
      <c r="L1248" t="s">
        <v>481</v>
      </c>
      <c r="M1248" t="s">
        <v>482</v>
      </c>
      <c r="N1248" t="s">
        <v>29</v>
      </c>
      <c r="O1248" t="s">
        <v>29</v>
      </c>
      <c r="P1248" t="s">
        <v>29</v>
      </c>
      <c r="Q1248" t="s">
        <v>29</v>
      </c>
      <c r="R1248" t="s">
        <v>441</v>
      </c>
      <c r="S1248" t="s">
        <v>29</v>
      </c>
      <c r="T1248" t="s">
        <v>29</v>
      </c>
      <c r="U1248" t="s">
        <v>29</v>
      </c>
      <c r="V1248" s="6" t="s">
        <v>480</v>
      </c>
      <c r="W1248" t="s">
        <v>29</v>
      </c>
      <c r="X1248" t="s">
        <v>29</v>
      </c>
      <c r="Y1248" s="6" t="s">
        <v>436</v>
      </c>
    </row>
    <row r="1249" spans="2:25" x14ac:dyDescent="0.3">
      <c r="B1249" s="5" t="s">
        <v>69</v>
      </c>
      <c r="C1249" s="7" t="s">
        <v>435</v>
      </c>
      <c r="D1249" t="str">
        <f>VLOOKUP(B1249,[2]물질정보!B:D,3,0)</f>
        <v>2-hydroxyethyl methacrylate</v>
      </c>
      <c r="E1249" t="str">
        <f>VLOOKUP(B1249,[2]물질정보!B:E,4,0)</f>
        <v>C6H10O3</v>
      </c>
      <c r="F1249" t="str">
        <f>VLOOKUP(B1249,[2]물질정보!B:F,5,0)</f>
        <v>130.139 g/mol</v>
      </c>
      <c r="G1249" t="str">
        <f>VLOOKUP(B1249,[2]물질정보!B:G,6,0)</f>
        <v>CC(=C)C(=O)OCCO</v>
      </c>
      <c r="H1249" t="s">
        <v>79</v>
      </c>
      <c r="I1249" t="s">
        <v>80</v>
      </c>
      <c r="J1249" t="s">
        <v>436</v>
      </c>
      <c r="K1249">
        <v>11.2</v>
      </c>
      <c r="L1249" t="s">
        <v>483</v>
      </c>
      <c r="M1249" t="s">
        <v>438</v>
      </c>
      <c r="N1249" t="s">
        <v>29</v>
      </c>
      <c r="O1249" t="s">
        <v>29</v>
      </c>
      <c r="P1249" t="s">
        <v>29</v>
      </c>
      <c r="Q1249" t="s">
        <v>29</v>
      </c>
      <c r="R1249" t="s">
        <v>441</v>
      </c>
      <c r="S1249" t="s">
        <v>29</v>
      </c>
      <c r="T1249" t="s">
        <v>29</v>
      </c>
      <c r="U1249" t="s">
        <v>29</v>
      </c>
      <c r="V1249" s="6" t="s">
        <v>480</v>
      </c>
      <c r="W1249" t="s">
        <v>29</v>
      </c>
      <c r="X1249" t="s">
        <v>29</v>
      </c>
      <c r="Y1249" s="6" t="s">
        <v>436</v>
      </c>
    </row>
    <row r="1250" spans="2:25" x14ac:dyDescent="0.3">
      <c r="B1250" s="5" t="s">
        <v>69</v>
      </c>
      <c r="C1250" s="7" t="s">
        <v>435</v>
      </c>
      <c r="D1250" t="str">
        <f>VLOOKUP(B1250,[2]물질정보!B:D,3,0)</f>
        <v>2-hydroxyethyl methacrylate</v>
      </c>
      <c r="E1250" t="str">
        <f>VLOOKUP(B1250,[2]물질정보!B:E,4,0)</f>
        <v>C6H10O3</v>
      </c>
      <c r="F1250" t="str">
        <f>VLOOKUP(B1250,[2]물질정보!B:F,5,0)</f>
        <v>130.139 g/mol</v>
      </c>
      <c r="G1250" t="str">
        <f>VLOOKUP(B1250,[2]물질정보!B:G,6,0)</f>
        <v>CC(=C)C(=O)OCCO</v>
      </c>
      <c r="H1250" t="s">
        <v>79</v>
      </c>
      <c r="I1250" t="s">
        <v>80</v>
      </c>
      <c r="J1250" t="s">
        <v>436</v>
      </c>
      <c r="K1250">
        <v>5050</v>
      </c>
      <c r="L1250" t="s">
        <v>475</v>
      </c>
      <c r="M1250" t="s">
        <v>438</v>
      </c>
      <c r="N1250" t="s">
        <v>29</v>
      </c>
      <c r="O1250" t="s">
        <v>29</v>
      </c>
      <c r="P1250" t="s">
        <v>29</v>
      </c>
      <c r="Q1250" t="s">
        <v>29</v>
      </c>
      <c r="R1250" t="s">
        <v>441</v>
      </c>
      <c r="S1250" t="s">
        <v>29</v>
      </c>
      <c r="T1250" t="s">
        <v>29</v>
      </c>
      <c r="U1250" t="s">
        <v>29</v>
      </c>
      <c r="V1250" s="6" t="s">
        <v>480</v>
      </c>
      <c r="W1250" t="s">
        <v>29</v>
      </c>
      <c r="X1250" t="s">
        <v>29</v>
      </c>
      <c r="Y1250" s="6" t="s">
        <v>436</v>
      </c>
    </row>
    <row r="1251" spans="2:25" x14ac:dyDescent="0.3">
      <c r="B1251" s="5" t="s">
        <v>69</v>
      </c>
      <c r="C1251" s="7" t="s">
        <v>435</v>
      </c>
      <c r="D1251" t="str">
        <f>VLOOKUP(B1251,[2]물질정보!B:D,3,0)</f>
        <v>2-hydroxyethyl methacrylate</v>
      </c>
      <c r="E1251" t="str">
        <f>VLOOKUP(B1251,[2]물질정보!B:E,4,0)</f>
        <v>C6H10O3</v>
      </c>
      <c r="F1251" t="str">
        <f>VLOOKUP(B1251,[2]물질정보!B:F,5,0)</f>
        <v>130.139 g/mol</v>
      </c>
      <c r="G1251" t="str">
        <f>VLOOKUP(B1251,[2]물질정보!B:G,6,0)</f>
        <v>CC(=C)C(=O)OCCO</v>
      </c>
      <c r="H1251" t="s">
        <v>79</v>
      </c>
      <c r="I1251" t="s">
        <v>80</v>
      </c>
      <c r="J1251" t="s">
        <v>436</v>
      </c>
      <c r="K1251">
        <v>3275</v>
      </c>
      <c r="L1251" t="s">
        <v>475</v>
      </c>
      <c r="M1251" t="s">
        <v>484</v>
      </c>
      <c r="N1251" t="s">
        <v>29</v>
      </c>
      <c r="O1251" t="s">
        <v>29</v>
      </c>
      <c r="P1251" t="s">
        <v>29</v>
      </c>
      <c r="Q1251" t="s">
        <v>29</v>
      </c>
      <c r="R1251" t="s">
        <v>441</v>
      </c>
      <c r="S1251" t="s">
        <v>29</v>
      </c>
      <c r="T1251" t="s">
        <v>29</v>
      </c>
      <c r="U1251" t="s">
        <v>29</v>
      </c>
      <c r="V1251" s="6" t="s">
        <v>480</v>
      </c>
      <c r="W1251" t="s">
        <v>29</v>
      </c>
      <c r="X1251" t="s">
        <v>29</v>
      </c>
      <c r="Y1251" s="6" t="s">
        <v>436</v>
      </c>
    </row>
    <row r="1252" spans="2:25" x14ac:dyDescent="0.3">
      <c r="B1252" s="5" t="s">
        <v>69</v>
      </c>
      <c r="C1252" s="7" t="s">
        <v>435</v>
      </c>
      <c r="D1252" t="str">
        <f>VLOOKUP(B1252,[2]물질정보!B:D,3,0)</f>
        <v>2-hydroxyethyl methacrylate</v>
      </c>
      <c r="E1252" t="str">
        <f>VLOOKUP(B1252,[2]물질정보!B:E,4,0)</f>
        <v>C6H10O3</v>
      </c>
      <c r="F1252" t="str">
        <f>VLOOKUP(B1252,[2]물질정보!B:F,5,0)</f>
        <v>130.139 g/mol</v>
      </c>
      <c r="G1252" t="str">
        <f>VLOOKUP(B1252,[2]물질정보!B:G,6,0)</f>
        <v>CC(=C)C(=O)OCCO</v>
      </c>
      <c r="H1252" t="s">
        <v>79</v>
      </c>
      <c r="I1252" t="s">
        <v>127</v>
      </c>
      <c r="J1252" t="s">
        <v>128</v>
      </c>
      <c r="K1252">
        <v>0.99</v>
      </c>
      <c r="L1252" t="s">
        <v>485</v>
      </c>
      <c r="M1252" t="s">
        <v>246</v>
      </c>
      <c r="N1252" t="s">
        <v>29</v>
      </c>
      <c r="O1252" t="s">
        <v>29</v>
      </c>
      <c r="P1252">
        <v>96</v>
      </c>
      <c r="Q1252" t="s">
        <v>440</v>
      </c>
      <c r="R1252" t="s">
        <v>441</v>
      </c>
      <c r="S1252" t="s">
        <v>29</v>
      </c>
      <c r="T1252" t="s">
        <v>29</v>
      </c>
      <c r="U1252" t="s">
        <v>29</v>
      </c>
      <c r="V1252" s="6" t="s">
        <v>480</v>
      </c>
      <c r="W1252" t="s">
        <v>246</v>
      </c>
      <c r="X1252" t="s">
        <v>456</v>
      </c>
      <c r="Y1252" s="6" t="s">
        <v>128</v>
      </c>
    </row>
    <row r="1253" spans="2:25" x14ac:dyDescent="0.3">
      <c r="B1253" s="5" t="s">
        <v>69</v>
      </c>
      <c r="C1253" s="7" t="s">
        <v>435</v>
      </c>
      <c r="D1253" t="str">
        <f>VLOOKUP(B1253,[2]물질정보!B:D,3,0)</f>
        <v>2-hydroxyethyl methacrylate</v>
      </c>
      <c r="E1253" t="str">
        <f>VLOOKUP(B1253,[2]물질정보!B:E,4,0)</f>
        <v>C6H10O3</v>
      </c>
      <c r="F1253" t="str">
        <f>VLOOKUP(B1253,[2]물질정보!B:F,5,0)</f>
        <v>130.139 g/mol</v>
      </c>
      <c r="G1253" t="str">
        <f>VLOOKUP(B1253,[2]물질정보!B:G,6,0)</f>
        <v>CC(=C)C(=O)OCCO</v>
      </c>
      <c r="H1253" t="s">
        <v>79</v>
      </c>
      <c r="I1253" t="s">
        <v>143</v>
      </c>
      <c r="J1253" t="s">
        <v>486</v>
      </c>
      <c r="K1253" t="s">
        <v>463</v>
      </c>
      <c r="L1253" t="s">
        <v>464</v>
      </c>
      <c r="M1253" t="s">
        <v>29</v>
      </c>
      <c r="N1253" t="s">
        <v>29</v>
      </c>
      <c r="O1253" t="s">
        <v>29</v>
      </c>
      <c r="P1253">
        <v>14</v>
      </c>
      <c r="Q1253" t="s">
        <v>465</v>
      </c>
      <c r="R1253" t="s">
        <v>441</v>
      </c>
      <c r="S1253" t="s">
        <v>314</v>
      </c>
      <c r="T1253" t="s">
        <v>29</v>
      </c>
      <c r="U1253" t="s">
        <v>29</v>
      </c>
      <c r="V1253" s="6" t="s">
        <v>480</v>
      </c>
      <c r="W1253" t="s">
        <v>29</v>
      </c>
      <c r="X1253" t="s">
        <v>467</v>
      </c>
      <c r="Y1253" s="6" t="s">
        <v>486</v>
      </c>
    </row>
    <row r="1254" spans="2:25" x14ac:dyDescent="0.3">
      <c r="B1254" s="5" t="s">
        <v>69</v>
      </c>
      <c r="C1254" s="7" t="s">
        <v>435</v>
      </c>
      <c r="D1254" t="str">
        <f>VLOOKUP(B1254,[2]물질정보!B:D,3,0)</f>
        <v>2-hydroxyethyl methacrylate</v>
      </c>
      <c r="E1254" t="str">
        <f>VLOOKUP(B1254,[2]물질정보!B:E,4,0)</f>
        <v>C6H10O3</v>
      </c>
      <c r="F1254" t="str">
        <f>VLOOKUP(B1254,[2]물질정보!B:F,5,0)</f>
        <v>130.139 g/mol</v>
      </c>
      <c r="G1254" t="str">
        <f>VLOOKUP(B1254,[2]물질정보!B:G,6,0)</f>
        <v>CC(=C)C(=O)OCCO</v>
      </c>
      <c r="H1254" t="s">
        <v>79</v>
      </c>
      <c r="I1254" t="s">
        <v>471</v>
      </c>
      <c r="J1254" t="s">
        <v>29</v>
      </c>
      <c r="K1254" t="s">
        <v>99</v>
      </c>
      <c r="L1254" t="s">
        <v>29</v>
      </c>
      <c r="M1254" t="s">
        <v>29</v>
      </c>
      <c r="N1254" t="s">
        <v>29</v>
      </c>
      <c r="O1254" t="s">
        <v>29</v>
      </c>
      <c r="P1254" t="s">
        <v>29</v>
      </c>
      <c r="Q1254" t="s">
        <v>29</v>
      </c>
      <c r="R1254" t="s">
        <v>441</v>
      </c>
      <c r="S1254" t="s">
        <v>29</v>
      </c>
      <c r="T1254" t="s">
        <v>29</v>
      </c>
      <c r="U1254" t="s">
        <v>29</v>
      </c>
      <c r="V1254" s="6" t="s">
        <v>480</v>
      </c>
      <c r="W1254" t="s">
        <v>29</v>
      </c>
      <c r="X1254" t="s">
        <v>29</v>
      </c>
      <c r="Y1254" s="6" t="s">
        <v>29</v>
      </c>
    </row>
    <row r="1255" spans="2:25" x14ac:dyDescent="0.3">
      <c r="B1255" s="5" t="s">
        <v>69</v>
      </c>
      <c r="C1255" s="7" t="s">
        <v>435</v>
      </c>
      <c r="D1255" t="str">
        <f>VLOOKUP(B1255,[2]물질정보!B:D,3,0)</f>
        <v>2-hydroxyethyl methacrylate</v>
      </c>
      <c r="E1255" t="str">
        <f>VLOOKUP(B1255,[2]물질정보!B:E,4,0)</f>
        <v>C6H10O3</v>
      </c>
      <c r="F1255" t="str">
        <f>VLOOKUP(B1255,[2]물질정보!B:F,5,0)</f>
        <v>130.139 g/mol</v>
      </c>
      <c r="G1255" t="str">
        <f>VLOOKUP(B1255,[2]물질정보!B:G,6,0)</f>
        <v>CC(=C)C(=O)OCCO</v>
      </c>
      <c r="H1255" t="s">
        <v>79</v>
      </c>
      <c r="I1255" t="s">
        <v>487</v>
      </c>
      <c r="J1255" t="s">
        <v>436</v>
      </c>
      <c r="K1255">
        <v>5564</v>
      </c>
      <c r="L1255" t="s">
        <v>475</v>
      </c>
      <c r="M1255" t="s">
        <v>438</v>
      </c>
      <c r="N1255" t="s">
        <v>29</v>
      </c>
      <c r="O1255" t="s">
        <v>29</v>
      </c>
      <c r="P1255" t="s">
        <v>29</v>
      </c>
      <c r="Q1255" t="s">
        <v>29</v>
      </c>
      <c r="R1255" t="s">
        <v>441</v>
      </c>
      <c r="S1255" t="s">
        <v>29</v>
      </c>
      <c r="T1255" t="s">
        <v>29</v>
      </c>
      <c r="U1255" t="s">
        <v>29</v>
      </c>
      <c r="V1255" s="6" t="s">
        <v>488</v>
      </c>
      <c r="W1255" t="s">
        <v>438</v>
      </c>
      <c r="X1255" t="s">
        <v>29</v>
      </c>
      <c r="Y1255" s="6" t="s">
        <v>436</v>
      </c>
    </row>
    <row r="1256" spans="2:25" x14ac:dyDescent="0.3">
      <c r="B1256" s="5" t="s">
        <v>69</v>
      </c>
      <c r="C1256" s="7" t="s">
        <v>435</v>
      </c>
      <c r="D1256" t="str">
        <f>VLOOKUP(B1256,[2]물질정보!B:D,3,0)</f>
        <v>2-hydroxyethyl methacrylate</v>
      </c>
      <c r="E1256" t="str">
        <f>VLOOKUP(B1256,[2]물질정보!B:E,4,0)</f>
        <v>C6H10O3</v>
      </c>
      <c r="F1256" t="str">
        <f>VLOOKUP(B1256,[2]물질정보!B:F,5,0)</f>
        <v>130.139 g/mol</v>
      </c>
      <c r="G1256" t="str">
        <f>VLOOKUP(B1256,[2]물질정보!B:G,6,0)</f>
        <v>CC(=C)C(=O)OCCO</v>
      </c>
      <c r="H1256" t="s">
        <v>79</v>
      </c>
      <c r="I1256" t="s">
        <v>137</v>
      </c>
      <c r="J1256" t="s">
        <v>89</v>
      </c>
      <c r="K1256" t="s">
        <v>90</v>
      </c>
      <c r="L1256" t="s">
        <v>29</v>
      </c>
      <c r="M1256" t="s">
        <v>29</v>
      </c>
      <c r="N1256" t="s">
        <v>29</v>
      </c>
      <c r="O1256" t="s">
        <v>29</v>
      </c>
      <c r="P1256" t="s">
        <v>29</v>
      </c>
      <c r="Q1256" t="s">
        <v>29</v>
      </c>
      <c r="R1256" t="s">
        <v>441</v>
      </c>
      <c r="S1256" t="s">
        <v>29</v>
      </c>
      <c r="T1256" t="s">
        <v>29</v>
      </c>
      <c r="U1256" t="s">
        <v>29</v>
      </c>
      <c r="V1256" s="6" t="s">
        <v>488</v>
      </c>
      <c r="W1256" t="s">
        <v>29</v>
      </c>
      <c r="X1256" t="s">
        <v>29</v>
      </c>
      <c r="Y1256" s="6" t="s">
        <v>89</v>
      </c>
    </row>
    <row r="1257" spans="2:25" x14ac:dyDescent="0.3">
      <c r="B1257" s="5" t="s">
        <v>69</v>
      </c>
      <c r="C1257" s="7" t="s">
        <v>435</v>
      </c>
      <c r="D1257" t="str">
        <f>VLOOKUP(B1257,[2]물질정보!B:D,3,0)</f>
        <v>2-hydroxyethyl methacrylate</v>
      </c>
      <c r="E1257" t="str">
        <f>VLOOKUP(B1257,[2]물질정보!B:E,4,0)</f>
        <v>C6H10O3</v>
      </c>
      <c r="F1257" t="str">
        <f>VLOOKUP(B1257,[2]물질정보!B:F,5,0)</f>
        <v>130.139 g/mol</v>
      </c>
      <c r="G1257" t="str">
        <f>VLOOKUP(B1257,[2]물질정보!B:G,6,0)</f>
        <v>CC(=C)C(=O)OCCO</v>
      </c>
      <c r="H1257" t="s">
        <v>79</v>
      </c>
      <c r="I1257" t="s">
        <v>139</v>
      </c>
      <c r="J1257" t="s">
        <v>478</v>
      </c>
      <c r="K1257" t="s">
        <v>99</v>
      </c>
      <c r="L1257" t="s">
        <v>29</v>
      </c>
      <c r="M1257" t="s">
        <v>489</v>
      </c>
      <c r="N1257" t="s">
        <v>29</v>
      </c>
      <c r="O1257" t="s">
        <v>29</v>
      </c>
      <c r="P1257" t="s">
        <v>29</v>
      </c>
      <c r="Q1257" t="s">
        <v>29</v>
      </c>
      <c r="R1257" t="s">
        <v>441</v>
      </c>
      <c r="S1257" t="s">
        <v>29</v>
      </c>
      <c r="T1257" t="s">
        <v>29</v>
      </c>
      <c r="U1257" t="s">
        <v>29</v>
      </c>
      <c r="V1257" s="6" t="s">
        <v>488</v>
      </c>
      <c r="W1257" t="s">
        <v>101</v>
      </c>
      <c r="X1257" t="s">
        <v>29</v>
      </c>
      <c r="Y1257" s="6" t="s">
        <v>98</v>
      </c>
    </row>
    <row r="1258" spans="2:25" x14ac:dyDescent="0.3">
      <c r="B1258" s="5" t="s">
        <v>69</v>
      </c>
      <c r="C1258" s="7" t="s">
        <v>435</v>
      </c>
      <c r="D1258" t="str">
        <f>VLOOKUP(B1258,[2]물질정보!B:D,3,0)</f>
        <v>2-hydroxyethyl methacrylate</v>
      </c>
      <c r="E1258" t="str">
        <f>VLOOKUP(B1258,[2]물질정보!B:E,4,0)</f>
        <v>C6H10O3</v>
      </c>
      <c r="F1258" t="str">
        <f>VLOOKUP(B1258,[2]물질정보!B:F,5,0)</f>
        <v>130.139 g/mol</v>
      </c>
      <c r="G1258" t="str">
        <f>VLOOKUP(B1258,[2]물질정보!B:G,6,0)</f>
        <v>CC(=C)C(=O)OCCO</v>
      </c>
      <c r="H1258" t="s">
        <v>79</v>
      </c>
      <c r="I1258" t="s">
        <v>471</v>
      </c>
      <c r="J1258" t="s">
        <v>29</v>
      </c>
      <c r="K1258" t="s">
        <v>99</v>
      </c>
      <c r="L1258" t="s">
        <v>29</v>
      </c>
      <c r="M1258" t="s">
        <v>472</v>
      </c>
      <c r="N1258" t="s">
        <v>29</v>
      </c>
      <c r="O1258" t="s">
        <v>29</v>
      </c>
      <c r="P1258" t="s">
        <v>29</v>
      </c>
      <c r="Q1258" t="s">
        <v>29</v>
      </c>
      <c r="R1258" t="s">
        <v>441</v>
      </c>
      <c r="S1258" t="s">
        <v>29</v>
      </c>
      <c r="T1258" t="s">
        <v>29</v>
      </c>
      <c r="U1258" t="s">
        <v>29</v>
      </c>
      <c r="V1258" s="6" t="s">
        <v>488</v>
      </c>
      <c r="W1258" t="s">
        <v>472</v>
      </c>
      <c r="X1258" t="s">
        <v>29</v>
      </c>
      <c r="Y1258" s="6" t="s">
        <v>29</v>
      </c>
    </row>
    <row r="1259" spans="2:25" x14ac:dyDescent="0.3">
      <c r="B1259" s="5" t="s">
        <v>69</v>
      </c>
      <c r="C1259" s="7" t="s">
        <v>435</v>
      </c>
      <c r="D1259" t="str">
        <f>VLOOKUP(B1259,[2]물질정보!B:D,3,0)</f>
        <v>2-hydroxyethyl methacrylate</v>
      </c>
      <c r="E1259" t="str">
        <f>VLOOKUP(B1259,[2]물질정보!B:E,4,0)</f>
        <v>C6H10O3</v>
      </c>
      <c r="F1259" t="str">
        <f>VLOOKUP(B1259,[2]물질정보!B:F,5,0)</f>
        <v>130.139 g/mol</v>
      </c>
      <c r="G1259" t="str">
        <f>VLOOKUP(B1259,[2]물질정보!B:G,6,0)</f>
        <v>CC(=C)C(=O)OCCO</v>
      </c>
      <c r="H1259" t="s">
        <v>26</v>
      </c>
      <c r="I1259" t="s">
        <v>127</v>
      </c>
      <c r="J1259" t="s">
        <v>128</v>
      </c>
      <c r="K1259">
        <v>100</v>
      </c>
      <c r="L1259" t="s">
        <v>129</v>
      </c>
      <c r="M1259" t="s">
        <v>254</v>
      </c>
      <c r="N1259" t="s">
        <v>29</v>
      </c>
      <c r="O1259" t="s">
        <v>29</v>
      </c>
      <c r="P1259">
        <v>96</v>
      </c>
      <c r="Q1259" t="s">
        <v>440</v>
      </c>
      <c r="R1259" t="s">
        <v>441</v>
      </c>
      <c r="S1259" t="s">
        <v>29</v>
      </c>
      <c r="T1259" t="s">
        <v>29</v>
      </c>
      <c r="U1259" t="s">
        <v>29</v>
      </c>
      <c r="V1259" s="6" t="s">
        <v>488</v>
      </c>
      <c r="W1259" t="s">
        <v>254</v>
      </c>
      <c r="X1259" t="s">
        <v>456</v>
      </c>
      <c r="Y1259" s="6" t="s">
        <v>49</v>
      </c>
    </row>
    <row r="1260" spans="2:25" x14ac:dyDescent="0.3">
      <c r="B1260" s="5" t="s">
        <v>69</v>
      </c>
      <c r="C1260" s="7" t="s">
        <v>435</v>
      </c>
      <c r="D1260" t="str">
        <f>VLOOKUP(B1260,[2]물질정보!B:D,3,0)</f>
        <v>2-hydroxyethyl methacrylate</v>
      </c>
      <c r="E1260" t="str">
        <f>VLOOKUP(B1260,[2]물질정보!B:E,4,0)</f>
        <v>C6H10O3</v>
      </c>
      <c r="F1260" t="str">
        <f>VLOOKUP(B1260,[2]물질정보!B:F,5,0)</f>
        <v>130.139 g/mol</v>
      </c>
      <c r="G1260" t="str">
        <f>VLOOKUP(B1260,[2]물질정보!B:G,6,0)</f>
        <v>CC(=C)C(=O)OCCO</v>
      </c>
      <c r="H1260" t="s">
        <v>26</v>
      </c>
      <c r="I1260" t="s">
        <v>127</v>
      </c>
      <c r="J1260" t="s">
        <v>128</v>
      </c>
      <c r="K1260">
        <v>227</v>
      </c>
      <c r="L1260" t="s">
        <v>129</v>
      </c>
      <c r="M1260" t="s">
        <v>265</v>
      </c>
      <c r="N1260" t="s">
        <v>29</v>
      </c>
      <c r="O1260" t="s">
        <v>29</v>
      </c>
      <c r="P1260">
        <v>96</v>
      </c>
      <c r="Q1260" t="s">
        <v>440</v>
      </c>
      <c r="R1260" t="s">
        <v>441</v>
      </c>
      <c r="S1260" t="s">
        <v>29</v>
      </c>
      <c r="T1260" t="s">
        <v>29</v>
      </c>
      <c r="U1260" t="s">
        <v>29</v>
      </c>
      <c r="V1260" s="6" t="s">
        <v>488</v>
      </c>
      <c r="W1260" t="s">
        <v>265</v>
      </c>
      <c r="X1260" t="s">
        <v>456</v>
      </c>
      <c r="Y1260" s="6" t="s">
        <v>49</v>
      </c>
    </row>
    <row r="1261" spans="2:25" x14ac:dyDescent="0.3">
      <c r="B1261" s="5" t="s">
        <v>69</v>
      </c>
      <c r="C1261" s="7" t="s">
        <v>435</v>
      </c>
      <c r="D1261" t="str">
        <f>VLOOKUP(B1261,[2]물질정보!B:D,3,0)</f>
        <v>2-hydroxyethyl methacrylate</v>
      </c>
      <c r="E1261" t="str">
        <f>VLOOKUP(B1261,[2]물질정보!B:E,4,0)</f>
        <v>C6H10O3</v>
      </c>
      <c r="F1261" t="str">
        <f>VLOOKUP(B1261,[2]물질정보!B:F,5,0)</f>
        <v>130.139 g/mol</v>
      </c>
      <c r="G1261" t="str">
        <f>VLOOKUP(B1261,[2]물질정보!B:G,6,0)</f>
        <v>CC(=C)C(=O)OCCO</v>
      </c>
      <c r="H1261" t="s">
        <v>26</v>
      </c>
      <c r="I1261" t="s">
        <v>132</v>
      </c>
      <c r="J1261" t="s">
        <v>460</v>
      </c>
      <c r="K1261">
        <v>380</v>
      </c>
      <c r="L1261" t="s">
        <v>129</v>
      </c>
      <c r="M1261" t="s">
        <v>277</v>
      </c>
      <c r="N1261" t="s">
        <v>29</v>
      </c>
      <c r="O1261" t="s">
        <v>29</v>
      </c>
      <c r="P1261">
        <v>48</v>
      </c>
      <c r="Q1261" t="s">
        <v>440</v>
      </c>
      <c r="R1261" t="s">
        <v>441</v>
      </c>
      <c r="S1261" t="s">
        <v>29</v>
      </c>
      <c r="T1261" t="s">
        <v>29</v>
      </c>
      <c r="U1261" t="s">
        <v>29</v>
      </c>
      <c r="V1261" s="6" t="s">
        <v>488</v>
      </c>
      <c r="W1261" t="s">
        <v>277</v>
      </c>
      <c r="X1261" t="s">
        <v>459</v>
      </c>
      <c r="Y1261" s="6" t="s">
        <v>460</v>
      </c>
    </row>
    <row r="1262" spans="2:25" x14ac:dyDescent="0.3">
      <c r="B1262" s="5" t="s">
        <v>69</v>
      </c>
      <c r="C1262" s="7" t="s">
        <v>435</v>
      </c>
      <c r="D1262" t="str">
        <f>VLOOKUP(B1262,[2]물질정보!B:D,3,0)</f>
        <v>2-hydroxyethyl methacrylate</v>
      </c>
      <c r="E1262" t="str">
        <f>VLOOKUP(B1262,[2]물질정보!B:E,4,0)</f>
        <v>C6H10O3</v>
      </c>
      <c r="F1262" t="str">
        <f>VLOOKUP(B1262,[2]물질정보!B:F,5,0)</f>
        <v>130.139 g/mol</v>
      </c>
      <c r="G1262" t="str">
        <f>VLOOKUP(B1262,[2]물질정보!B:G,6,0)</f>
        <v>CC(=C)C(=O)OCCO</v>
      </c>
      <c r="H1262" t="s">
        <v>26</v>
      </c>
      <c r="I1262" t="s">
        <v>490</v>
      </c>
      <c r="J1262" t="s">
        <v>460</v>
      </c>
      <c r="K1262">
        <v>836</v>
      </c>
      <c r="L1262" t="s">
        <v>129</v>
      </c>
      <c r="M1262" t="s">
        <v>43</v>
      </c>
      <c r="N1262" t="s">
        <v>29</v>
      </c>
      <c r="O1262" t="s">
        <v>29</v>
      </c>
      <c r="P1262">
        <v>72</v>
      </c>
      <c r="Q1262" t="s">
        <v>440</v>
      </c>
      <c r="R1262" t="s">
        <v>441</v>
      </c>
      <c r="S1262" t="s">
        <v>29</v>
      </c>
      <c r="T1262" t="s">
        <v>29</v>
      </c>
      <c r="U1262" t="s">
        <v>29</v>
      </c>
      <c r="V1262" s="6" t="s">
        <v>488</v>
      </c>
      <c r="W1262" t="s">
        <v>43</v>
      </c>
      <c r="X1262" t="s">
        <v>462</v>
      </c>
      <c r="Y1262" s="6" t="s">
        <v>28</v>
      </c>
    </row>
    <row r="1263" spans="2:25" x14ac:dyDescent="0.3">
      <c r="B1263" s="5" t="s">
        <v>69</v>
      </c>
      <c r="C1263" s="7" t="s">
        <v>435</v>
      </c>
      <c r="D1263" t="str">
        <f>VLOOKUP(B1263,[2]물질정보!B:D,3,0)</f>
        <v>2-hydroxyethyl methacrylate</v>
      </c>
      <c r="E1263" t="str">
        <f>VLOOKUP(B1263,[2]물질정보!B:E,4,0)</f>
        <v>C6H10O3</v>
      </c>
      <c r="F1263" t="str">
        <f>VLOOKUP(B1263,[2]물질정보!B:F,5,0)</f>
        <v>130.139 g/mol</v>
      </c>
      <c r="G1263" t="str">
        <f>VLOOKUP(B1263,[2]물질정보!B:G,6,0)</f>
        <v>CC(=C)C(=O)OCCO</v>
      </c>
      <c r="H1263" t="s">
        <v>26</v>
      </c>
      <c r="I1263" t="s">
        <v>490</v>
      </c>
      <c r="J1263" t="s">
        <v>460</v>
      </c>
      <c r="K1263">
        <v>345</v>
      </c>
      <c r="L1263" t="s">
        <v>129</v>
      </c>
      <c r="M1263" t="s">
        <v>491</v>
      </c>
      <c r="N1263" t="s">
        <v>29</v>
      </c>
      <c r="O1263" t="s">
        <v>29</v>
      </c>
      <c r="P1263">
        <v>72</v>
      </c>
      <c r="Q1263" t="s">
        <v>440</v>
      </c>
      <c r="R1263" t="s">
        <v>441</v>
      </c>
      <c r="S1263" t="s">
        <v>29</v>
      </c>
      <c r="T1263" t="s">
        <v>29</v>
      </c>
      <c r="U1263" t="s">
        <v>29</v>
      </c>
      <c r="V1263" s="6" t="s">
        <v>488</v>
      </c>
      <c r="W1263" t="s">
        <v>491</v>
      </c>
      <c r="X1263" t="s">
        <v>462</v>
      </c>
      <c r="Y1263" s="6" t="s">
        <v>28</v>
      </c>
    </row>
    <row r="1264" spans="2:25" x14ac:dyDescent="0.3">
      <c r="B1264" s="5" t="s">
        <v>69</v>
      </c>
      <c r="C1264" s="7" t="s">
        <v>435</v>
      </c>
      <c r="D1264" t="str">
        <f>VLOOKUP(B1264,[2]물질정보!B:D,3,0)</f>
        <v>2-hydroxyethyl methacrylate</v>
      </c>
      <c r="E1264" t="str">
        <f>VLOOKUP(B1264,[2]물질정보!B:E,4,0)</f>
        <v>C6H10O3</v>
      </c>
      <c r="F1264" t="str">
        <f>VLOOKUP(B1264,[2]물질정보!B:F,5,0)</f>
        <v>130.139 g/mol</v>
      </c>
      <c r="G1264" t="str">
        <f>VLOOKUP(B1264,[2]물질정보!B:G,6,0)</f>
        <v>CC(=C)C(=O)OCCO</v>
      </c>
      <c r="H1264" t="s">
        <v>26</v>
      </c>
      <c r="I1264" t="s">
        <v>490</v>
      </c>
      <c r="J1264" t="s">
        <v>457</v>
      </c>
      <c r="K1264">
        <v>400</v>
      </c>
      <c r="L1264" t="s">
        <v>129</v>
      </c>
      <c r="M1264" t="s">
        <v>43</v>
      </c>
      <c r="N1264" t="s">
        <v>29</v>
      </c>
      <c r="O1264" t="s">
        <v>29</v>
      </c>
      <c r="P1264">
        <v>72</v>
      </c>
      <c r="Q1264" t="s">
        <v>440</v>
      </c>
      <c r="R1264" t="s">
        <v>441</v>
      </c>
      <c r="S1264" t="s">
        <v>29</v>
      </c>
      <c r="T1264" t="s">
        <v>29</v>
      </c>
      <c r="U1264" t="s">
        <v>29</v>
      </c>
      <c r="V1264" s="6" t="s">
        <v>488</v>
      </c>
      <c r="W1264" t="s">
        <v>43</v>
      </c>
      <c r="X1264" t="s">
        <v>462</v>
      </c>
      <c r="Y1264" s="6" t="s">
        <v>241</v>
      </c>
    </row>
    <row r="1265" spans="2:25" x14ac:dyDescent="0.3">
      <c r="B1265" s="5" t="s">
        <v>69</v>
      </c>
      <c r="C1265" s="7" t="s">
        <v>435</v>
      </c>
      <c r="D1265" t="str">
        <f>VLOOKUP(B1265,[2]물질정보!B:D,3,0)</f>
        <v>2-hydroxyethyl methacrylate</v>
      </c>
      <c r="E1265" t="str">
        <f>VLOOKUP(B1265,[2]물질정보!B:E,4,0)</f>
        <v>C6H10O3</v>
      </c>
      <c r="F1265" t="str">
        <f>VLOOKUP(B1265,[2]물질정보!B:F,5,0)</f>
        <v>130.139 g/mol</v>
      </c>
      <c r="G1265" t="str">
        <f>VLOOKUP(B1265,[2]물질정보!B:G,6,0)</f>
        <v>CC(=C)C(=O)OCCO</v>
      </c>
      <c r="H1265" t="s">
        <v>26</v>
      </c>
      <c r="I1265" t="s">
        <v>490</v>
      </c>
      <c r="J1265" t="s">
        <v>457</v>
      </c>
      <c r="K1265">
        <v>160</v>
      </c>
      <c r="L1265" t="s">
        <v>129</v>
      </c>
      <c r="M1265" t="s">
        <v>491</v>
      </c>
      <c r="N1265" t="s">
        <v>29</v>
      </c>
      <c r="O1265" t="s">
        <v>29</v>
      </c>
      <c r="P1265">
        <v>72</v>
      </c>
      <c r="Q1265" t="s">
        <v>440</v>
      </c>
      <c r="R1265" t="s">
        <v>441</v>
      </c>
      <c r="S1265" t="s">
        <v>29</v>
      </c>
      <c r="T1265" t="s">
        <v>29</v>
      </c>
      <c r="U1265" t="s">
        <v>29</v>
      </c>
      <c r="V1265" s="6" t="s">
        <v>488</v>
      </c>
      <c r="W1265" t="s">
        <v>491</v>
      </c>
      <c r="X1265" t="s">
        <v>462</v>
      </c>
      <c r="Y1265" s="6" t="s">
        <v>241</v>
      </c>
    </row>
    <row r="1266" spans="2:25" x14ac:dyDescent="0.3">
      <c r="B1266" s="5" t="s">
        <v>69</v>
      </c>
      <c r="C1266" s="7" t="s">
        <v>435</v>
      </c>
      <c r="D1266" t="str">
        <f>VLOOKUP(B1266,[2]물질정보!B:D,3,0)</f>
        <v>2-hydroxyethyl methacrylate</v>
      </c>
      <c r="E1266" t="str">
        <f>VLOOKUP(B1266,[2]물질정보!B:E,4,0)</f>
        <v>C6H10O3</v>
      </c>
      <c r="F1266" t="str">
        <f>VLOOKUP(B1266,[2]물질정보!B:F,5,0)</f>
        <v>130.139 g/mol</v>
      </c>
      <c r="G1266" t="str">
        <f>VLOOKUP(B1266,[2]물질정보!B:G,6,0)</f>
        <v>CC(=C)C(=O)OCCO</v>
      </c>
      <c r="H1266" t="s">
        <v>26</v>
      </c>
      <c r="I1266" t="s">
        <v>143</v>
      </c>
      <c r="J1266" t="s">
        <v>29</v>
      </c>
      <c r="K1266" t="s">
        <v>155</v>
      </c>
      <c r="L1266" t="s">
        <v>29</v>
      </c>
      <c r="M1266" t="s">
        <v>29</v>
      </c>
      <c r="N1266" t="s">
        <v>29</v>
      </c>
      <c r="O1266" t="s">
        <v>29</v>
      </c>
      <c r="P1266" t="s">
        <v>29</v>
      </c>
      <c r="Q1266" t="s">
        <v>29</v>
      </c>
      <c r="R1266" t="s">
        <v>441</v>
      </c>
      <c r="S1266" t="s">
        <v>29</v>
      </c>
      <c r="T1266" t="s">
        <v>29</v>
      </c>
      <c r="U1266" t="s">
        <v>29</v>
      </c>
      <c r="V1266" s="6" t="s">
        <v>488</v>
      </c>
      <c r="W1266" t="s">
        <v>29</v>
      </c>
      <c r="X1266" t="s">
        <v>29</v>
      </c>
      <c r="Y1266" s="6" t="s">
        <v>29</v>
      </c>
    </row>
    <row r="1267" spans="2:25" x14ac:dyDescent="0.3">
      <c r="B1267" s="5" t="s">
        <v>69</v>
      </c>
      <c r="C1267" s="7" t="s">
        <v>435</v>
      </c>
      <c r="D1267" t="str">
        <f>VLOOKUP(B1267,[2]물질정보!B:D,3,0)</f>
        <v>2-hydroxyethyl methacrylate</v>
      </c>
      <c r="E1267" t="str">
        <f>VLOOKUP(B1267,[2]물질정보!B:E,4,0)</f>
        <v>C6H10O3</v>
      </c>
      <c r="F1267" t="str">
        <f>VLOOKUP(B1267,[2]물질정보!B:F,5,0)</f>
        <v>130.139 g/mol</v>
      </c>
      <c r="G1267" t="str">
        <f>VLOOKUP(B1267,[2]물질정보!B:G,6,0)</f>
        <v>CC(=C)C(=O)OCCO</v>
      </c>
      <c r="H1267" t="s">
        <v>79</v>
      </c>
      <c r="I1267" t="s">
        <v>487</v>
      </c>
      <c r="J1267" t="s">
        <v>436</v>
      </c>
      <c r="K1267">
        <v>5564</v>
      </c>
      <c r="L1267" t="s">
        <v>475</v>
      </c>
      <c r="M1267" t="s">
        <v>438</v>
      </c>
      <c r="N1267" t="s">
        <v>29</v>
      </c>
      <c r="O1267" t="s">
        <v>29</v>
      </c>
      <c r="P1267" t="s">
        <v>29</v>
      </c>
      <c r="Q1267" t="s">
        <v>29</v>
      </c>
      <c r="R1267" t="s">
        <v>441</v>
      </c>
      <c r="S1267" t="s">
        <v>29</v>
      </c>
      <c r="T1267" t="s">
        <v>29</v>
      </c>
      <c r="U1267" t="s">
        <v>29</v>
      </c>
      <c r="V1267" s="6" t="s">
        <v>492</v>
      </c>
      <c r="W1267" t="s">
        <v>438</v>
      </c>
      <c r="X1267" t="s">
        <v>29</v>
      </c>
      <c r="Y1267" s="6" t="s">
        <v>436</v>
      </c>
    </row>
    <row r="1268" spans="2:25" x14ac:dyDescent="0.3">
      <c r="B1268" s="5" t="s">
        <v>69</v>
      </c>
      <c r="C1268" s="7" t="s">
        <v>435</v>
      </c>
      <c r="D1268" t="str">
        <f>VLOOKUP(B1268,[2]물질정보!B:D,3,0)</f>
        <v>2-hydroxyethyl methacrylate</v>
      </c>
      <c r="E1268" t="str">
        <f>VLOOKUP(B1268,[2]물질정보!B:E,4,0)</f>
        <v>C6H10O3</v>
      </c>
      <c r="F1268" t="str">
        <f>VLOOKUP(B1268,[2]물질정보!B:F,5,0)</f>
        <v>130.139 g/mol</v>
      </c>
      <c r="G1268" t="str">
        <f>VLOOKUP(B1268,[2]물질정보!B:G,6,0)</f>
        <v>CC(=C)C(=O)OCCO</v>
      </c>
      <c r="H1268" t="s">
        <v>79</v>
      </c>
      <c r="I1268" t="s">
        <v>137</v>
      </c>
      <c r="J1268" t="s">
        <v>89</v>
      </c>
      <c r="K1268" t="s">
        <v>90</v>
      </c>
      <c r="L1268" t="s">
        <v>29</v>
      </c>
      <c r="M1268" t="s">
        <v>29</v>
      </c>
      <c r="N1268" t="s">
        <v>29</v>
      </c>
      <c r="O1268" t="s">
        <v>29</v>
      </c>
      <c r="P1268" t="s">
        <v>29</v>
      </c>
      <c r="Q1268" t="s">
        <v>29</v>
      </c>
      <c r="R1268" t="s">
        <v>441</v>
      </c>
      <c r="S1268" t="s">
        <v>29</v>
      </c>
      <c r="T1268" t="s">
        <v>29</v>
      </c>
      <c r="U1268" t="s">
        <v>29</v>
      </c>
      <c r="V1268" s="6" t="s">
        <v>492</v>
      </c>
      <c r="W1268" t="s">
        <v>29</v>
      </c>
      <c r="X1268" t="s">
        <v>29</v>
      </c>
      <c r="Y1268" s="6" t="s">
        <v>89</v>
      </c>
    </row>
    <row r="1269" spans="2:25" x14ac:dyDescent="0.3">
      <c r="B1269" s="5" t="s">
        <v>69</v>
      </c>
      <c r="C1269" s="7" t="s">
        <v>435</v>
      </c>
      <c r="D1269" t="str">
        <f>VLOOKUP(B1269,[2]물질정보!B:D,3,0)</f>
        <v>2-hydroxyethyl methacrylate</v>
      </c>
      <c r="E1269" t="str">
        <f>VLOOKUP(B1269,[2]물질정보!B:E,4,0)</f>
        <v>C6H10O3</v>
      </c>
      <c r="F1269" t="str">
        <f>VLOOKUP(B1269,[2]물질정보!B:F,5,0)</f>
        <v>130.139 g/mol</v>
      </c>
      <c r="G1269" t="str">
        <f>VLOOKUP(B1269,[2]물질정보!B:G,6,0)</f>
        <v>CC(=C)C(=O)OCCO</v>
      </c>
      <c r="H1269" t="s">
        <v>79</v>
      </c>
      <c r="I1269" t="s">
        <v>139</v>
      </c>
      <c r="J1269" t="s">
        <v>478</v>
      </c>
      <c r="K1269" t="s">
        <v>99</v>
      </c>
      <c r="L1269" t="s">
        <v>29</v>
      </c>
      <c r="M1269" t="s">
        <v>489</v>
      </c>
      <c r="N1269" t="s">
        <v>29</v>
      </c>
      <c r="O1269" t="s">
        <v>29</v>
      </c>
      <c r="P1269" t="s">
        <v>29</v>
      </c>
      <c r="Q1269" t="s">
        <v>29</v>
      </c>
      <c r="R1269" t="s">
        <v>441</v>
      </c>
      <c r="S1269" t="s">
        <v>29</v>
      </c>
      <c r="T1269" t="s">
        <v>29</v>
      </c>
      <c r="U1269" t="s">
        <v>29</v>
      </c>
      <c r="V1269" s="6" t="s">
        <v>492</v>
      </c>
      <c r="W1269" t="s">
        <v>101</v>
      </c>
      <c r="X1269" t="s">
        <v>29</v>
      </c>
      <c r="Y1269" s="6" t="s">
        <v>98</v>
      </c>
    </row>
    <row r="1270" spans="2:25" x14ac:dyDescent="0.3">
      <c r="B1270" s="5" t="s">
        <v>69</v>
      </c>
      <c r="C1270" s="7" t="s">
        <v>435</v>
      </c>
      <c r="D1270" t="str">
        <f>VLOOKUP(B1270,[2]물질정보!B:D,3,0)</f>
        <v>2-hydroxyethyl methacrylate</v>
      </c>
      <c r="E1270" t="str">
        <f>VLOOKUP(B1270,[2]물질정보!B:E,4,0)</f>
        <v>C6H10O3</v>
      </c>
      <c r="F1270" t="str">
        <f>VLOOKUP(B1270,[2]물질정보!B:F,5,0)</f>
        <v>130.139 g/mol</v>
      </c>
      <c r="G1270" t="str">
        <f>VLOOKUP(B1270,[2]물질정보!B:G,6,0)</f>
        <v>CC(=C)C(=O)OCCO</v>
      </c>
      <c r="H1270" t="s">
        <v>79</v>
      </c>
      <c r="I1270" t="s">
        <v>471</v>
      </c>
      <c r="J1270" t="s">
        <v>29</v>
      </c>
      <c r="K1270" t="s">
        <v>99</v>
      </c>
      <c r="L1270" t="s">
        <v>29</v>
      </c>
      <c r="M1270" t="s">
        <v>472</v>
      </c>
      <c r="N1270" t="s">
        <v>29</v>
      </c>
      <c r="O1270" t="s">
        <v>29</v>
      </c>
      <c r="P1270" t="s">
        <v>29</v>
      </c>
      <c r="Q1270" t="s">
        <v>29</v>
      </c>
      <c r="R1270" t="s">
        <v>441</v>
      </c>
      <c r="S1270" t="s">
        <v>29</v>
      </c>
      <c r="T1270" t="s">
        <v>29</v>
      </c>
      <c r="U1270" t="s">
        <v>29</v>
      </c>
      <c r="V1270" s="6" t="s">
        <v>492</v>
      </c>
      <c r="W1270" t="s">
        <v>472</v>
      </c>
      <c r="X1270" t="s">
        <v>29</v>
      </c>
      <c r="Y1270" s="6" t="s">
        <v>29</v>
      </c>
    </row>
    <row r="1271" spans="2:25" x14ac:dyDescent="0.3">
      <c r="B1271" s="5" t="s">
        <v>69</v>
      </c>
      <c r="C1271" s="7" t="s">
        <v>435</v>
      </c>
      <c r="D1271" t="str">
        <f>VLOOKUP(B1271,[2]물질정보!B:D,3,0)</f>
        <v>2-hydroxyethyl methacrylate</v>
      </c>
      <c r="E1271" t="str">
        <f>VLOOKUP(B1271,[2]물질정보!B:E,4,0)</f>
        <v>C6H10O3</v>
      </c>
      <c r="F1271" t="str">
        <f>VLOOKUP(B1271,[2]물질정보!B:F,5,0)</f>
        <v>130.139 g/mol</v>
      </c>
      <c r="G1271" t="str">
        <f>VLOOKUP(B1271,[2]물질정보!B:G,6,0)</f>
        <v>CC(=C)C(=O)OCCO</v>
      </c>
      <c r="H1271" t="s">
        <v>26</v>
      </c>
      <c r="I1271" t="s">
        <v>127</v>
      </c>
      <c r="J1271" t="s">
        <v>128</v>
      </c>
      <c r="K1271">
        <v>100</v>
      </c>
      <c r="L1271" t="s">
        <v>129</v>
      </c>
      <c r="M1271" t="s">
        <v>254</v>
      </c>
      <c r="N1271" t="s">
        <v>29</v>
      </c>
      <c r="O1271" t="s">
        <v>29</v>
      </c>
      <c r="P1271">
        <v>96</v>
      </c>
      <c r="Q1271" t="s">
        <v>440</v>
      </c>
      <c r="R1271" t="s">
        <v>441</v>
      </c>
      <c r="S1271" t="s">
        <v>29</v>
      </c>
      <c r="T1271" t="s">
        <v>29</v>
      </c>
      <c r="U1271" t="s">
        <v>29</v>
      </c>
      <c r="V1271" s="6" t="s">
        <v>492</v>
      </c>
      <c r="W1271" t="s">
        <v>254</v>
      </c>
      <c r="X1271" t="s">
        <v>456</v>
      </c>
      <c r="Y1271" s="6" t="s">
        <v>49</v>
      </c>
    </row>
    <row r="1272" spans="2:25" x14ac:dyDescent="0.3">
      <c r="B1272" s="5" t="s">
        <v>69</v>
      </c>
      <c r="C1272" s="7" t="s">
        <v>435</v>
      </c>
      <c r="D1272" t="str">
        <f>VLOOKUP(B1272,[2]물질정보!B:D,3,0)</f>
        <v>2-hydroxyethyl methacrylate</v>
      </c>
      <c r="E1272" t="str">
        <f>VLOOKUP(B1272,[2]물질정보!B:E,4,0)</f>
        <v>C6H10O3</v>
      </c>
      <c r="F1272" t="str">
        <f>VLOOKUP(B1272,[2]물질정보!B:F,5,0)</f>
        <v>130.139 g/mol</v>
      </c>
      <c r="G1272" t="str">
        <f>VLOOKUP(B1272,[2]물질정보!B:G,6,0)</f>
        <v>CC(=C)C(=O)OCCO</v>
      </c>
      <c r="H1272" t="s">
        <v>26</v>
      </c>
      <c r="I1272" t="s">
        <v>127</v>
      </c>
      <c r="J1272" t="s">
        <v>128</v>
      </c>
      <c r="K1272">
        <v>227</v>
      </c>
      <c r="L1272" t="s">
        <v>129</v>
      </c>
      <c r="M1272" t="s">
        <v>265</v>
      </c>
      <c r="N1272" t="s">
        <v>29</v>
      </c>
      <c r="O1272" t="s">
        <v>29</v>
      </c>
      <c r="P1272">
        <v>96</v>
      </c>
      <c r="Q1272" t="s">
        <v>440</v>
      </c>
      <c r="R1272" t="s">
        <v>441</v>
      </c>
      <c r="S1272" t="s">
        <v>29</v>
      </c>
      <c r="T1272" t="s">
        <v>29</v>
      </c>
      <c r="U1272" t="s">
        <v>29</v>
      </c>
      <c r="V1272" s="6" t="s">
        <v>492</v>
      </c>
      <c r="W1272" t="s">
        <v>265</v>
      </c>
      <c r="X1272" t="s">
        <v>456</v>
      </c>
      <c r="Y1272" s="6" t="s">
        <v>49</v>
      </c>
    </row>
    <row r="1273" spans="2:25" x14ac:dyDescent="0.3">
      <c r="B1273" s="5" t="s">
        <v>69</v>
      </c>
      <c r="C1273" s="7" t="s">
        <v>435</v>
      </c>
      <c r="D1273" t="str">
        <f>VLOOKUP(B1273,[2]물질정보!B:D,3,0)</f>
        <v>2-hydroxyethyl methacrylate</v>
      </c>
      <c r="E1273" t="str">
        <f>VLOOKUP(B1273,[2]물질정보!B:E,4,0)</f>
        <v>C6H10O3</v>
      </c>
      <c r="F1273" t="str">
        <f>VLOOKUP(B1273,[2]물질정보!B:F,5,0)</f>
        <v>130.139 g/mol</v>
      </c>
      <c r="G1273" t="str">
        <f>VLOOKUP(B1273,[2]물질정보!B:G,6,0)</f>
        <v>CC(=C)C(=O)OCCO</v>
      </c>
      <c r="H1273" t="s">
        <v>26</v>
      </c>
      <c r="I1273" t="s">
        <v>132</v>
      </c>
      <c r="J1273" t="s">
        <v>460</v>
      </c>
      <c r="K1273">
        <v>380</v>
      </c>
      <c r="L1273" t="s">
        <v>129</v>
      </c>
      <c r="M1273" t="s">
        <v>277</v>
      </c>
      <c r="N1273" t="s">
        <v>29</v>
      </c>
      <c r="O1273" t="s">
        <v>29</v>
      </c>
      <c r="P1273">
        <v>48</v>
      </c>
      <c r="Q1273" t="s">
        <v>440</v>
      </c>
      <c r="R1273" t="s">
        <v>441</v>
      </c>
      <c r="S1273" t="s">
        <v>29</v>
      </c>
      <c r="T1273" t="s">
        <v>29</v>
      </c>
      <c r="U1273" t="s">
        <v>29</v>
      </c>
      <c r="V1273" s="6" t="s">
        <v>492</v>
      </c>
      <c r="W1273" t="s">
        <v>277</v>
      </c>
      <c r="X1273" t="s">
        <v>459</v>
      </c>
      <c r="Y1273" s="6" t="s">
        <v>460</v>
      </c>
    </row>
    <row r="1274" spans="2:25" x14ac:dyDescent="0.3">
      <c r="B1274" s="5" t="s">
        <v>69</v>
      </c>
      <c r="C1274" s="7" t="s">
        <v>435</v>
      </c>
      <c r="D1274" t="str">
        <f>VLOOKUP(B1274,[2]물질정보!B:D,3,0)</f>
        <v>2-hydroxyethyl methacrylate</v>
      </c>
      <c r="E1274" t="str">
        <f>VLOOKUP(B1274,[2]물질정보!B:E,4,0)</f>
        <v>C6H10O3</v>
      </c>
      <c r="F1274" t="str">
        <f>VLOOKUP(B1274,[2]물질정보!B:F,5,0)</f>
        <v>130.139 g/mol</v>
      </c>
      <c r="G1274" t="str">
        <f>VLOOKUP(B1274,[2]물질정보!B:G,6,0)</f>
        <v>CC(=C)C(=O)OCCO</v>
      </c>
      <c r="H1274" t="s">
        <v>26</v>
      </c>
      <c r="I1274" t="s">
        <v>490</v>
      </c>
      <c r="J1274" t="s">
        <v>460</v>
      </c>
      <c r="K1274">
        <v>836</v>
      </c>
      <c r="L1274" t="s">
        <v>129</v>
      </c>
      <c r="M1274" t="s">
        <v>43</v>
      </c>
      <c r="N1274" t="s">
        <v>29</v>
      </c>
      <c r="O1274" t="s">
        <v>29</v>
      </c>
      <c r="P1274">
        <v>72</v>
      </c>
      <c r="Q1274" t="s">
        <v>440</v>
      </c>
      <c r="R1274" t="s">
        <v>441</v>
      </c>
      <c r="S1274" t="s">
        <v>29</v>
      </c>
      <c r="T1274" t="s">
        <v>29</v>
      </c>
      <c r="U1274" t="s">
        <v>29</v>
      </c>
      <c r="V1274" s="6" t="s">
        <v>492</v>
      </c>
      <c r="W1274" t="s">
        <v>43</v>
      </c>
      <c r="X1274" t="s">
        <v>462</v>
      </c>
      <c r="Y1274" s="6" t="s">
        <v>28</v>
      </c>
    </row>
    <row r="1275" spans="2:25" x14ac:dyDescent="0.3">
      <c r="B1275" s="5" t="s">
        <v>69</v>
      </c>
      <c r="C1275" s="7" t="s">
        <v>435</v>
      </c>
      <c r="D1275" t="str">
        <f>VLOOKUP(B1275,[2]물질정보!B:D,3,0)</f>
        <v>2-hydroxyethyl methacrylate</v>
      </c>
      <c r="E1275" t="str">
        <f>VLOOKUP(B1275,[2]물질정보!B:E,4,0)</f>
        <v>C6H10O3</v>
      </c>
      <c r="F1275" t="str">
        <f>VLOOKUP(B1275,[2]물질정보!B:F,5,0)</f>
        <v>130.139 g/mol</v>
      </c>
      <c r="G1275" t="str">
        <f>VLOOKUP(B1275,[2]물질정보!B:G,6,0)</f>
        <v>CC(=C)C(=O)OCCO</v>
      </c>
      <c r="H1275" t="s">
        <v>26</v>
      </c>
      <c r="I1275" t="s">
        <v>490</v>
      </c>
      <c r="J1275" t="s">
        <v>460</v>
      </c>
      <c r="K1275">
        <v>345</v>
      </c>
      <c r="L1275" t="s">
        <v>129</v>
      </c>
      <c r="M1275" t="s">
        <v>491</v>
      </c>
      <c r="N1275" t="s">
        <v>29</v>
      </c>
      <c r="O1275" t="s">
        <v>29</v>
      </c>
      <c r="P1275">
        <v>72</v>
      </c>
      <c r="Q1275" t="s">
        <v>440</v>
      </c>
      <c r="R1275" t="s">
        <v>441</v>
      </c>
      <c r="S1275" t="s">
        <v>29</v>
      </c>
      <c r="T1275" t="s">
        <v>29</v>
      </c>
      <c r="U1275" t="s">
        <v>29</v>
      </c>
      <c r="V1275" s="6" t="s">
        <v>492</v>
      </c>
      <c r="W1275" t="s">
        <v>491</v>
      </c>
      <c r="X1275" t="s">
        <v>462</v>
      </c>
      <c r="Y1275" s="6" t="s">
        <v>28</v>
      </c>
    </row>
    <row r="1276" spans="2:25" x14ac:dyDescent="0.3">
      <c r="B1276" s="5" t="s">
        <v>69</v>
      </c>
      <c r="C1276" s="7" t="s">
        <v>435</v>
      </c>
      <c r="D1276" t="str">
        <f>VLOOKUP(B1276,[2]물질정보!B:D,3,0)</f>
        <v>2-hydroxyethyl methacrylate</v>
      </c>
      <c r="E1276" t="str">
        <f>VLOOKUP(B1276,[2]물질정보!B:E,4,0)</f>
        <v>C6H10O3</v>
      </c>
      <c r="F1276" t="str">
        <f>VLOOKUP(B1276,[2]물질정보!B:F,5,0)</f>
        <v>130.139 g/mol</v>
      </c>
      <c r="G1276" t="str">
        <f>VLOOKUP(B1276,[2]물질정보!B:G,6,0)</f>
        <v>CC(=C)C(=O)OCCO</v>
      </c>
      <c r="H1276" t="s">
        <v>26</v>
      </c>
      <c r="I1276" t="s">
        <v>490</v>
      </c>
      <c r="J1276" t="s">
        <v>457</v>
      </c>
      <c r="K1276">
        <v>400</v>
      </c>
      <c r="L1276" t="s">
        <v>129</v>
      </c>
      <c r="M1276" t="s">
        <v>43</v>
      </c>
      <c r="N1276" t="s">
        <v>29</v>
      </c>
      <c r="O1276" t="s">
        <v>29</v>
      </c>
      <c r="P1276">
        <v>72</v>
      </c>
      <c r="Q1276" t="s">
        <v>440</v>
      </c>
      <c r="R1276" t="s">
        <v>441</v>
      </c>
      <c r="S1276" t="s">
        <v>29</v>
      </c>
      <c r="T1276" t="s">
        <v>29</v>
      </c>
      <c r="U1276" t="s">
        <v>29</v>
      </c>
      <c r="V1276" s="6" t="s">
        <v>492</v>
      </c>
      <c r="W1276" t="s">
        <v>43</v>
      </c>
      <c r="X1276" t="s">
        <v>462</v>
      </c>
      <c r="Y1276" s="6" t="s">
        <v>241</v>
      </c>
    </row>
    <row r="1277" spans="2:25" x14ac:dyDescent="0.3">
      <c r="B1277" s="5" t="s">
        <v>69</v>
      </c>
      <c r="C1277" s="7" t="s">
        <v>435</v>
      </c>
      <c r="D1277" t="str">
        <f>VLOOKUP(B1277,[2]물질정보!B:D,3,0)</f>
        <v>2-hydroxyethyl methacrylate</v>
      </c>
      <c r="E1277" t="str">
        <f>VLOOKUP(B1277,[2]물질정보!B:E,4,0)</f>
        <v>C6H10O3</v>
      </c>
      <c r="F1277" t="str">
        <f>VLOOKUP(B1277,[2]물질정보!B:F,5,0)</f>
        <v>130.139 g/mol</v>
      </c>
      <c r="G1277" t="str">
        <f>VLOOKUP(B1277,[2]물질정보!B:G,6,0)</f>
        <v>CC(=C)C(=O)OCCO</v>
      </c>
      <c r="H1277" t="s">
        <v>26</v>
      </c>
      <c r="I1277" t="s">
        <v>490</v>
      </c>
      <c r="J1277" t="s">
        <v>457</v>
      </c>
      <c r="K1277">
        <v>160</v>
      </c>
      <c r="L1277" t="s">
        <v>129</v>
      </c>
      <c r="M1277" t="s">
        <v>491</v>
      </c>
      <c r="N1277" t="s">
        <v>29</v>
      </c>
      <c r="O1277" t="s">
        <v>29</v>
      </c>
      <c r="P1277">
        <v>72</v>
      </c>
      <c r="Q1277" t="s">
        <v>440</v>
      </c>
      <c r="R1277" t="s">
        <v>441</v>
      </c>
      <c r="S1277" t="s">
        <v>29</v>
      </c>
      <c r="T1277" t="s">
        <v>29</v>
      </c>
      <c r="U1277" t="s">
        <v>29</v>
      </c>
      <c r="V1277" s="6" t="s">
        <v>492</v>
      </c>
      <c r="W1277" t="s">
        <v>491</v>
      </c>
      <c r="X1277" t="s">
        <v>462</v>
      </c>
      <c r="Y1277" s="6" t="s">
        <v>241</v>
      </c>
    </row>
    <row r="1278" spans="2:25" x14ac:dyDescent="0.3">
      <c r="B1278" s="5" t="s">
        <v>69</v>
      </c>
      <c r="C1278" s="7" t="s">
        <v>435</v>
      </c>
      <c r="D1278" t="str">
        <f>VLOOKUP(B1278,[2]물질정보!B:D,3,0)</f>
        <v>2-hydroxyethyl methacrylate</v>
      </c>
      <c r="E1278" t="str">
        <f>VLOOKUP(B1278,[2]물질정보!B:E,4,0)</f>
        <v>C6H10O3</v>
      </c>
      <c r="F1278" t="str">
        <f>VLOOKUP(B1278,[2]물질정보!B:F,5,0)</f>
        <v>130.139 g/mol</v>
      </c>
      <c r="G1278" t="str">
        <f>VLOOKUP(B1278,[2]물질정보!B:G,6,0)</f>
        <v>CC(=C)C(=O)OCCO</v>
      </c>
      <c r="H1278" t="s">
        <v>26</v>
      </c>
      <c r="I1278" t="s">
        <v>143</v>
      </c>
      <c r="J1278" t="s">
        <v>29</v>
      </c>
      <c r="K1278" t="s">
        <v>155</v>
      </c>
      <c r="L1278" t="s">
        <v>29</v>
      </c>
      <c r="M1278" t="s">
        <v>29</v>
      </c>
      <c r="N1278" t="s">
        <v>29</v>
      </c>
      <c r="O1278" t="s">
        <v>29</v>
      </c>
      <c r="P1278" t="s">
        <v>29</v>
      </c>
      <c r="Q1278" t="s">
        <v>29</v>
      </c>
      <c r="R1278" t="s">
        <v>441</v>
      </c>
      <c r="S1278" t="s">
        <v>29</v>
      </c>
      <c r="T1278" t="s">
        <v>29</v>
      </c>
      <c r="U1278" t="s">
        <v>29</v>
      </c>
      <c r="V1278" s="6" t="s">
        <v>492</v>
      </c>
      <c r="W1278" t="s">
        <v>29</v>
      </c>
      <c r="X1278" t="s">
        <v>29</v>
      </c>
      <c r="Y1278" s="6" t="s">
        <v>29</v>
      </c>
    </row>
    <row r="1279" spans="2:25" x14ac:dyDescent="0.3">
      <c r="B1279" s="5" t="s">
        <v>493</v>
      </c>
      <c r="C1279" s="5" t="str">
        <f>VLOOKUP(B1279,[1]물질정보!B:C,2,0)</f>
        <v>-</v>
      </c>
      <c r="D1279" t="str">
        <f>VLOOKUP(B1279,[1]물질정보!B:D,3,0)</f>
        <v xml:space="preserve">9-(9H-Carbazol-9-yl)-7H-benzo[c]carbazole </v>
      </c>
      <c r="E1279" t="str">
        <f>VLOOKUP(B1279,[1]물질정보!B:E,4,0)</f>
        <v>C28H18N2</v>
      </c>
      <c r="F1279" t="str">
        <f>VLOOKUP(B1279,[1]물질정보!B:F,5,0)</f>
        <v>382.5 g/mol</v>
      </c>
      <c r="G1279" s="5" t="str">
        <f>VLOOKUP(B1279,[1]물질정보!B:G,6,0)</f>
        <v>C1=CC=C2C(=C1)C=CC3=C2C4=C(N3)C=C(C=C4)N5C6=CC=CC=C6C7=CC=CC=C75</v>
      </c>
      <c r="I1279" t="s">
        <v>494</v>
      </c>
      <c r="J1279" t="s">
        <v>436</v>
      </c>
      <c r="K1279">
        <v>347</v>
      </c>
      <c r="L1279" t="s">
        <v>475</v>
      </c>
      <c r="M1279" t="s">
        <v>495</v>
      </c>
      <c r="R1279" t="s">
        <v>355</v>
      </c>
      <c r="V1279" s="6" t="s">
        <v>681</v>
      </c>
      <c r="W1279" t="s">
        <v>86</v>
      </c>
      <c r="X1279" t="s">
        <v>825</v>
      </c>
      <c r="Y1279" s="6" t="s">
        <v>81</v>
      </c>
    </row>
    <row r="1280" spans="2:25" x14ac:dyDescent="0.3">
      <c r="B1280" s="5" t="s">
        <v>493</v>
      </c>
      <c r="C1280" s="5" t="str">
        <f>VLOOKUP(B1280,[1]물질정보!B:C,2,0)</f>
        <v>-</v>
      </c>
      <c r="D1280" t="str">
        <f>VLOOKUP(B1280,[1]물질정보!B:D,3,0)</f>
        <v xml:space="preserve">9-(9H-Carbazol-9-yl)-7H-benzo[c]carbazole </v>
      </c>
      <c r="E1280" t="str">
        <f>VLOOKUP(B1280,[1]물질정보!B:E,4,0)</f>
        <v>C28H18N2</v>
      </c>
      <c r="F1280" t="str">
        <f>VLOOKUP(B1280,[1]물질정보!B:F,5,0)</f>
        <v>382.5 g/mol</v>
      </c>
      <c r="G1280" s="5" t="str">
        <f>VLOOKUP(B1280,[1]물질정보!B:G,6,0)</f>
        <v>C1=CC=C2C(=C1)C=CC3=C2C4=C(N3)C=C(C=C4)N5C6=CC=CC=C6C7=CC=CC=C75</v>
      </c>
      <c r="I1280" t="s">
        <v>496</v>
      </c>
      <c r="K1280" t="s">
        <v>497</v>
      </c>
      <c r="R1280" t="s">
        <v>355</v>
      </c>
      <c r="V1280" s="6" t="s">
        <v>681</v>
      </c>
      <c r="X1280" t="s">
        <v>825</v>
      </c>
    </row>
    <row r="1281" spans="2:25" x14ac:dyDescent="0.3">
      <c r="B1281" s="5" t="s">
        <v>493</v>
      </c>
      <c r="C1281" s="5" t="str">
        <f>VLOOKUP(B1281,[1]물질정보!B:C,2,0)</f>
        <v>-</v>
      </c>
      <c r="D1281" t="str">
        <f>VLOOKUP(B1281,[1]물질정보!B:D,3,0)</f>
        <v xml:space="preserve">9-(9H-Carbazol-9-yl)-7H-benzo[c]carbazole </v>
      </c>
      <c r="E1281" t="str">
        <f>VLOOKUP(B1281,[1]물질정보!B:E,4,0)</f>
        <v>C28H18N2</v>
      </c>
      <c r="F1281" t="str">
        <f>VLOOKUP(B1281,[1]물질정보!B:F,5,0)</f>
        <v>382.5 g/mol</v>
      </c>
      <c r="G1281" s="5" t="str">
        <f>VLOOKUP(B1281,[1]물질정보!B:G,6,0)</f>
        <v>C1=CC=C2C(=C1)C=CC3=C2C4=C(N3)C=C(C=C4)N5C6=CC=CC=C6C7=CC=CC=C75</v>
      </c>
      <c r="I1281" t="s">
        <v>137</v>
      </c>
      <c r="J1281" t="s">
        <v>498</v>
      </c>
      <c r="K1281" t="s">
        <v>499</v>
      </c>
      <c r="R1281" t="s">
        <v>355</v>
      </c>
      <c r="V1281" s="6" t="s">
        <v>681</v>
      </c>
      <c r="X1281" t="s">
        <v>825</v>
      </c>
      <c r="Y1281" s="6" t="s">
        <v>89</v>
      </c>
    </row>
    <row r="1282" spans="2:25" x14ac:dyDescent="0.3">
      <c r="B1282" s="5" t="s">
        <v>500</v>
      </c>
      <c r="C1282" s="5" t="str">
        <f>VLOOKUP(B1282,[1]물질정보!B:C,2,0)</f>
        <v>205-25-4</v>
      </c>
      <c r="D1282" t="str">
        <f>VLOOKUP(B1282,[1]물질정보!B:D,3,0)</f>
        <v xml:space="preserve">7H-Benzo[c]carbazole </v>
      </c>
      <c r="E1282" t="str">
        <f>VLOOKUP(B1282,[1]물질정보!B:E,4,0)</f>
        <v>C16H11N</v>
      </c>
      <c r="F1282" t="str">
        <f>VLOOKUP(B1282,[1]물질정보!B:F,5,0)</f>
        <v>217.26 g/mol</v>
      </c>
      <c r="G1282" s="5" t="str">
        <f>VLOOKUP(B1282,[1]물질정보!B:G,6,0)</f>
        <v>C1=CC=C2C(=C1)C=CC3=C2C4=CC=CC=C4N3</v>
      </c>
      <c r="I1282" t="s">
        <v>494</v>
      </c>
      <c r="J1282" t="s">
        <v>436</v>
      </c>
      <c r="K1282">
        <v>360</v>
      </c>
      <c r="L1282" t="s">
        <v>475</v>
      </c>
      <c r="M1282" t="s">
        <v>495</v>
      </c>
      <c r="R1282" t="s">
        <v>355</v>
      </c>
      <c r="V1282" s="6" t="s">
        <v>681</v>
      </c>
      <c r="W1282" t="s">
        <v>86</v>
      </c>
      <c r="X1282" t="s">
        <v>825</v>
      </c>
      <c r="Y1282" s="6" t="s">
        <v>81</v>
      </c>
    </row>
    <row r="1283" spans="2:25" x14ac:dyDescent="0.3">
      <c r="B1283" s="5" t="s">
        <v>500</v>
      </c>
      <c r="C1283" s="5" t="str">
        <f>VLOOKUP(B1283,[1]물질정보!B:C,2,0)</f>
        <v>205-25-4</v>
      </c>
      <c r="D1283" t="str">
        <f>VLOOKUP(B1283,[1]물질정보!B:D,3,0)</f>
        <v xml:space="preserve">7H-Benzo[c]carbazole </v>
      </c>
      <c r="E1283" t="str">
        <f>VLOOKUP(B1283,[1]물질정보!B:E,4,0)</f>
        <v>C16H11N</v>
      </c>
      <c r="F1283" t="str">
        <f>VLOOKUP(B1283,[1]물질정보!B:F,5,0)</f>
        <v>217.26 g/mol</v>
      </c>
      <c r="G1283" s="5" t="str">
        <f>VLOOKUP(B1283,[1]물질정보!B:G,6,0)</f>
        <v>C1=CC=C2C(=C1)C=CC3=C2C4=CC=CC=C4N3</v>
      </c>
      <c r="I1283" t="s">
        <v>496</v>
      </c>
      <c r="K1283" t="s">
        <v>501</v>
      </c>
      <c r="R1283" t="s">
        <v>355</v>
      </c>
      <c r="V1283" s="6" t="s">
        <v>681</v>
      </c>
      <c r="X1283" t="s">
        <v>825</v>
      </c>
    </row>
    <row r="1284" spans="2:25" x14ac:dyDescent="0.3">
      <c r="B1284" s="5" t="s">
        <v>500</v>
      </c>
      <c r="C1284" s="5" t="str">
        <f>VLOOKUP(B1284,[1]물질정보!B:C,2,0)</f>
        <v>205-25-4</v>
      </c>
      <c r="D1284" t="str">
        <f>VLOOKUP(B1284,[1]물질정보!B:D,3,0)</f>
        <v xml:space="preserve">7H-Benzo[c]carbazole </v>
      </c>
      <c r="E1284" t="str">
        <f>VLOOKUP(B1284,[1]물질정보!B:E,4,0)</f>
        <v>C16H11N</v>
      </c>
      <c r="F1284" t="str">
        <f>VLOOKUP(B1284,[1]물질정보!B:F,5,0)</f>
        <v>217.26 g/mol</v>
      </c>
      <c r="G1284" s="5" t="str">
        <f>VLOOKUP(B1284,[1]물질정보!B:G,6,0)</f>
        <v>C1=CC=C2C(=C1)C=CC3=C2C4=CC=CC=C4N3</v>
      </c>
      <c r="I1284" t="s">
        <v>137</v>
      </c>
      <c r="J1284" t="s">
        <v>498</v>
      </c>
      <c r="K1284" t="s">
        <v>502</v>
      </c>
      <c r="R1284" t="s">
        <v>355</v>
      </c>
      <c r="V1284" s="6" t="s">
        <v>681</v>
      </c>
      <c r="X1284" t="s">
        <v>825</v>
      </c>
      <c r="Y1284" s="6" t="s">
        <v>89</v>
      </c>
    </row>
    <row r="1285" spans="2:25" x14ac:dyDescent="0.3">
      <c r="B1285" s="5" t="s">
        <v>503</v>
      </c>
      <c r="C1285" s="5" t="str">
        <f>VLOOKUP(B1285,[1]물질정보!B:C,2,0)</f>
        <v>97-63-2</v>
      </c>
      <c r="D1285" t="str">
        <f>VLOOKUP(B1285,[1]물질정보!B:D,3,0)</f>
        <v>ethyl methacrylate</v>
      </c>
      <c r="E1285" t="str">
        <f>VLOOKUP(B1285,[1]물질정보!B:E,4,0)</f>
        <v>C6H10O2</v>
      </c>
      <c r="F1285" t="str">
        <f>VLOOKUP(B1285,[1]물질정보!B:F,5,0)</f>
        <v>114.14 g/mol</v>
      </c>
      <c r="G1285" s="5" t="str">
        <f>VLOOKUP(B1285,[1]물질정보!B:G,6,0)</f>
        <v>CCOC(=O)C(=C)C</v>
      </c>
      <c r="I1285" t="s">
        <v>494</v>
      </c>
      <c r="J1285" t="s">
        <v>436</v>
      </c>
      <c r="K1285">
        <v>196</v>
      </c>
      <c r="L1285" t="s">
        <v>475</v>
      </c>
      <c r="M1285" t="s">
        <v>495</v>
      </c>
      <c r="R1285" t="s">
        <v>355</v>
      </c>
      <c r="V1285" s="6" t="s">
        <v>681</v>
      </c>
      <c r="W1285" t="s">
        <v>86</v>
      </c>
      <c r="X1285" t="s">
        <v>825</v>
      </c>
      <c r="Y1285" s="6" t="s">
        <v>81</v>
      </c>
    </row>
    <row r="1286" spans="2:25" x14ac:dyDescent="0.3">
      <c r="B1286" s="5" t="s">
        <v>503</v>
      </c>
      <c r="C1286" s="5" t="str">
        <f>VLOOKUP(B1286,[1]물질정보!B:C,2,0)</f>
        <v>97-63-2</v>
      </c>
      <c r="D1286" t="str">
        <f>VLOOKUP(B1286,[1]물질정보!B:D,3,0)</f>
        <v>ethyl methacrylate</v>
      </c>
      <c r="E1286" t="str">
        <f>VLOOKUP(B1286,[1]물질정보!B:E,4,0)</f>
        <v>C6H10O2</v>
      </c>
      <c r="F1286" t="str">
        <f>VLOOKUP(B1286,[1]물질정보!B:F,5,0)</f>
        <v>114.14 g/mol</v>
      </c>
      <c r="G1286" s="5" t="str">
        <f>VLOOKUP(B1286,[1]물질정보!B:G,6,0)</f>
        <v>CCOC(=O)C(=C)C</v>
      </c>
      <c r="I1286" t="s">
        <v>496</v>
      </c>
      <c r="K1286" t="s">
        <v>504</v>
      </c>
      <c r="R1286" t="s">
        <v>355</v>
      </c>
      <c r="V1286" s="6" t="s">
        <v>681</v>
      </c>
      <c r="X1286" t="s">
        <v>825</v>
      </c>
    </row>
    <row r="1287" spans="2:25" x14ac:dyDescent="0.3">
      <c r="B1287" s="5" t="s">
        <v>503</v>
      </c>
      <c r="C1287" s="5" t="str">
        <f>VLOOKUP(B1287,[1]물질정보!B:C,2,0)</f>
        <v>97-63-2</v>
      </c>
      <c r="D1287" t="str">
        <f>VLOOKUP(B1287,[1]물질정보!B:D,3,0)</f>
        <v>ethyl methacrylate</v>
      </c>
      <c r="E1287" t="str">
        <f>VLOOKUP(B1287,[1]물질정보!B:E,4,0)</f>
        <v>C6H10O2</v>
      </c>
      <c r="F1287" t="str">
        <f>VLOOKUP(B1287,[1]물질정보!B:F,5,0)</f>
        <v>114.14 g/mol</v>
      </c>
      <c r="G1287" s="5" t="str">
        <f>VLOOKUP(B1287,[1]물질정보!B:G,6,0)</f>
        <v>CCOC(=O)C(=C)C</v>
      </c>
      <c r="I1287" t="s">
        <v>137</v>
      </c>
      <c r="J1287" t="s">
        <v>498</v>
      </c>
      <c r="K1287" t="s">
        <v>505</v>
      </c>
      <c r="R1287" t="s">
        <v>355</v>
      </c>
      <c r="V1287" s="6" t="s">
        <v>681</v>
      </c>
      <c r="X1287" t="s">
        <v>825</v>
      </c>
      <c r="Y1287" s="6" t="s">
        <v>89</v>
      </c>
    </row>
    <row r="1288" spans="2:25" x14ac:dyDescent="0.3">
      <c r="B1288" s="5" t="s">
        <v>69</v>
      </c>
      <c r="C1288" s="5" t="str">
        <f>VLOOKUP(B1288,[1]물질정보!B:C,2,0)</f>
        <v>868-77-9</v>
      </c>
      <c r="D1288" t="str">
        <f>VLOOKUP(B1288,[1]물질정보!B:D,3,0)</f>
        <v>2-hydroxyethyl methacrylate</v>
      </c>
      <c r="E1288" t="str">
        <f>VLOOKUP(B1288,[1]물질정보!B:E,4,0)</f>
        <v>C6H10O3</v>
      </c>
      <c r="F1288" t="str">
        <f>VLOOKUP(B1288,[1]물질정보!B:F,5,0)</f>
        <v>130.139 g/mol</v>
      </c>
      <c r="G1288" s="5" t="str">
        <f>VLOOKUP(B1288,[1]물질정보!B:G,6,0)</f>
        <v>CC(=C)C(=O)OCCO</v>
      </c>
      <c r="I1288" t="s">
        <v>494</v>
      </c>
      <c r="J1288" t="s">
        <v>436</v>
      </c>
      <c r="K1288">
        <v>3275</v>
      </c>
      <c r="L1288" t="s">
        <v>475</v>
      </c>
      <c r="M1288" t="s">
        <v>495</v>
      </c>
      <c r="R1288" t="s">
        <v>355</v>
      </c>
      <c r="V1288" s="6" t="s">
        <v>681</v>
      </c>
      <c r="W1288" t="s">
        <v>86</v>
      </c>
      <c r="X1288" t="s">
        <v>825</v>
      </c>
      <c r="Y1288" s="6" t="s">
        <v>81</v>
      </c>
    </row>
    <row r="1289" spans="2:25" x14ac:dyDescent="0.3">
      <c r="B1289" s="5" t="s">
        <v>69</v>
      </c>
      <c r="C1289" s="5" t="str">
        <f>VLOOKUP(B1289,[1]물질정보!B:C,2,0)</f>
        <v>868-77-9</v>
      </c>
      <c r="D1289" t="str">
        <f>VLOOKUP(B1289,[1]물질정보!B:D,3,0)</f>
        <v>2-hydroxyethyl methacrylate</v>
      </c>
      <c r="E1289" t="str">
        <f>VLOOKUP(B1289,[1]물질정보!B:E,4,0)</f>
        <v>C6H10O3</v>
      </c>
      <c r="F1289" t="str">
        <f>VLOOKUP(B1289,[1]물질정보!B:F,5,0)</f>
        <v>130.139 g/mol</v>
      </c>
      <c r="G1289" s="5" t="str">
        <f>VLOOKUP(B1289,[1]물질정보!B:G,6,0)</f>
        <v>CC(=C)C(=O)OCCO</v>
      </c>
      <c r="I1289" t="s">
        <v>496</v>
      </c>
      <c r="K1289" t="s">
        <v>506</v>
      </c>
      <c r="R1289" t="s">
        <v>355</v>
      </c>
      <c r="V1289" s="6" t="s">
        <v>681</v>
      </c>
      <c r="X1289" t="s">
        <v>825</v>
      </c>
    </row>
    <row r="1290" spans="2:25" x14ac:dyDescent="0.3">
      <c r="B1290" s="5" t="s">
        <v>69</v>
      </c>
      <c r="C1290" s="5" t="str">
        <f>VLOOKUP(B1290,[1]물질정보!B:C,2,0)</f>
        <v>868-77-9</v>
      </c>
      <c r="D1290" t="str">
        <f>VLOOKUP(B1290,[1]물질정보!B:D,3,0)</f>
        <v>2-hydroxyethyl methacrylate</v>
      </c>
      <c r="E1290" t="str">
        <f>VLOOKUP(B1290,[1]물질정보!B:E,4,0)</f>
        <v>C6H10O3</v>
      </c>
      <c r="F1290" t="str">
        <f>VLOOKUP(B1290,[1]물질정보!B:F,5,0)</f>
        <v>130.139 g/mol</v>
      </c>
      <c r="G1290" s="5" t="str">
        <f>VLOOKUP(B1290,[1]물질정보!B:G,6,0)</f>
        <v>CC(=C)C(=O)OCCO</v>
      </c>
      <c r="I1290" t="s">
        <v>137</v>
      </c>
      <c r="J1290" t="s">
        <v>498</v>
      </c>
      <c r="K1290" t="s">
        <v>507</v>
      </c>
      <c r="R1290" t="s">
        <v>355</v>
      </c>
      <c r="V1290" s="6" t="s">
        <v>681</v>
      </c>
      <c r="X1290" t="s">
        <v>825</v>
      </c>
      <c r="Y1290" s="6" t="s">
        <v>89</v>
      </c>
    </row>
    <row r="1291" spans="2:25" x14ac:dyDescent="0.3">
      <c r="B1291" s="5" t="s">
        <v>25</v>
      </c>
      <c r="C1291" s="5" t="str">
        <f>VLOOKUP(B1291,[1]물질정보!B:C,2,0)</f>
        <v>97-88-1</v>
      </c>
      <c r="D1291" t="str">
        <f>VLOOKUP(B1291,[1]물질정보!B:D,3,0)</f>
        <v>butyl methacrylate</v>
      </c>
      <c r="E1291" t="str">
        <f>VLOOKUP(B1291,[1]물질정보!B:E,4,0)</f>
        <v>C8H14O2</v>
      </c>
      <c r="F1291" t="str">
        <f>VLOOKUP(B1291,[1]물질정보!B:F,5,0)</f>
        <v>142.2 g/mol</v>
      </c>
      <c r="G1291" s="5" t="str">
        <f>VLOOKUP(B1291,[1]물질정보!B:G,6,0)</f>
        <v>CCCCOC(=O)C(=C)C</v>
      </c>
      <c r="I1291" t="s">
        <v>494</v>
      </c>
      <c r="J1291" t="s">
        <v>436</v>
      </c>
      <c r="K1291">
        <v>12900</v>
      </c>
      <c r="L1291" t="s">
        <v>475</v>
      </c>
      <c r="M1291" t="s">
        <v>495</v>
      </c>
      <c r="R1291" t="s">
        <v>355</v>
      </c>
      <c r="V1291" s="6" t="s">
        <v>681</v>
      </c>
      <c r="W1291" t="s">
        <v>86</v>
      </c>
      <c r="X1291" t="s">
        <v>825</v>
      </c>
      <c r="Y1291" s="6" t="s">
        <v>81</v>
      </c>
    </row>
    <row r="1292" spans="2:25" x14ac:dyDescent="0.3">
      <c r="B1292" s="5" t="s">
        <v>25</v>
      </c>
      <c r="C1292" s="5" t="str">
        <f>VLOOKUP(B1292,[1]물질정보!B:C,2,0)</f>
        <v>97-88-1</v>
      </c>
      <c r="D1292" t="str">
        <f>VLOOKUP(B1292,[1]물질정보!B:D,3,0)</f>
        <v>butyl methacrylate</v>
      </c>
      <c r="E1292" t="str">
        <f>VLOOKUP(B1292,[1]물질정보!B:E,4,0)</f>
        <v>C8H14O2</v>
      </c>
      <c r="F1292" t="str">
        <f>VLOOKUP(B1292,[1]물질정보!B:F,5,0)</f>
        <v>142.2 g/mol</v>
      </c>
      <c r="G1292" s="5" t="str">
        <f>VLOOKUP(B1292,[1]물질정보!B:G,6,0)</f>
        <v>CCCCOC(=O)C(=C)C</v>
      </c>
      <c r="I1292" t="s">
        <v>496</v>
      </c>
      <c r="K1292" t="s">
        <v>508</v>
      </c>
      <c r="R1292" t="s">
        <v>355</v>
      </c>
      <c r="V1292" s="6" t="s">
        <v>681</v>
      </c>
      <c r="X1292" t="s">
        <v>825</v>
      </c>
    </row>
    <row r="1293" spans="2:25" x14ac:dyDescent="0.3">
      <c r="B1293" s="5" t="s">
        <v>25</v>
      </c>
      <c r="C1293" s="5" t="str">
        <f>VLOOKUP(B1293,[1]물질정보!B:C,2,0)</f>
        <v>97-88-1</v>
      </c>
      <c r="D1293" t="str">
        <f>VLOOKUP(B1293,[1]물질정보!B:D,3,0)</f>
        <v>butyl methacrylate</v>
      </c>
      <c r="E1293" t="str">
        <f>VLOOKUP(B1293,[1]물질정보!B:E,4,0)</f>
        <v>C8H14O2</v>
      </c>
      <c r="F1293" t="str">
        <f>VLOOKUP(B1293,[1]물질정보!B:F,5,0)</f>
        <v>142.2 g/mol</v>
      </c>
      <c r="G1293" s="5" t="str">
        <f>VLOOKUP(B1293,[1]물질정보!B:G,6,0)</f>
        <v>CCCCOC(=O)C(=C)C</v>
      </c>
      <c r="I1293" t="s">
        <v>137</v>
      </c>
      <c r="J1293" t="s">
        <v>498</v>
      </c>
      <c r="K1293" t="s">
        <v>509</v>
      </c>
      <c r="R1293" t="s">
        <v>355</v>
      </c>
      <c r="V1293" s="6" t="s">
        <v>681</v>
      </c>
      <c r="X1293" t="s">
        <v>825</v>
      </c>
      <c r="Y1293" s="6" t="s">
        <v>89</v>
      </c>
    </row>
    <row r="1294" spans="2:25" x14ac:dyDescent="0.3">
      <c r="B1294" s="5" t="s">
        <v>68</v>
      </c>
      <c r="C1294" s="5" t="str">
        <f>VLOOKUP(B1294,[1]물질정보!B:C,2,0)</f>
        <v>997-46-6</v>
      </c>
      <c r="D1294" t="str">
        <f>VLOOKUP(B1294,[1]물질정보!B:D,3,0)</f>
        <v>4-hydroxybutyl methacrylate</v>
      </c>
      <c r="E1294" t="str">
        <f>VLOOKUP(B1294,[1]물질정보!B:E,4,0)</f>
        <v>C8H14O3</v>
      </c>
      <c r="F1294" t="str">
        <f>VLOOKUP(B1294,[1]물질정보!B:F,5,0)</f>
        <v>158.19 g/mol</v>
      </c>
      <c r="G1294" s="5" t="str">
        <f>VLOOKUP(B1294,[1]물질정보!B:G,6,0)</f>
        <v>CC(=C)C(=O)OCCCCO</v>
      </c>
      <c r="I1294" t="s">
        <v>494</v>
      </c>
      <c r="J1294" t="s">
        <v>436</v>
      </c>
      <c r="K1294">
        <v>900</v>
      </c>
      <c r="L1294" t="s">
        <v>475</v>
      </c>
      <c r="M1294" t="s">
        <v>495</v>
      </c>
      <c r="R1294" t="s">
        <v>355</v>
      </c>
      <c r="V1294" s="6" t="s">
        <v>681</v>
      </c>
      <c r="W1294" t="s">
        <v>86</v>
      </c>
      <c r="X1294" t="s">
        <v>825</v>
      </c>
      <c r="Y1294" s="6" t="s">
        <v>81</v>
      </c>
    </row>
    <row r="1295" spans="2:25" x14ac:dyDescent="0.3">
      <c r="B1295" s="5" t="s">
        <v>68</v>
      </c>
      <c r="C1295" s="5" t="str">
        <f>VLOOKUP(B1295,[1]물질정보!B:C,2,0)</f>
        <v>997-46-6</v>
      </c>
      <c r="D1295" t="str">
        <f>VLOOKUP(B1295,[1]물질정보!B:D,3,0)</f>
        <v>4-hydroxybutyl methacrylate</v>
      </c>
      <c r="E1295" t="str">
        <f>VLOOKUP(B1295,[1]물질정보!B:E,4,0)</f>
        <v>C8H14O3</v>
      </c>
      <c r="F1295" t="str">
        <f>VLOOKUP(B1295,[1]물질정보!B:F,5,0)</f>
        <v>158.19 g/mol</v>
      </c>
      <c r="G1295" s="5" t="str">
        <f>VLOOKUP(B1295,[1]물질정보!B:G,6,0)</f>
        <v>CC(=C)C(=O)OCCCCO</v>
      </c>
      <c r="I1295" t="s">
        <v>496</v>
      </c>
      <c r="K1295" t="s">
        <v>508</v>
      </c>
      <c r="R1295" t="s">
        <v>355</v>
      </c>
      <c r="V1295" s="6" t="s">
        <v>681</v>
      </c>
      <c r="X1295" t="s">
        <v>825</v>
      </c>
    </row>
    <row r="1296" spans="2:25" x14ac:dyDescent="0.3">
      <c r="B1296" s="5" t="s">
        <v>68</v>
      </c>
      <c r="C1296" s="5" t="str">
        <f>VLOOKUP(B1296,[1]물질정보!B:C,2,0)</f>
        <v>997-46-6</v>
      </c>
      <c r="D1296" t="str">
        <f>VLOOKUP(B1296,[1]물질정보!B:D,3,0)</f>
        <v>4-hydroxybutyl methacrylate</v>
      </c>
      <c r="E1296" t="str">
        <f>VLOOKUP(B1296,[1]물질정보!B:E,4,0)</f>
        <v>C8H14O3</v>
      </c>
      <c r="F1296" t="str">
        <f>VLOOKUP(B1296,[1]물질정보!B:F,5,0)</f>
        <v>158.19 g/mol</v>
      </c>
      <c r="G1296" s="5" t="str">
        <f>VLOOKUP(B1296,[1]물질정보!B:G,6,0)</f>
        <v>CC(=C)C(=O)OCCCCO</v>
      </c>
      <c r="I1296" t="s">
        <v>137</v>
      </c>
      <c r="J1296" t="s">
        <v>498</v>
      </c>
      <c r="K1296" t="s">
        <v>510</v>
      </c>
      <c r="R1296" t="s">
        <v>355</v>
      </c>
      <c r="V1296" s="6" t="s">
        <v>681</v>
      </c>
      <c r="X1296" t="s">
        <v>825</v>
      </c>
      <c r="Y1296" s="6" t="s">
        <v>89</v>
      </c>
    </row>
    <row r="1297" spans="2:25" x14ac:dyDescent="0.3">
      <c r="B1297" s="5" t="s">
        <v>77</v>
      </c>
      <c r="C1297" s="5" t="str">
        <f>VLOOKUP(B1297,[1]물질정보!B:C,2,0)</f>
        <v>140-88-5</v>
      </c>
      <c r="D1297" t="str">
        <f>VLOOKUP(B1297,[1]물질정보!B:D,3,0)</f>
        <v>ethyl acrylate</v>
      </c>
      <c r="E1297" t="str">
        <f>VLOOKUP(B1297,[1]물질정보!B:E,4,0)</f>
        <v>C5H8O2</v>
      </c>
      <c r="F1297" t="str">
        <f>VLOOKUP(B1297,[1]물질정보!B:F,5,0)</f>
        <v>100.12 g/mol</v>
      </c>
      <c r="G1297" s="5" t="str">
        <f>VLOOKUP(B1297,[1]물질정보!B:G,6,0)</f>
        <v>CCOC(=O)C=C</v>
      </c>
      <c r="I1297" t="s">
        <v>494</v>
      </c>
      <c r="J1297" t="s">
        <v>436</v>
      </c>
      <c r="K1297">
        <v>800</v>
      </c>
      <c r="L1297" t="s">
        <v>475</v>
      </c>
      <c r="M1297" t="s">
        <v>495</v>
      </c>
      <c r="R1297" t="s">
        <v>355</v>
      </c>
      <c r="V1297" s="6" t="s">
        <v>681</v>
      </c>
      <c r="W1297" t="s">
        <v>86</v>
      </c>
      <c r="X1297" t="s">
        <v>825</v>
      </c>
      <c r="Y1297" s="6" t="s">
        <v>81</v>
      </c>
    </row>
    <row r="1298" spans="2:25" x14ac:dyDescent="0.3">
      <c r="B1298" s="5" t="s">
        <v>77</v>
      </c>
      <c r="C1298" s="5" t="str">
        <f>VLOOKUP(B1298,[1]물질정보!B:C,2,0)</f>
        <v>140-88-5</v>
      </c>
      <c r="D1298" t="str">
        <f>VLOOKUP(B1298,[1]물질정보!B:D,3,0)</f>
        <v>ethyl acrylate</v>
      </c>
      <c r="E1298" t="str">
        <f>VLOOKUP(B1298,[1]물질정보!B:E,4,0)</f>
        <v>C5H8O2</v>
      </c>
      <c r="F1298" t="str">
        <f>VLOOKUP(B1298,[1]물질정보!B:F,5,0)</f>
        <v>100.12 g/mol</v>
      </c>
      <c r="G1298" s="5" t="str">
        <f>VLOOKUP(B1298,[1]물질정보!B:G,6,0)</f>
        <v>CCOC(=O)C=C</v>
      </c>
      <c r="I1298" t="s">
        <v>496</v>
      </c>
      <c r="K1298" t="s">
        <v>511</v>
      </c>
      <c r="R1298" t="s">
        <v>355</v>
      </c>
      <c r="V1298" s="6" t="s">
        <v>681</v>
      </c>
      <c r="X1298" t="s">
        <v>825</v>
      </c>
    </row>
    <row r="1299" spans="2:25" x14ac:dyDescent="0.3">
      <c r="B1299" s="5" t="s">
        <v>77</v>
      </c>
      <c r="C1299" s="5" t="str">
        <f>VLOOKUP(B1299,[1]물질정보!B:C,2,0)</f>
        <v>140-88-5</v>
      </c>
      <c r="D1299" t="str">
        <f>VLOOKUP(B1299,[1]물질정보!B:D,3,0)</f>
        <v>ethyl acrylate</v>
      </c>
      <c r="E1299" t="str">
        <f>VLOOKUP(B1299,[1]물질정보!B:E,4,0)</f>
        <v>C5H8O2</v>
      </c>
      <c r="F1299" t="str">
        <f>VLOOKUP(B1299,[1]물질정보!B:F,5,0)</f>
        <v>100.12 g/mol</v>
      </c>
      <c r="G1299" s="5" t="str">
        <f>VLOOKUP(B1299,[1]물질정보!B:G,6,0)</f>
        <v>CCOC(=O)C=C</v>
      </c>
      <c r="I1299" t="s">
        <v>137</v>
      </c>
      <c r="J1299" t="s">
        <v>498</v>
      </c>
      <c r="K1299" t="s">
        <v>512</v>
      </c>
      <c r="R1299" t="s">
        <v>355</v>
      </c>
      <c r="V1299" s="6" t="s">
        <v>681</v>
      </c>
      <c r="X1299" t="s">
        <v>825</v>
      </c>
      <c r="Y1299" s="6" t="s">
        <v>89</v>
      </c>
    </row>
    <row r="1300" spans="2:25" x14ac:dyDescent="0.3">
      <c r="B1300" s="5" t="s">
        <v>67</v>
      </c>
      <c r="C1300" s="5" t="str">
        <f>VLOOKUP(B1300,[1]물질정보!B:C,2,0)</f>
        <v>818-61-1</v>
      </c>
      <c r="D1300" t="str">
        <f>VLOOKUP(B1300,[1]물질정보!B:D,3,0)</f>
        <v>2-hydroxyethyl acrylate</v>
      </c>
      <c r="E1300" t="str">
        <f>VLOOKUP(B1300,[1]물질정보!B:E,4,0)</f>
        <v>C5H8O3</v>
      </c>
      <c r="F1300" t="str">
        <f>VLOOKUP(B1300,[1]물질정보!B:F,5,0)</f>
        <v>116.11 g/mol</v>
      </c>
      <c r="G1300" s="5" t="str">
        <f>VLOOKUP(B1300,[1]물질정보!B:G,6,0)</f>
        <v>C=CC(=O)OCCO</v>
      </c>
      <c r="I1300" t="s">
        <v>494</v>
      </c>
      <c r="J1300" t="s">
        <v>436</v>
      </c>
      <c r="K1300">
        <v>300</v>
      </c>
      <c r="L1300" t="s">
        <v>475</v>
      </c>
      <c r="M1300" t="s">
        <v>495</v>
      </c>
      <c r="R1300" t="s">
        <v>355</v>
      </c>
      <c r="V1300" s="6" t="s">
        <v>681</v>
      </c>
      <c r="W1300" t="s">
        <v>86</v>
      </c>
      <c r="X1300" t="s">
        <v>825</v>
      </c>
      <c r="Y1300" s="6" t="s">
        <v>81</v>
      </c>
    </row>
    <row r="1301" spans="2:25" x14ac:dyDescent="0.3">
      <c r="B1301" s="5" t="s">
        <v>67</v>
      </c>
      <c r="C1301" s="5" t="str">
        <f>VLOOKUP(B1301,[1]물질정보!B:C,2,0)</f>
        <v>818-61-1</v>
      </c>
      <c r="D1301" t="str">
        <f>VLOOKUP(B1301,[1]물질정보!B:D,3,0)</f>
        <v>2-hydroxyethyl acrylate</v>
      </c>
      <c r="E1301" t="str">
        <f>VLOOKUP(B1301,[1]물질정보!B:E,4,0)</f>
        <v>C5H8O3</v>
      </c>
      <c r="F1301" t="str">
        <f>VLOOKUP(B1301,[1]물질정보!B:F,5,0)</f>
        <v>116.11 g/mol</v>
      </c>
      <c r="G1301" s="5" t="str">
        <f>VLOOKUP(B1301,[1]물질정보!B:G,6,0)</f>
        <v>C=CC(=O)OCCO</v>
      </c>
      <c r="I1301" t="s">
        <v>496</v>
      </c>
      <c r="K1301" t="s">
        <v>513</v>
      </c>
      <c r="R1301" t="s">
        <v>355</v>
      </c>
      <c r="V1301" s="6" t="s">
        <v>681</v>
      </c>
      <c r="X1301" t="s">
        <v>825</v>
      </c>
    </row>
    <row r="1302" spans="2:25" x14ac:dyDescent="0.3">
      <c r="B1302" s="5" t="s">
        <v>67</v>
      </c>
      <c r="C1302" s="5" t="str">
        <f>VLOOKUP(B1302,[1]물질정보!B:C,2,0)</f>
        <v>818-61-1</v>
      </c>
      <c r="D1302" t="str">
        <f>VLOOKUP(B1302,[1]물질정보!B:D,3,0)</f>
        <v>2-hydroxyethyl acrylate</v>
      </c>
      <c r="E1302" t="str">
        <f>VLOOKUP(B1302,[1]물질정보!B:E,4,0)</f>
        <v>C5H8O3</v>
      </c>
      <c r="F1302" t="str">
        <f>VLOOKUP(B1302,[1]물질정보!B:F,5,0)</f>
        <v>116.11 g/mol</v>
      </c>
      <c r="G1302" s="5" t="str">
        <f>VLOOKUP(B1302,[1]물질정보!B:G,6,0)</f>
        <v>C=CC(=O)OCCO</v>
      </c>
      <c r="I1302" t="s">
        <v>137</v>
      </c>
      <c r="J1302" t="s">
        <v>498</v>
      </c>
      <c r="K1302" t="s">
        <v>514</v>
      </c>
      <c r="R1302" t="s">
        <v>355</v>
      </c>
      <c r="V1302" s="6" t="s">
        <v>681</v>
      </c>
      <c r="X1302" t="s">
        <v>825</v>
      </c>
      <c r="Y1302" s="6" t="s">
        <v>89</v>
      </c>
    </row>
    <row r="1303" spans="2:25" x14ac:dyDescent="0.3">
      <c r="B1303" s="5" t="s">
        <v>65</v>
      </c>
      <c r="C1303" s="5" t="str">
        <f>VLOOKUP(B1303,[1]물질정보!B:C,2,0)</f>
        <v>141-32-2</v>
      </c>
      <c r="D1303" t="str">
        <f>VLOOKUP(B1303,[1]물질정보!B:D,3,0)</f>
        <v>butyl acrylate</v>
      </c>
      <c r="E1303" t="str">
        <f>VLOOKUP(B1303,[1]물질정보!B:E,4,0)</f>
        <v>C7H12O2</v>
      </c>
      <c r="F1303" t="str">
        <f>VLOOKUP(B1303,[1]물질정보!B:F,5,0)</f>
        <v>128.169 g/mol</v>
      </c>
      <c r="G1303" s="5" t="str">
        <f>VLOOKUP(B1303,[1]물질정보!B:G,6,0)</f>
        <v>CCCCOC(=O)C=C</v>
      </c>
      <c r="I1303" t="s">
        <v>494</v>
      </c>
      <c r="J1303" t="s">
        <v>436</v>
      </c>
      <c r="K1303">
        <v>900</v>
      </c>
      <c r="L1303" t="s">
        <v>475</v>
      </c>
      <c r="M1303" t="s">
        <v>495</v>
      </c>
      <c r="R1303" t="s">
        <v>355</v>
      </c>
      <c r="V1303" s="6" t="s">
        <v>681</v>
      </c>
      <c r="W1303" t="s">
        <v>86</v>
      </c>
      <c r="X1303" t="s">
        <v>825</v>
      </c>
      <c r="Y1303" s="6" t="s">
        <v>81</v>
      </c>
    </row>
    <row r="1304" spans="2:25" x14ac:dyDescent="0.3">
      <c r="B1304" s="5" t="s">
        <v>65</v>
      </c>
      <c r="C1304" s="5" t="str">
        <f>VLOOKUP(B1304,[1]물질정보!B:C,2,0)</f>
        <v>141-32-2</v>
      </c>
      <c r="D1304" t="str">
        <f>VLOOKUP(B1304,[1]물질정보!B:D,3,0)</f>
        <v>butyl acrylate</v>
      </c>
      <c r="E1304" t="str">
        <f>VLOOKUP(B1304,[1]물질정보!B:E,4,0)</f>
        <v>C7H12O2</v>
      </c>
      <c r="F1304" t="str">
        <f>VLOOKUP(B1304,[1]물질정보!B:F,5,0)</f>
        <v>128.169 g/mol</v>
      </c>
      <c r="G1304" s="5" t="str">
        <f>VLOOKUP(B1304,[1]물질정보!B:G,6,0)</f>
        <v>CCCCOC(=O)C=C</v>
      </c>
      <c r="I1304" t="s">
        <v>496</v>
      </c>
      <c r="K1304" t="s">
        <v>515</v>
      </c>
      <c r="R1304" t="s">
        <v>355</v>
      </c>
      <c r="V1304" s="6" t="s">
        <v>681</v>
      </c>
      <c r="X1304" t="s">
        <v>825</v>
      </c>
    </row>
    <row r="1305" spans="2:25" x14ac:dyDescent="0.3">
      <c r="B1305" s="5" t="s">
        <v>65</v>
      </c>
      <c r="C1305" s="5" t="str">
        <f>VLOOKUP(B1305,[1]물질정보!B:C,2,0)</f>
        <v>141-32-2</v>
      </c>
      <c r="D1305" t="str">
        <f>VLOOKUP(B1305,[1]물질정보!B:D,3,0)</f>
        <v>butyl acrylate</v>
      </c>
      <c r="E1305" t="str">
        <f>VLOOKUP(B1305,[1]물질정보!B:E,4,0)</f>
        <v>C7H12O2</v>
      </c>
      <c r="F1305" t="str">
        <f>VLOOKUP(B1305,[1]물질정보!B:F,5,0)</f>
        <v>128.169 g/mol</v>
      </c>
      <c r="G1305" s="5" t="str">
        <f>VLOOKUP(B1305,[1]물질정보!B:G,6,0)</f>
        <v>CCCCOC(=O)C=C</v>
      </c>
      <c r="I1305" t="s">
        <v>137</v>
      </c>
      <c r="J1305" t="s">
        <v>498</v>
      </c>
      <c r="K1305" t="s">
        <v>514</v>
      </c>
      <c r="R1305" t="s">
        <v>355</v>
      </c>
      <c r="V1305" s="6" t="s">
        <v>681</v>
      </c>
      <c r="X1305" t="s">
        <v>825</v>
      </c>
      <c r="Y1305" s="6" t="s">
        <v>89</v>
      </c>
    </row>
    <row r="1306" spans="2:25" x14ac:dyDescent="0.3">
      <c r="B1306" s="5" t="s">
        <v>64</v>
      </c>
      <c r="C1306" s="5" t="str">
        <f>VLOOKUP(B1306,[1]물질정보!B:C,2,0)</f>
        <v>2478-10-6</v>
      </c>
      <c r="D1306" t="str">
        <f>VLOOKUP(B1306,[1]물질정보!B:D,3,0)</f>
        <v>4-hydroxybutyl acrylate</v>
      </c>
      <c r="E1306" t="str">
        <f>VLOOKUP(B1306,[1]물질정보!B:E,4,0)</f>
        <v>C7H12O3</v>
      </c>
      <c r="F1306" t="str">
        <f>VLOOKUP(B1306,[1]물질정보!B:F,5,0)</f>
        <v>144.17 g/mol</v>
      </c>
      <c r="G1306" s="5" t="str">
        <f>VLOOKUP(B1306,[1]물질정보!B:G,6,0)</f>
        <v>C=CC(=O)OCCCCO</v>
      </c>
      <c r="I1306" t="s">
        <v>494</v>
      </c>
      <c r="J1306" t="s">
        <v>436</v>
      </c>
      <c r="K1306">
        <v>587</v>
      </c>
      <c r="L1306" t="s">
        <v>475</v>
      </c>
      <c r="M1306" t="s">
        <v>495</v>
      </c>
      <c r="R1306" t="s">
        <v>355</v>
      </c>
      <c r="V1306" s="6" t="s">
        <v>681</v>
      </c>
      <c r="W1306" t="s">
        <v>86</v>
      </c>
      <c r="X1306" t="s">
        <v>825</v>
      </c>
      <c r="Y1306" s="6" t="s">
        <v>81</v>
      </c>
    </row>
    <row r="1307" spans="2:25" x14ac:dyDescent="0.3">
      <c r="B1307" s="5" t="s">
        <v>64</v>
      </c>
      <c r="C1307" s="5" t="str">
        <f>VLOOKUP(B1307,[1]물질정보!B:C,2,0)</f>
        <v>2478-10-6</v>
      </c>
      <c r="D1307" t="str">
        <f>VLOOKUP(B1307,[1]물질정보!B:D,3,0)</f>
        <v>4-hydroxybutyl acrylate</v>
      </c>
      <c r="E1307" t="str">
        <f>VLOOKUP(B1307,[1]물질정보!B:E,4,0)</f>
        <v>C7H12O3</v>
      </c>
      <c r="F1307" t="str">
        <f>VLOOKUP(B1307,[1]물질정보!B:F,5,0)</f>
        <v>144.17 g/mol</v>
      </c>
      <c r="G1307" s="5" t="str">
        <f>VLOOKUP(B1307,[1]물질정보!B:G,6,0)</f>
        <v>C=CC(=O)OCCCCO</v>
      </c>
      <c r="I1307" t="s">
        <v>496</v>
      </c>
      <c r="K1307" t="s">
        <v>516</v>
      </c>
      <c r="R1307" t="s">
        <v>355</v>
      </c>
      <c r="V1307" s="6" t="s">
        <v>681</v>
      </c>
      <c r="X1307" t="s">
        <v>825</v>
      </c>
    </row>
    <row r="1308" spans="2:25" x14ac:dyDescent="0.3">
      <c r="B1308" s="5" t="s">
        <v>64</v>
      </c>
      <c r="C1308" s="5" t="str">
        <f>VLOOKUP(B1308,[1]물질정보!B:C,2,0)</f>
        <v>2478-10-6</v>
      </c>
      <c r="D1308" t="str">
        <f>VLOOKUP(B1308,[1]물질정보!B:D,3,0)</f>
        <v>4-hydroxybutyl acrylate</v>
      </c>
      <c r="E1308" t="str">
        <f>VLOOKUP(B1308,[1]물질정보!B:E,4,0)</f>
        <v>C7H12O3</v>
      </c>
      <c r="F1308" t="str">
        <f>VLOOKUP(B1308,[1]물질정보!B:F,5,0)</f>
        <v>144.17 g/mol</v>
      </c>
      <c r="G1308" s="5" t="str">
        <f>VLOOKUP(B1308,[1]물질정보!B:G,6,0)</f>
        <v>C=CC(=O)OCCCCO</v>
      </c>
      <c r="I1308" t="s">
        <v>137</v>
      </c>
      <c r="J1308" t="s">
        <v>498</v>
      </c>
      <c r="K1308" t="s">
        <v>512</v>
      </c>
      <c r="R1308" t="s">
        <v>355</v>
      </c>
      <c r="V1308" s="6" t="s">
        <v>681</v>
      </c>
      <c r="X1308" t="s">
        <v>825</v>
      </c>
      <c r="Y1308" s="6" t="s">
        <v>89</v>
      </c>
    </row>
    <row r="1309" spans="2:25" x14ac:dyDescent="0.3">
      <c r="B1309" s="5" t="s">
        <v>59</v>
      </c>
      <c r="C1309" s="5" t="str">
        <f>VLOOKUP(B1309,[1]물질정보!B:C,2,0)</f>
        <v>2499-95-8</v>
      </c>
      <c r="D1309" t="str">
        <f>VLOOKUP(B1309,[1]물질정보!B:D,3,0)</f>
        <v>hexyl acrylate</v>
      </c>
      <c r="E1309" t="str">
        <f>VLOOKUP(B1309,[1]물질정보!B:E,4,0)</f>
        <v>C9H16O2</v>
      </c>
      <c r="F1309" t="str">
        <f>VLOOKUP(B1309,[1]물질정보!B:F,5,0)</f>
        <v>156.22 g/mol</v>
      </c>
      <c r="G1309" s="5" t="str">
        <f>VLOOKUP(B1309,[1]물질정보!B:G,6,0)</f>
        <v>CCCCCCOC(=O)C=C</v>
      </c>
      <c r="I1309" t="s">
        <v>494</v>
      </c>
      <c r="J1309" t="s">
        <v>436</v>
      </c>
      <c r="K1309">
        <v>5000</v>
      </c>
      <c r="L1309" t="s">
        <v>475</v>
      </c>
      <c r="M1309" t="s">
        <v>495</v>
      </c>
      <c r="R1309" t="s">
        <v>355</v>
      </c>
      <c r="V1309" s="6" t="s">
        <v>681</v>
      </c>
      <c r="W1309" t="s">
        <v>86</v>
      </c>
      <c r="X1309" t="s">
        <v>825</v>
      </c>
      <c r="Y1309" s="6" t="s">
        <v>81</v>
      </c>
    </row>
    <row r="1310" spans="2:25" x14ac:dyDescent="0.3">
      <c r="B1310" s="5" t="s">
        <v>59</v>
      </c>
      <c r="C1310" s="5" t="str">
        <f>VLOOKUP(B1310,[1]물질정보!B:C,2,0)</f>
        <v>2499-95-8</v>
      </c>
      <c r="D1310" t="str">
        <f>VLOOKUP(B1310,[1]물질정보!B:D,3,0)</f>
        <v>hexyl acrylate</v>
      </c>
      <c r="E1310" t="str">
        <f>VLOOKUP(B1310,[1]물질정보!B:E,4,0)</f>
        <v>C9H16O2</v>
      </c>
      <c r="F1310" t="str">
        <f>VLOOKUP(B1310,[1]물질정보!B:F,5,0)</f>
        <v>156.22 g/mol</v>
      </c>
      <c r="G1310" s="5" t="str">
        <f>VLOOKUP(B1310,[1]물질정보!B:G,6,0)</f>
        <v>CCCCCCOC(=O)C=C</v>
      </c>
      <c r="I1310" t="s">
        <v>496</v>
      </c>
      <c r="K1310" t="s">
        <v>517</v>
      </c>
      <c r="R1310" t="s">
        <v>355</v>
      </c>
      <c r="V1310" s="6" t="s">
        <v>681</v>
      </c>
      <c r="X1310" t="s">
        <v>825</v>
      </c>
    </row>
    <row r="1311" spans="2:25" x14ac:dyDescent="0.3">
      <c r="B1311" s="5" t="s">
        <v>59</v>
      </c>
      <c r="C1311" s="5" t="str">
        <f>VLOOKUP(B1311,[1]물질정보!B:C,2,0)</f>
        <v>2499-95-8</v>
      </c>
      <c r="D1311" t="str">
        <f>VLOOKUP(B1311,[1]물질정보!B:D,3,0)</f>
        <v>hexyl acrylate</v>
      </c>
      <c r="E1311" t="str">
        <f>VLOOKUP(B1311,[1]물질정보!B:E,4,0)</f>
        <v>C9H16O2</v>
      </c>
      <c r="F1311" t="str">
        <f>VLOOKUP(B1311,[1]물질정보!B:F,5,0)</f>
        <v>156.22 g/mol</v>
      </c>
      <c r="G1311" s="5" t="str">
        <f>VLOOKUP(B1311,[1]물질정보!B:G,6,0)</f>
        <v>CCCCCCOC(=O)C=C</v>
      </c>
      <c r="I1311" t="s">
        <v>137</v>
      </c>
      <c r="J1311" t="s">
        <v>498</v>
      </c>
      <c r="K1311" t="s">
        <v>518</v>
      </c>
      <c r="R1311" t="s">
        <v>355</v>
      </c>
      <c r="V1311" s="6" t="s">
        <v>681</v>
      </c>
      <c r="X1311" t="s">
        <v>825</v>
      </c>
      <c r="Y1311" s="6" t="s">
        <v>89</v>
      </c>
    </row>
    <row r="1312" spans="2:25" x14ac:dyDescent="0.3">
      <c r="B1312" s="5" t="s">
        <v>70</v>
      </c>
      <c r="C1312" s="5" t="str">
        <f>VLOOKUP(B1312,[1]물질정보!B:C,2,0)</f>
        <v>10095-14-4</v>
      </c>
      <c r="D1312" t="str">
        <f>VLOOKUP(B1312,[1]물질정보!B:D,3,0)</f>
        <v>6-hydroxybutyl acrylate</v>
      </c>
      <c r="E1312" t="str">
        <f>VLOOKUP(B1312,[1]물질정보!B:E,4,0)</f>
        <v>C9H16O3</v>
      </c>
      <c r="F1312" t="str">
        <f>VLOOKUP(B1312,[1]물질정보!B:F,5,0)</f>
        <v>172.22 g/mol</v>
      </c>
      <c r="G1312" s="5" t="str">
        <f>VLOOKUP(B1312,[1]물질정보!B:G,6,0)</f>
        <v>C=CC(=O)OCCCCCCO</v>
      </c>
      <c r="I1312" t="s">
        <v>494</v>
      </c>
      <c r="J1312" t="s">
        <v>436</v>
      </c>
      <c r="K1312">
        <v>5000</v>
      </c>
      <c r="L1312" t="s">
        <v>475</v>
      </c>
      <c r="M1312" t="s">
        <v>495</v>
      </c>
      <c r="R1312" t="s">
        <v>355</v>
      </c>
      <c r="V1312" s="6" t="s">
        <v>681</v>
      </c>
      <c r="W1312" t="s">
        <v>86</v>
      </c>
      <c r="X1312" t="s">
        <v>825</v>
      </c>
      <c r="Y1312" s="6" t="s">
        <v>81</v>
      </c>
    </row>
    <row r="1313" spans="2:25" x14ac:dyDescent="0.3">
      <c r="B1313" s="5" t="s">
        <v>70</v>
      </c>
      <c r="C1313" s="5" t="str">
        <f>VLOOKUP(B1313,[1]물질정보!B:C,2,0)</f>
        <v>10095-14-4</v>
      </c>
      <c r="D1313" t="str">
        <f>VLOOKUP(B1313,[1]물질정보!B:D,3,0)</f>
        <v>6-hydroxybutyl acrylate</v>
      </c>
      <c r="E1313" t="str">
        <f>VLOOKUP(B1313,[1]물질정보!B:E,4,0)</f>
        <v>C9H16O3</v>
      </c>
      <c r="F1313" t="str">
        <f>VLOOKUP(B1313,[1]물질정보!B:F,5,0)</f>
        <v>172.22 g/mol</v>
      </c>
      <c r="G1313" s="5" t="str">
        <f>VLOOKUP(B1313,[1]물질정보!B:G,6,0)</f>
        <v>C=CC(=O)OCCCCCCO</v>
      </c>
      <c r="I1313" t="s">
        <v>496</v>
      </c>
      <c r="K1313" t="s">
        <v>508</v>
      </c>
      <c r="R1313" t="s">
        <v>355</v>
      </c>
      <c r="V1313" s="6" t="s">
        <v>681</v>
      </c>
      <c r="X1313" t="s">
        <v>825</v>
      </c>
    </row>
    <row r="1314" spans="2:25" x14ac:dyDescent="0.3">
      <c r="B1314" s="5" t="s">
        <v>70</v>
      </c>
      <c r="C1314" s="5" t="str">
        <f>VLOOKUP(B1314,[1]물질정보!B:C,2,0)</f>
        <v>10095-14-4</v>
      </c>
      <c r="D1314" t="str">
        <f>VLOOKUP(B1314,[1]물질정보!B:D,3,0)</f>
        <v>6-hydroxybutyl acrylate</v>
      </c>
      <c r="E1314" t="str">
        <f>VLOOKUP(B1314,[1]물질정보!B:E,4,0)</f>
        <v>C9H16O3</v>
      </c>
      <c r="F1314" t="str">
        <f>VLOOKUP(B1314,[1]물질정보!B:F,5,0)</f>
        <v>172.22 g/mol</v>
      </c>
      <c r="G1314" s="5" t="str">
        <f>VLOOKUP(B1314,[1]물질정보!B:G,6,0)</f>
        <v>C=CC(=O)OCCCCCCO</v>
      </c>
      <c r="I1314" t="s">
        <v>137</v>
      </c>
      <c r="J1314" t="s">
        <v>498</v>
      </c>
      <c r="K1314" t="s">
        <v>519</v>
      </c>
      <c r="R1314" t="s">
        <v>355</v>
      </c>
      <c r="V1314" s="6" t="s">
        <v>681</v>
      </c>
      <c r="X1314" t="s">
        <v>825</v>
      </c>
      <c r="Y1314" s="6" t="s">
        <v>89</v>
      </c>
    </row>
    <row r="1315" spans="2:25" x14ac:dyDescent="0.3">
      <c r="B1315" s="5" t="s">
        <v>493</v>
      </c>
      <c r="C1315" s="5" t="str">
        <f>VLOOKUP(B1315,[1]물질정보!B:C,2,0)</f>
        <v>-</v>
      </c>
      <c r="D1315" t="str">
        <f>VLOOKUP(B1315,[1]물질정보!B:D,3,0)</f>
        <v xml:space="preserve">9-(9H-Carbazol-9-yl)-7H-benzo[c]carbazole </v>
      </c>
      <c r="E1315" t="str">
        <f>VLOOKUP(B1315,[1]물질정보!B:E,4,0)</f>
        <v>C28H18N2</v>
      </c>
      <c r="F1315" t="str">
        <f>VLOOKUP(B1315,[1]물질정보!B:F,5,0)</f>
        <v>382.5 g/mol</v>
      </c>
      <c r="G1315" s="5" t="str">
        <f>VLOOKUP(B1315,[1]물질정보!B:G,6,0)</f>
        <v>C1=CC=C2C(=C1)C=CC3=C2C4=C(N3)C=C(C=C4)N5C6=CC=CC=C6C7=CC=CC=C75</v>
      </c>
      <c r="I1315" t="s">
        <v>520</v>
      </c>
      <c r="J1315" t="s">
        <v>521</v>
      </c>
      <c r="K1315" t="s">
        <v>522</v>
      </c>
      <c r="R1315" t="s">
        <v>355</v>
      </c>
      <c r="U1315" t="s">
        <v>523</v>
      </c>
      <c r="V1315" s="6" t="s">
        <v>684</v>
      </c>
      <c r="X1315" t="s">
        <v>825</v>
      </c>
      <c r="Y1315" s="6" t="s">
        <v>826</v>
      </c>
    </row>
    <row r="1316" spans="2:25" x14ac:dyDescent="0.3">
      <c r="B1316" s="5" t="s">
        <v>493</v>
      </c>
      <c r="C1316" s="5" t="str">
        <f>VLOOKUP(B1316,[1]물질정보!B:C,2,0)</f>
        <v>-</v>
      </c>
      <c r="D1316" t="str">
        <f>VLOOKUP(B1316,[1]물질정보!B:D,3,0)</f>
        <v xml:space="preserve">9-(9H-Carbazol-9-yl)-7H-benzo[c]carbazole </v>
      </c>
      <c r="E1316" t="str">
        <f>VLOOKUP(B1316,[1]물질정보!B:E,4,0)</f>
        <v>C28H18N2</v>
      </c>
      <c r="F1316" t="str">
        <f>VLOOKUP(B1316,[1]물질정보!B:F,5,0)</f>
        <v>382.5 g/mol</v>
      </c>
      <c r="G1316" s="5" t="str">
        <f>VLOOKUP(B1316,[1]물질정보!B:G,6,0)</f>
        <v>C1=CC=C2C(=C1)C=CC3=C2C4=C(N3)C=C(C=C4)N5C6=CC=CC=C6C7=CC=CC=C75</v>
      </c>
      <c r="I1316" t="s">
        <v>520</v>
      </c>
      <c r="J1316" t="s">
        <v>521</v>
      </c>
      <c r="K1316" t="s">
        <v>524</v>
      </c>
      <c r="R1316" t="s">
        <v>355</v>
      </c>
      <c r="U1316" t="s">
        <v>525</v>
      </c>
      <c r="V1316" s="6" t="s">
        <v>684</v>
      </c>
      <c r="X1316" t="s">
        <v>825</v>
      </c>
      <c r="Y1316" s="6" t="s">
        <v>826</v>
      </c>
    </row>
    <row r="1317" spans="2:25" x14ac:dyDescent="0.3">
      <c r="B1317" s="5" t="s">
        <v>493</v>
      </c>
      <c r="C1317" s="5" t="str">
        <f>VLOOKUP(B1317,[1]물질정보!B:C,2,0)</f>
        <v>-</v>
      </c>
      <c r="D1317" t="str">
        <f>VLOOKUP(B1317,[1]물질정보!B:D,3,0)</f>
        <v xml:space="preserve">9-(9H-Carbazol-9-yl)-7H-benzo[c]carbazole </v>
      </c>
      <c r="E1317" t="str">
        <f>VLOOKUP(B1317,[1]물질정보!B:E,4,0)</f>
        <v>C28H18N2</v>
      </c>
      <c r="F1317" t="str">
        <f>VLOOKUP(B1317,[1]물질정보!B:F,5,0)</f>
        <v>382.5 g/mol</v>
      </c>
      <c r="G1317" s="5" t="str">
        <f>VLOOKUP(B1317,[1]물질정보!B:G,6,0)</f>
        <v>C1=CC=C2C(=C1)C=CC3=C2C4=C(N3)C=C(C=C4)N5C6=CC=CC=C6C7=CC=CC=C75</v>
      </c>
      <c r="I1317" t="s">
        <v>520</v>
      </c>
      <c r="J1317" t="s">
        <v>521</v>
      </c>
      <c r="K1317" t="s">
        <v>526</v>
      </c>
      <c r="R1317" t="s">
        <v>355</v>
      </c>
      <c r="U1317" t="s">
        <v>527</v>
      </c>
      <c r="V1317" s="6" t="s">
        <v>684</v>
      </c>
      <c r="X1317" t="s">
        <v>825</v>
      </c>
      <c r="Y1317" s="6" t="s">
        <v>826</v>
      </c>
    </row>
    <row r="1318" spans="2:25" x14ac:dyDescent="0.3">
      <c r="B1318" s="5" t="s">
        <v>493</v>
      </c>
      <c r="C1318" s="5" t="str">
        <f>VLOOKUP(B1318,[1]물질정보!B:C,2,0)</f>
        <v>-</v>
      </c>
      <c r="D1318" t="str">
        <f>VLOOKUP(B1318,[1]물질정보!B:D,3,0)</f>
        <v xml:space="preserve">9-(9H-Carbazol-9-yl)-7H-benzo[c]carbazole </v>
      </c>
      <c r="E1318" t="str">
        <f>VLOOKUP(B1318,[1]물질정보!B:E,4,0)</f>
        <v>C28H18N2</v>
      </c>
      <c r="F1318" t="str">
        <f>VLOOKUP(B1318,[1]물질정보!B:F,5,0)</f>
        <v>382.5 g/mol</v>
      </c>
      <c r="G1318" s="5" t="str">
        <f>VLOOKUP(B1318,[1]물질정보!B:G,6,0)</f>
        <v>C1=CC=C2C(=C1)C=CC3=C2C4=C(N3)C=C(C=C4)N5C6=CC=CC=C6C7=CC=CC=C75</v>
      </c>
      <c r="I1318" t="s">
        <v>520</v>
      </c>
      <c r="J1318" t="s">
        <v>521</v>
      </c>
      <c r="K1318" t="s">
        <v>524</v>
      </c>
      <c r="R1318" t="s">
        <v>355</v>
      </c>
      <c r="U1318" t="s">
        <v>528</v>
      </c>
      <c r="V1318" s="6" t="s">
        <v>684</v>
      </c>
      <c r="X1318" t="s">
        <v>825</v>
      </c>
      <c r="Y1318" s="6" t="s">
        <v>826</v>
      </c>
    </row>
    <row r="1319" spans="2:25" x14ac:dyDescent="0.3">
      <c r="B1319" s="5" t="s">
        <v>493</v>
      </c>
      <c r="C1319" s="5" t="str">
        <f>VLOOKUP(B1319,[1]물질정보!B:C,2,0)</f>
        <v>-</v>
      </c>
      <c r="D1319" t="str">
        <f>VLOOKUP(B1319,[1]물질정보!B:D,3,0)</f>
        <v xml:space="preserve">9-(9H-Carbazol-9-yl)-7H-benzo[c]carbazole </v>
      </c>
      <c r="E1319" t="str">
        <f>VLOOKUP(B1319,[1]물질정보!B:E,4,0)</f>
        <v>C28H18N2</v>
      </c>
      <c r="F1319" t="str">
        <f>VLOOKUP(B1319,[1]물질정보!B:F,5,0)</f>
        <v>382.5 g/mol</v>
      </c>
      <c r="G1319" s="5" t="str">
        <f>VLOOKUP(B1319,[1]물질정보!B:G,6,0)</f>
        <v>C1=CC=C2C(=C1)C=CC3=C2C4=C(N3)C=C(C=C4)N5C6=CC=CC=C6C7=CC=CC=C75</v>
      </c>
      <c r="I1319" t="s">
        <v>529</v>
      </c>
      <c r="J1319" s="9" t="s">
        <v>530</v>
      </c>
      <c r="K1319">
        <v>16.420000000000002</v>
      </c>
      <c r="L1319" t="s">
        <v>531</v>
      </c>
      <c r="M1319" t="s">
        <v>532</v>
      </c>
      <c r="P1319">
        <v>48</v>
      </c>
      <c r="Q1319" t="s">
        <v>533</v>
      </c>
      <c r="R1319" t="s">
        <v>355</v>
      </c>
      <c r="U1319" t="s">
        <v>523</v>
      </c>
      <c r="V1319" s="6" t="s">
        <v>684</v>
      </c>
      <c r="W1319" t="s">
        <v>532</v>
      </c>
      <c r="X1319" t="s">
        <v>822</v>
      </c>
      <c r="Y1319" s="6" t="s">
        <v>530</v>
      </c>
    </row>
    <row r="1320" spans="2:25" x14ac:dyDescent="0.3">
      <c r="B1320" s="5" t="s">
        <v>493</v>
      </c>
      <c r="C1320" s="5" t="str">
        <f>VLOOKUP(B1320,[1]물질정보!B:C,2,0)</f>
        <v>-</v>
      </c>
      <c r="D1320" t="str">
        <f>VLOOKUP(B1320,[1]물질정보!B:D,3,0)</f>
        <v xml:space="preserve">9-(9H-Carbazol-9-yl)-7H-benzo[c]carbazole </v>
      </c>
      <c r="E1320" t="str">
        <f>VLOOKUP(B1320,[1]물질정보!B:E,4,0)</f>
        <v>C28H18N2</v>
      </c>
      <c r="F1320" t="str">
        <f>VLOOKUP(B1320,[1]물질정보!B:F,5,0)</f>
        <v>382.5 g/mol</v>
      </c>
      <c r="G1320" s="5" t="str">
        <f>VLOOKUP(B1320,[1]물질정보!B:G,6,0)</f>
        <v>C1=CC=C2C(=C1)C=CC3=C2C4=C(N3)C=C(C=C4)N5C6=CC=CC=C6C7=CC=CC=C75</v>
      </c>
      <c r="I1320" t="s">
        <v>529</v>
      </c>
      <c r="J1320" s="9" t="s">
        <v>530</v>
      </c>
      <c r="K1320">
        <v>2.5299999999999998</v>
      </c>
      <c r="L1320" t="s">
        <v>531</v>
      </c>
      <c r="M1320" t="s">
        <v>532</v>
      </c>
      <c r="P1320">
        <v>48</v>
      </c>
      <c r="Q1320" t="s">
        <v>533</v>
      </c>
      <c r="R1320" t="s">
        <v>355</v>
      </c>
      <c r="U1320" t="s">
        <v>525</v>
      </c>
      <c r="V1320" s="6" t="s">
        <v>684</v>
      </c>
      <c r="W1320" t="s">
        <v>532</v>
      </c>
      <c r="X1320" t="s">
        <v>822</v>
      </c>
      <c r="Y1320" s="6" t="s">
        <v>530</v>
      </c>
    </row>
    <row r="1321" spans="2:25" x14ac:dyDescent="0.3">
      <c r="B1321" s="5" t="s">
        <v>493</v>
      </c>
      <c r="C1321" s="5" t="str">
        <f>VLOOKUP(B1321,[1]물질정보!B:C,2,0)</f>
        <v>-</v>
      </c>
      <c r="D1321" t="str">
        <f>VLOOKUP(B1321,[1]물질정보!B:D,3,0)</f>
        <v xml:space="preserve">9-(9H-Carbazol-9-yl)-7H-benzo[c]carbazole </v>
      </c>
      <c r="E1321" t="str">
        <f>VLOOKUP(B1321,[1]물질정보!B:E,4,0)</f>
        <v>C28H18N2</v>
      </c>
      <c r="F1321" t="str">
        <f>VLOOKUP(B1321,[1]물질정보!B:F,5,0)</f>
        <v>382.5 g/mol</v>
      </c>
      <c r="G1321" s="5" t="str">
        <f>VLOOKUP(B1321,[1]물질정보!B:G,6,0)</f>
        <v>C1=CC=C2C(=C1)C=CC3=C2C4=C(N3)C=C(C=C4)N5C6=CC=CC=C6C7=CC=CC=C75</v>
      </c>
      <c r="I1321" t="s">
        <v>529</v>
      </c>
      <c r="J1321" s="9" t="s">
        <v>530</v>
      </c>
      <c r="K1321">
        <v>63.99</v>
      </c>
      <c r="L1321" t="s">
        <v>531</v>
      </c>
      <c r="M1321" t="s">
        <v>532</v>
      </c>
      <c r="P1321">
        <v>48</v>
      </c>
      <c r="Q1321" t="s">
        <v>533</v>
      </c>
      <c r="R1321" t="s">
        <v>355</v>
      </c>
      <c r="U1321" t="s">
        <v>527</v>
      </c>
      <c r="V1321" s="6" t="s">
        <v>684</v>
      </c>
      <c r="W1321" t="s">
        <v>532</v>
      </c>
      <c r="X1321" t="s">
        <v>822</v>
      </c>
      <c r="Y1321" s="6" t="s">
        <v>530</v>
      </c>
    </row>
    <row r="1322" spans="2:25" x14ac:dyDescent="0.3">
      <c r="B1322" s="5" t="s">
        <v>493</v>
      </c>
      <c r="C1322" s="5" t="str">
        <f>VLOOKUP(B1322,[1]물질정보!B:C,2,0)</f>
        <v>-</v>
      </c>
      <c r="D1322" t="str">
        <f>VLOOKUP(B1322,[1]물질정보!B:D,3,0)</f>
        <v xml:space="preserve">9-(9H-Carbazol-9-yl)-7H-benzo[c]carbazole </v>
      </c>
      <c r="E1322" t="str">
        <f>VLOOKUP(B1322,[1]물질정보!B:E,4,0)</f>
        <v>C28H18N2</v>
      </c>
      <c r="F1322" t="str">
        <f>VLOOKUP(B1322,[1]물질정보!B:F,5,0)</f>
        <v>382.5 g/mol</v>
      </c>
      <c r="G1322" s="5" t="str">
        <f>VLOOKUP(B1322,[1]물질정보!B:G,6,0)</f>
        <v>C1=CC=C2C(=C1)C=CC3=C2C4=C(N3)C=C(C=C4)N5C6=CC=CC=C6C7=CC=CC=C75</v>
      </c>
      <c r="I1322" t="s">
        <v>529</v>
      </c>
      <c r="J1322" s="9" t="s">
        <v>530</v>
      </c>
      <c r="K1322">
        <v>27.31</v>
      </c>
      <c r="L1322" t="s">
        <v>531</v>
      </c>
      <c r="M1322" t="s">
        <v>532</v>
      </c>
      <c r="P1322">
        <v>48</v>
      </c>
      <c r="Q1322" t="s">
        <v>533</v>
      </c>
      <c r="R1322" t="s">
        <v>355</v>
      </c>
      <c r="U1322" t="s">
        <v>528</v>
      </c>
      <c r="V1322" s="6" t="s">
        <v>684</v>
      </c>
      <c r="W1322" t="s">
        <v>532</v>
      </c>
      <c r="X1322" t="s">
        <v>822</v>
      </c>
      <c r="Y1322" s="6" t="s">
        <v>530</v>
      </c>
    </row>
    <row r="1323" spans="2:25" x14ac:dyDescent="0.3">
      <c r="B1323" s="5" t="s">
        <v>493</v>
      </c>
      <c r="C1323" s="5" t="str">
        <f>VLOOKUP(B1323,[1]물질정보!B:C,2,0)</f>
        <v>-</v>
      </c>
      <c r="D1323" t="str">
        <f>VLOOKUP(B1323,[1]물질정보!B:D,3,0)</f>
        <v xml:space="preserve">9-(9H-Carbazol-9-yl)-7H-benzo[c]carbazole </v>
      </c>
      <c r="E1323" t="str">
        <f>VLOOKUP(B1323,[1]물질정보!B:E,4,0)</f>
        <v>C28H18N2</v>
      </c>
      <c r="F1323" t="str">
        <f>VLOOKUP(B1323,[1]물질정보!B:F,5,0)</f>
        <v>382.5 g/mol</v>
      </c>
      <c r="G1323" s="5" t="str">
        <f>VLOOKUP(B1323,[1]물질정보!B:G,6,0)</f>
        <v>C1=CC=C2C(=C1)C=CC3=C2C4=C(N3)C=C(C=C4)N5C6=CC=CC=C6C7=CC=CC=C75</v>
      </c>
      <c r="I1323" t="s">
        <v>534</v>
      </c>
      <c r="J1323" t="s">
        <v>535</v>
      </c>
      <c r="K1323">
        <v>0.06</v>
      </c>
      <c r="L1323" t="s">
        <v>531</v>
      </c>
      <c r="M1323" t="s">
        <v>536</v>
      </c>
      <c r="P1323">
        <v>96</v>
      </c>
      <c r="Q1323" t="s">
        <v>533</v>
      </c>
      <c r="R1323" t="s">
        <v>355</v>
      </c>
      <c r="U1323" t="s">
        <v>523</v>
      </c>
      <c r="V1323" s="6" t="s">
        <v>684</v>
      </c>
      <c r="W1323" t="s">
        <v>536</v>
      </c>
      <c r="X1323" t="s">
        <v>823</v>
      </c>
      <c r="Y1323" s="6" t="s">
        <v>49</v>
      </c>
    </row>
    <row r="1324" spans="2:25" x14ac:dyDescent="0.3">
      <c r="B1324" s="5" t="s">
        <v>493</v>
      </c>
      <c r="C1324" s="5" t="str">
        <f>VLOOKUP(B1324,[1]물질정보!B:C,2,0)</f>
        <v>-</v>
      </c>
      <c r="D1324" t="str">
        <f>VLOOKUP(B1324,[1]물질정보!B:D,3,0)</f>
        <v xml:space="preserve">9-(9H-Carbazol-9-yl)-7H-benzo[c]carbazole </v>
      </c>
      <c r="E1324" t="str">
        <f>VLOOKUP(B1324,[1]물질정보!B:E,4,0)</f>
        <v>C28H18N2</v>
      </c>
      <c r="F1324" t="str">
        <f>VLOOKUP(B1324,[1]물질정보!B:F,5,0)</f>
        <v>382.5 g/mol</v>
      </c>
      <c r="G1324" s="5" t="str">
        <f>VLOOKUP(B1324,[1]물질정보!B:G,6,0)</f>
        <v>C1=CC=C2C(=C1)C=CC3=C2C4=C(N3)C=C(C=C4)N5C6=CC=CC=C6C7=CC=CC=C75</v>
      </c>
      <c r="I1324" t="s">
        <v>534</v>
      </c>
      <c r="J1324" t="s">
        <v>535</v>
      </c>
      <c r="K1324">
        <v>0.01</v>
      </c>
      <c r="L1324" t="s">
        <v>531</v>
      </c>
      <c r="M1324" t="s">
        <v>536</v>
      </c>
      <c r="P1324">
        <v>96</v>
      </c>
      <c r="Q1324" t="s">
        <v>533</v>
      </c>
      <c r="R1324" t="s">
        <v>355</v>
      </c>
      <c r="U1324" t="s">
        <v>525</v>
      </c>
      <c r="V1324" s="6" t="s">
        <v>684</v>
      </c>
      <c r="W1324" t="s">
        <v>536</v>
      </c>
      <c r="X1324" t="s">
        <v>823</v>
      </c>
      <c r="Y1324" s="6" t="s">
        <v>49</v>
      </c>
    </row>
    <row r="1325" spans="2:25" x14ac:dyDescent="0.3">
      <c r="B1325" s="5" t="s">
        <v>493</v>
      </c>
      <c r="C1325" s="5" t="str">
        <f>VLOOKUP(B1325,[1]물질정보!B:C,2,0)</f>
        <v>-</v>
      </c>
      <c r="D1325" t="str">
        <f>VLOOKUP(B1325,[1]물질정보!B:D,3,0)</f>
        <v xml:space="preserve">9-(9H-Carbazol-9-yl)-7H-benzo[c]carbazole </v>
      </c>
      <c r="E1325" t="str">
        <f>VLOOKUP(B1325,[1]물질정보!B:E,4,0)</f>
        <v>C28H18N2</v>
      </c>
      <c r="F1325" t="str">
        <f>VLOOKUP(B1325,[1]물질정보!B:F,5,0)</f>
        <v>382.5 g/mol</v>
      </c>
      <c r="G1325" s="5" t="str">
        <f>VLOOKUP(B1325,[1]물질정보!B:G,6,0)</f>
        <v>C1=CC=C2C(=C1)C=CC3=C2C4=C(N3)C=C(C=C4)N5C6=CC=CC=C6C7=CC=CC=C75</v>
      </c>
      <c r="I1325" t="s">
        <v>534</v>
      </c>
      <c r="J1325" t="s">
        <v>535</v>
      </c>
      <c r="K1325">
        <v>0.04</v>
      </c>
      <c r="L1325" t="s">
        <v>531</v>
      </c>
      <c r="M1325" t="s">
        <v>536</v>
      </c>
      <c r="P1325">
        <v>96</v>
      </c>
      <c r="Q1325" t="s">
        <v>533</v>
      </c>
      <c r="R1325" t="s">
        <v>355</v>
      </c>
      <c r="U1325" t="s">
        <v>527</v>
      </c>
      <c r="V1325" s="6" t="s">
        <v>684</v>
      </c>
      <c r="W1325" t="s">
        <v>536</v>
      </c>
      <c r="X1325" t="s">
        <v>823</v>
      </c>
      <c r="Y1325" s="6" t="s">
        <v>49</v>
      </c>
    </row>
    <row r="1326" spans="2:25" x14ac:dyDescent="0.3">
      <c r="B1326" s="5" t="s">
        <v>493</v>
      </c>
      <c r="C1326" s="5" t="str">
        <f>VLOOKUP(B1326,[1]물질정보!B:C,2,0)</f>
        <v>-</v>
      </c>
      <c r="D1326" t="str">
        <f>VLOOKUP(B1326,[1]물질정보!B:D,3,0)</f>
        <v xml:space="preserve">9-(9H-Carbazol-9-yl)-7H-benzo[c]carbazole </v>
      </c>
      <c r="E1326" t="str">
        <f>VLOOKUP(B1326,[1]물질정보!B:E,4,0)</f>
        <v>C28H18N2</v>
      </c>
      <c r="F1326" t="str">
        <f>VLOOKUP(B1326,[1]물질정보!B:F,5,0)</f>
        <v>382.5 g/mol</v>
      </c>
      <c r="G1326" s="5" t="str">
        <f>VLOOKUP(B1326,[1]물질정보!B:G,6,0)</f>
        <v>C1=CC=C2C(=C1)C=CC3=C2C4=C(N3)C=C(C=C4)N5C6=CC=CC=C6C7=CC=CC=C75</v>
      </c>
      <c r="I1326" t="s">
        <v>534</v>
      </c>
      <c r="J1326" t="s">
        <v>535</v>
      </c>
      <c r="K1326">
        <v>0.52</v>
      </c>
      <c r="L1326" t="s">
        <v>531</v>
      </c>
      <c r="M1326" t="s">
        <v>536</v>
      </c>
      <c r="P1326">
        <v>96</v>
      </c>
      <c r="Q1326" t="s">
        <v>533</v>
      </c>
      <c r="R1326" t="s">
        <v>355</v>
      </c>
      <c r="U1326" t="s">
        <v>528</v>
      </c>
      <c r="V1326" s="6" t="s">
        <v>684</v>
      </c>
      <c r="W1326" t="s">
        <v>536</v>
      </c>
      <c r="X1326" t="s">
        <v>823</v>
      </c>
      <c r="Y1326" s="6" t="s">
        <v>49</v>
      </c>
    </row>
    <row r="1327" spans="2:25" x14ac:dyDescent="0.3">
      <c r="B1327" s="5" t="s">
        <v>493</v>
      </c>
      <c r="C1327" s="5" t="str">
        <f>VLOOKUP(B1327,[1]물질정보!B:C,2,0)</f>
        <v>-</v>
      </c>
      <c r="D1327" t="str">
        <f>VLOOKUP(B1327,[1]물질정보!B:D,3,0)</f>
        <v xml:space="preserve">9-(9H-Carbazol-9-yl)-7H-benzo[c]carbazole </v>
      </c>
      <c r="E1327" t="str">
        <f>VLOOKUP(B1327,[1]물질정보!B:E,4,0)</f>
        <v>C28H18N2</v>
      </c>
      <c r="F1327" t="str">
        <f>VLOOKUP(B1327,[1]물질정보!B:F,5,0)</f>
        <v>382.5 g/mol</v>
      </c>
      <c r="G1327" s="5" t="str">
        <f>VLOOKUP(B1327,[1]물질정보!B:G,6,0)</f>
        <v>C1=CC=C2C(=C1)C=CC3=C2C4=C(N3)C=C(C=C4)N5C6=CC=CC=C6C7=CC=CC=C75</v>
      </c>
      <c r="I1327" t="s">
        <v>537</v>
      </c>
      <c r="J1327" t="s">
        <v>535</v>
      </c>
      <c r="K1327">
        <v>1.67</v>
      </c>
      <c r="L1327" t="s">
        <v>531</v>
      </c>
      <c r="M1327" t="s">
        <v>47</v>
      </c>
      <c r="P1327">
        <v>48</v>
      </c>
      <c r="Q1327" t="s">
        <v>533</v>
      </c>
      <c r="R1327" t="s">
        <v>355</v>
      </c>
      <c r="U1327" t="s">
        <v>523</v>
      </c>
      <c r="V1327" s="6" t="s">
        <v>684</v>
      </c>
      <c r="W1327" t="s">
        <v>47</v>
      </c>
      <c r="X1327" t="s">
        <v>822</v>
      </c>
      <c r="Y1327" s="6" t="s">
        <v>49</v>
      </c>
    </row>
    <row r="1328" spans="2:25" x14ac:dyDescent="0.3">
      <c r="B1328" s="5" t="s">
        <v>493</v>
      </c>
      <c r="C1328" s="5" t="str">
        <f>VLOOKUP(B1328,[1]물질정보!B:C,2,0)</f>
        <v>-</v>
      </c>
      <c r="D1328" t="str">
        <f>VLOOKUP(B1328,[1]물질정보!B:D,3,0)</f>
        <v xml:space="preserve">9-(9H-Carbazol-9-yl)-7H-benzo[c]carbazole </v>
      </c>
      <c r="E1328" t="str">
        <f>VLOOKUP(B1328,[1]물질정보!B:E,4,0)</f>
        <v>C28H18N2</v>
      </c>
      <c r="F1328" t="str">
        <f>VLOOKUP(B1328,[1]물질정보!B:F,5,0)</f>
        <v>382.5 g/mol</v>
      </c>
      <c r="G1328" s="5" t="str">
        <f>VLOOKUP(B1328,[1]물질정보!B:G,6,0)</f>
        <v>C1=CC=C2C(=C1)C=CC3=C2C4=C(N3)C=C(C=C4)N5C6=CC=CC=C6C7=CC=CC=C75</v>
      </c>
      <c r="I1328" t="s">
        <v>537</v>
      </c>
      <c r="J1328" t="s">
        <v>535</v>
      </c>
      <c r="K1328">
        <v>0.51</v>
      </c>
      <c r="L1328" t="s">
        <v>531</v>
      </c>
      <c r="M1328" t="s">
        <v>47</v>
      </c>
      <c r="P1328">
        <v>48</v>
      </c>
      <c r="Q1328" t="s">
        <v>533</v>
      </c>
      <c r="R1328" t="s">
        <v>355</v>
      </c>
      <c r="U1328" t="s">
        <v>525</v>
      </c>
      <c r="V1328" s="6" t="s">
        <v>684</v>
      </c>
      <c r="W1328" t="s">
        <v>47</v>
      </c>
      <c r="X1328" t="s">
        <v>822</v>
      </c>
      <c r="Y1328" s="6" t="s">
        <v>49</v>
      </c>
    </row>
    <row r="1329" spans="2:25" x14ac:dyDescent="0.3">
      <c r="B1329" s="5" t="s">
        <v>493</v>
      </c>
      <c r="C1329" s="5" t="str">
        <f>VLOOKUP(B1329,[1]물질정보!B:C,2,0)</f>
        <v>-</v>
      </c>
      <c r="D1329" t="str">
        <f>VLOOKUP(B1329,[1]물질정보!B:D,3,0)</f>
        <v xml:space="preserve">9-(9H-Carbazol-9-yl)-7H-benzo[c]carbazole </v>
      </c>
      <c r="E1329" t="str">
        <f>VLOOKUP(B1329,[1]물질정보!B:E,4,0)</f>
        <v>C28H18N2</v>
      </c>
      <c r="F1329" t="str">
        <f>VLOOKUP(B1329,[1]물질정보!B:F,5,0)</f>
        <v>382.5 g/mol</v>
      </c>
      <c r="G1329" s="5" t="str">
        <f>VLOOKUP(B1329,[1]물질정보!B:G,6,0)</f>
        <v>C1=CC=C2C(=C1)C=CC3=C2C4=C(N3)C=C(C=C4)N5C6=CC=CC=C6C7=CC=CC=C75</v>
      </c>
      <c r="I1329" t="s">
        <v>537</v>
      </c>
      <c r="J1329" t="s">
        <v>535</v>
      </c>
      <c r="K1329">
        <v>0.44</v>
      </c>
      <c r="L1329" t="s">
        <v>531</v>
      </c>
      <c r="M1329" t="s">
        <v>47</v>
      </c>
      <c r="P1329">
        <v>48</v>
      </c>
      <c r="Q1329" t="s">
        <v>533</v>
      </c>
      <c r="R1329" t="s">
        <v>355</v>
      </c>
      <c r="U1329" t="s">
        <v>527</v>
      </c>
      <c r="V1329" s="6" t="s">
        <v>684</v>
      </c>
      <c r="W1329" t="s">
        <v>47</v>
      </c>
      <c r="X1329" t="s">
        <v>822</v>
      </c>
      <c r="Y1329" s="6" t="s">
        <v>49</v>
      </c>
    </row>
    <row r="1330" spans="2:25" x14ac:dyDescent="0.3">
      <c r="B1330" s="5" t="s">
        <v>493</v>
      </c>
      <c r="C1330" s="5" t="str">
        <f>VLOOKUP(B1330,[1]물질정보!B:C,2,0)</f>
        <v>-</v>
      </c>
      <c r="D1330" t="str">
        <f>VLOOKUP(B1330,[1]물질정보!B:D,3,0)</f>
        <v xml:space="preserve">9-(9H-Carbazol-9-yl)-7H-benzo[c]carbazole </v>
      </c>
      <c r="E1330" t="str">
        <f>VLOOKUP(B1330,[1]물질정보!B:E,4,0)</f>
        <v>C28H18N2</v>
      </c>
      <c r="F1330" t="str">
        <f>VLOOKUP(B1330,[1]물질정보!B:F,5,0)</f>
        <v>382.5 g/mol</v>
      </c>
      <c r="G1330" s="5" t="str">
        <f>VLOOKUP(B1330,[1]물질정보!B:G,6,0)</f>
        <v>C1=CC=C2C(=C1)C=CC3=C2C4=C(N3)C=C(C=C4)N5C6=CC=CC=C6C7=CC=CC=C75</v>
      </c>
      <c r="I1330" t="s">
        <v>537</v>
      </c>
      <c r="J1330" t="s">
        <v>535</v>
      </c>
      <c r="K1330">
        <v>20.86</v>
      </c>
      <c r="L1330" t="s">
        <v>531</v>
      </c>
      <c r="M1330" t="s">
        <v>47</v>
      </c>
      <c r="P1330">
        <v>48</v>
      </c>
      <c r="Q1330" t="s">
        <v>533</v>
      </c>
      <c r="R1330" t="s">
        <v>355</v>
      </c>
      <c r="U1330" t="s">
        <v>528</v>
      </c>
      <c r="V1330" s="6" t="s">
        <v>684</v>
      </c>
      <c r="W1330" t="s">
        <v>47</v>
      </c>
      <c r="X1330" t="s">
        <v>822</v>
      </c>
      <c r="Y1330" s="6" t="s">
        <v>49</v>
      </c>
    </row>
    <row r="1331" spans="2:25" x14ac:dyDescent="0.3">
      <c r="B1331" s="5" t="s">
        <v>493</v>
      </c>
      <c r="C1331" s="5" t="str">
        <f>VLOOKUP(B1331,[1]물질정보!B:C,2,0)</f>
        <v>-</v>
      </c>
      <c r="D1331" t="str">
        <f>VLOOKUP(B1331,[1]물질정보!B:D,3,0)</f>
        <v xml:space="preserve">9-(9H-Carbazol-9-yl)-7H-benzo[c]carbazole </v>
      </c>
      <c r="E1331" t="str">
        <f>VLOOKUP(B1331,[1]물질정보!B:E,4,0)</f>
        <v>C28H18N2</v>
      </c>
      <c r="F1331" t="str">
        <f>VLOOKUP(B1331,[1]물질정보!B:F,5,0)</f>
        <v>382.5 g/mol</v>
      </c>
      <c r="G1331" s="5" t="str">
        <f>VLOOKUP(B1331,[1]물질정보!B:G,6,0)</f>
        <v>C1=CC=C2C(=C1)C=CC3=C2C4=C(N3)C=C(C=C4)N5C6=CC=CC=C6C7=CC=CC=C75</v>
      </c>
      <c r="I1331" t="s">
        <v>494</v>
      </c>
      <c r="J1331" t="s">
        <v>538</v>
      </c>
      <c r="K1331">
        <v>780.74</v>
      </c>
      <c r="L1331" t="s">
        <v>539</v>
      </c>
      <c r="M1331" t="s">
        <v>495</v>
      </c>
      <c r="R1331" t="s">
        <v>355</v>
      </c>
      <c r="U1331" t="s">
        <v>523</v>
      </c>
      <c r="V1331" s="6" t="s">
        <v>684</v>
      </c>
      <c r="W1331" t="s">
        <v>86</v>
      </c>
      <c r="X1331" t="s">
        <v>825</v>
      </c>
      <c r="Y1331" s="6" t="s">
        <v>81</v>
      </c>
    </row>
    <row r="1332" spans="2:25" x14ac:dyDescent="0.3">
      <c r="B1332" s="5" t="s">
        <v>493</v>
      </c>
      <c r="C1332" s="5" t="str">
        <f>VLOOKUP(B1332,[1]물질정보!B:C,2,0)</f>
        <v>-</v>
      </c>
      <c r="D1332" t="str">
        <f>VLOOKUP(B1332,[1]물질정보!B:D,3,0)</f>
        <v xml:space="preserve">9-(9H-Carbazol-9-yl)-7H-benzo[c]carbazole </v>
      </c>
      <c r="E1332" t="str">
        <f>VLOOKUP(B1332,[1]물질정보!B:E,4,0)</f>
        <v>C28H18N2</v>
      </c>
      <c r="F1332" t="str">
        <f>VLOOKUP(B1332,[1]물질정보!B:F,5,0)</f>
        <v>382.5 g/mol</v>
      </c>
      <c r="G1332" s="5" t="str">
        <f>VLOOKUP(B1332,[1]물질정보!B:G,6,0)</f>
        <v>C1=CC=C2C(=C1)C=CC3=C2C4=C(N3)C=C(C=C4)N5C6=CC=CC=C6C7=CC=CC=C75</v>
      </c>
      <c r="I1332" t="s">
        <v>494</v>
      </c>
      <c r="J1332" t="s">
        <v>538</v>
      </c>
      <c r="K1332">
        <v>356.09</v>
      </c>
      <c r="L1332" t="s">
        <v>539</v>
      </c>
      <c r="M1332" t="s">
        <v>495</v>
      </c>
      <c r="R1332" t="s">
        <v>355</v>
      </c>
      <c r="U1332" t="s">
        <v>525</v>
      </c>
      <c r="V1332" s="6" t="s">
        <v>684</v>
      </c>
      <c r="W1332" t="s">
        <v>86</v>
      </c>
      <c r="X1332" t="s">
        <v>825</v>
      </c>
      <c r="Y1332" s="6" t="s">
        <v>81</v>
      </c>
    </row>
    <row r="1333" spans="2:25" x14ac:dyDescent="0.3">
      <c r="B1333" s="5" t="s">
        <v>493</v>
      </c>
      <c r="C1333" s="5" t="str">
        <f>VLOOKUP(B1333,[1]물질정보!B:C,2,0)</f>
        <v>-</v>
      </c>
      <c r="D1333" t="str">
        <f>VLOOKUP(B1333,[1]물질정보!B:D,3,0)</f>
        <v xml:space="preserve">9-(9H-Carbazol-9-yl)-7H-benzo[c]carbazole </v>
      </c>
      <c r="E1333" t="str">
        <f>VLOOKUP(B1333,[1]물질정보!B:E,4,0)</f>
        <v>C28H18N2</v>
      </c>
      <c r="F1333" t="str">
        <f>VLOOKUP(B1333,[1]물질정보!B:F,5,0)</f>
        <v>382.5 g/mol</v>
      </c>
      <c r="G1333" s="5" t="str">
        <f>VLOOKUP(B1333,[1]물질정보!B:G,6,0)</f>
        <v>C1=CC=C2C(=C1)C=CC3=C2C4=C(N3)C=C(C=C4)N5C6=CC=CC=C6C7=CC=CC=C75</v>
      </c>
      <c r="I1333" t="s">
        <v>494</v>
      </c>
      <c r="J1333" t="s">
        <v>538</v>
      </c>
      <c r="K1333">
        <v>1465.67</v>
      </c>
      <c r="L1333" t="s">
        <v>539</v>
      </c>
      <c r="M1333" t="s">
        <v>495</v>
      </c>
      <c r="R1333" t="s">
        <v>355</v>
      </c>
      <c r="U1333" t="s">
        <v>527</v>
      </c>
      <c r="V1333" s="6" t="s">
        <v>684</v>
      </c>
      <c r="W1333" t="s">
        <v>86</v>
      </c>
      <c r="X1333" t="s">
        <v>825</v>
      </c>
      <c r="Y1333" s="6" t="s">
        <v>81</v>
      </c>
    </row>
    <row r="1334" spans="2:25" x14ac:dyDescent="0.3">
      <c r="B1334" s="5" t="s">
        <v>493</v>
      </c>
      <c r="C1334" s="5" t="str">
        <f>VLOOKUP(B1334,[1]물질정보!B:C,2,0)</f>
        <v>-</v>
      </c>
      <c r="D1334" t="str">
        <f>VLOOKUP(B1334,[1]물질정보!B:D,3,0)</f>
        <v xml:space="preserve">9-(9H-Carbazol-9-yl)-7H-benzo[c]carbazole </v>
      </c>
      <c r="E1334" t="str">
        <f>VLOOKUP(B1334,[1]물질정보!B:E,4,0)</f>
        <v>C28H18N2</v>
      </c>
      <c r="F1334" t="str">
        <f>VLOOKUP(B1334,[1]물질정보!B:F,5,0)</f>
        <v>382.5 g/mol</v>
      </c>
      <c r="G1334" s="5" t="str">
        <f>VLOOKUP(B1334,[1]물질정보!B:G,6,0)</f>
        <v>C1=CC=C2C(=C1)C=CC3=C2C4=C(N3)C=C(C=C4)N5C6=CC=CC=C6C7=CC=CC=C75</v>
      </c>
      <c r="I1334" t="s">
        <v>494</v>
      </c>
      <c r="J1334" t="s">
        <v>538</v>
      </c>
      <c r="K1334">
        <v>911.85</v>
      </c>
      <c r="L1334" t="s">
        <v>539</v>
      </c>
      <c r="M1334" t="s">
        <v>495</v>
      </c>
      <c r="R1334" t="s">
        <v>355</v>
      </c>
      <c r="U1334" t="s">
        <v>528</v>
      </c>
      <c r="V1334" s="6" t="s">
        <v>684</v>
      </c>
      <c r="W1334" t="s">
        <v>86</v>
      </c>
      <c r="X1334" t="s">
        <v>825</v>
      </c>
      <c r="Y1334" s="6" t="s">
        <v>81</v>
      </c>
    </row>
    <row r="1335" spans="2:25" x14ac:dyDescent="0.3">
      <c r="B1335" s="5" t="s">
        <v>493</v>
      </c>
      <c r="C1335" s="5" t="str">
        <f>VLOOKUP(B1335,[1]물질정보!B:C,2,0)</f>
        <v>-</v>
      </c>
      <c r="D1335" t="str">
        <f>VLOOKUP(B1335,[1]물질정보!B:D,3,0)</f>
        <v xml:space="preserve">9-(9H-Carbazol-9-yl)-7H-benzo[c]carbazole </v>
      </c>
      <c r="E1335" t="str">
        <f>VLOOKUP(B1335,[1]물질정보!B:E,4,0)</f>
        <v>C28H18N2</v>
      </c>
      <c r="F1335" t="str">
        <f>VLOOKUP(B1335,[1]물질정보!B:F,5,0)</f>
        <v>382.5 g/mol</v>
      </c>
      <c r="G1335" s="5" t="str">
        <f>VLOOKUP(B1335,[1]물질정보!B:G,6,0)</f>
        <v>C1=CC=C2C(=C1)C=CC3=C2C4=C(N3)C=C(C=C4)N5C6=CC=CC=C6C7=CC=CC=C75</v>
      </c>
      <c r="I1335" t="s">
        <v>540</v>
      </c>
      <c r="J1335" t="s">
        <v>541</v>
      </c>
      <c r="K1335" t="s">
        <v>542</v>
      </c>
      <c r="M1335" t="s">
        <v>543</v>
      </c>
      <c r="N1335" t="s">
        <v>544</v>
      </c>
      <c r="R1335" t="s">
        <v>355</v>
      </c>
      <c r="U1335" t="s">
        <v>523</v>
      </c>
      <c r="V1335" s="6" t="s">
        <v>684</v>
      </c>
      <c r="W1335" t="s">
        <v>83</v>
      </c>
      <c r="X1335" t="s">
        <v>825</v>
      </c>
      <c r="Y1335" s="6" t="s">
        <v>827</v>
      </c>
    </row>
    <row r="1336" spans="2:25" x14ac:dyDescent="0.3">
      <c r="B1336" s="5" t="s">
        <v>493</v>
      </c>
      <c r="C1336" s="5" t="str">
        <f>VLOOKUP(B1336,[1]물질정보!B:C,2,0)</f>
        <v>-</v>
      </c>
      <c r="D1336" t="str">
        <f>VLOOKUP(B1336,[1]물질정보!B:D,3,0)</f>
        <v xml:space="preserve">9-(9H-Carbazol-9-yl)-7H-benzo[c]carbazole </v>
      </c>
      <c r="E1336" t="str">
        <f>VLOOKUP(B1336,[1]물질정보!B:E,4,0)</f>
        <v>C28H18N2</v>
      </c>
      <c r="F1336" t="str">
        <f>VLOOKUP(B1336,[1]물질정보!B:F,5,0)</f>
        <v>382.5 g/mol</v>
      </c>
      <c r="G1336" s="5" t="str">
        <f>VLOOKUP(B1336,[1]물질정보!B:G,6,0)</f>
        <v>C1=CC=C2C(=C1)C=CC3=C2C4=C(N3)C=C(C=C4)N5C6=CC=CC=C6C7=CC=CC=C75</v>
      </c>
      <c r="I1336" t="s">
        <v>540</v>
      </c>
      <c r="J1336" t="s">
        <v>541</v>
      </c>
      <c r="K1336" t="s">
        <v>545</v>
      </c>
      <c r="M1336" t="s">
        <v>543</v>
      </c>
      <c r="N1336" t="s">
        <v>544</v>
      </c>
      <c r="R1336" t="s">
        <v>355</v>
      </c>
      <c r="U1336" t="s">
        <v>525</v>
      </c>
      <c r="V1336" s="6" t="s">
        <v>684</v>
      </c>
      <c r="W1336" t="s">
        <v>83</v>
      </c>
      <c r="X1336" t="s">
        <v>825</v>
      </c>
      <c r="Y1336" s="6" t="s">
        <v>827</v>
      </c>
    </row>
    <row r="1337" spans="2:25" x14ac:dyDescent="0.3">
      <c r="B1337" s="5" t="s">
        <v>493</v>
      </c>
      <c r="C1337" s="5" t="str">
        <f>VLOOKUP(B1337,[1]물질정보!B:C,2,0)</f>
        <v>-</v>
      </c>
      <c r="D1337" t="str">
        <f>VLOOKUP(B1337,[1]물질정보!B:D,3,0)</f>
        <v xml:space="preserve">9-(9H-Carbazol-9-yl)-7H-benzo[c]carbazole </v>
      </c>
      <c r="E1337" t="str">
        <f>VLOOKUP(B1337,[1]물질정보!B:E,4,0)</f>
        <v>C28H18N2</v>
      </c>
      <c r="F1337" t="str">
        <f>VLOOKUP(B1337,[1]물질정보!B:F,5,0)</f>
        <v>382.5 g/mol</v>
      </c>
      <c r="G1337" s="5" t="str">
        <f>VLOOKUP(B1337,[1]물질정보!B:G,6,0)</f>
        <v>C1=CC=C2C(=C1)C=CC3=C2C4=C(N3)C=C(C=C4)N5C6=CC=CC=C6C7=CC=CC=C75</v>
      </c>
      <c r="I1337" t="s">
        <v>540</v>
      </c>
      <c r="J1337" t="s">
        <v>541</v>
      </c>
      <c r="K1337" t="s">
        <v>546</v>
      </c>
      <c r="M1337" t="s">
        <v>543</v>
      </c>
      <c r="N1337" t="s">
        <v>544</v>
      </c>
      <c r="R1337" t="s">
        <v>355</v>
      </c>
      <c r="U1337" t="s">
        <v>527</v>
      </c>
      <c r="V1337" s="6" t="s">
        <v>684</v>
      </c>
      <c r="W1337" t="s">
        <v>83</v>
      </c>
      <c r="X1337" t="s">
        <v>825</v>
      </c>
      <c r="Y1337" s="6" t="s">
        <v>827</v>
      </c>
    </row>
    <row r="1338" spans="2:25" x14ac:dyDescent="0.3">
      <c r="B1338" s="5" t="s">
        <v>493</v>
      </c>
      <c r="C1338" s="5" t="str">
        <f>VLOOKUP(B1338,[1]물질정보!B:C,2,0)</f>
        <v>-</v>
      </c>
      <c r="D1338" t="str">
        <f>VLOOKUP(B1338,[1]물질정보!B:D,3,0)</f>
        <v xml:space="preserve">9-(9H-Carbazol-9-yl)-7H-benzo[c]carbazole </v>
      </c>
      <c r="E1338" t="str">
        <f>VLOOKUP(B1338,[1]물질정보!B:E,4,0)</f>
        <v>C28H18N2</v>
      </c>
      <c r="F1338" t="str">
        <f>VLOOKUP(B1338,[1]물질정보!B:F,5,0)</f>
        <v>382.5 g/mol</v>
      </c>
      <c r="G1338" s="5" t="str">
        <f>VLOOKUP(B1338,[1]물질정보!B:G,6,0)</f>
        <v>C1=CC=C2C(=C1)C=CC3=C2C4=C(N3)C=C(C=C4)N5C6=CC=CC=C6C7=CC=CC=C75</v>
      </c>
      <c r="I1338" t="s">
        <v>540</v>
      </c>
      <c r="J1338" t="s">
        <v>541</v>
      </c>
      <c r="K1338" t="s">
        <v>547</v>
      </c>
      <c r="M1338" t="s">
        <v>543</v>
      </c>
      <c r="N1338" t="s">
        <v>544</v>
      </c>
      <c r="R1338" t="s">
        <v>355</v>
      </c>
      <c r="U1338" t="s">
        <v>528</v>
      </c>
      <c r="V1338" s="6" t="s">
        <v>684</v>
      </c>
      <c r="W1338" t="s">
        <v>83</v>
      </c>
      <c r="X1338" t="s">
        <v>825</v>
      </c>
      <c r="Y1338" s="6" t="s">
        <v>827</v>
      </c>
    </row>
    <row r="1339" spans="2:25" x14ac:dyDescent="0.3">
      <c r="B1339" s="5" t="s">
        <v>493</v>
      </c>
      <c r="C1339" s="5" t="str">
        <f>VLOOKUP(B1339,[1]물질정보!B:C,2,0)</f>
        <v>-</v>
      </c>
      <c r="D1339" t="str">
        <f>VLOOKUP(B1339,[1]물질정보!B:D,3,0)</f>
        <v xml:space="preserve">9-(9H-Carbazol-9-yl)-7H-benzo[c]carbazole </v>
      </c>
      <c r="E1339" t="str">
        <f>VLOOKUP(B1339,[1]물질정보!B:E,4,0)</f>
        <v>C28H18N2</v>
      </c>
      <c r="F1339" t="str">
        <f>VLOOKUP(B1339,[1]물질정보!B:F,5,0)</f>
        <v>382.5 g/mol</v>
      </c>
      <c r="G1339" s="5" t="str">
        <f>VLOOKUP(B1339,[1]물질정보!B:G,6,0)</f>
        <v>C1=CC=C2C(=C1)C=CC3=C2C4=C(N3)C=C(C=C4)N5C6=CC=CC=C6C7=CC=CC=C75</v>
      </c>
      <c r="I1339" t="s">
        <v>137</v>
      </c>
      <c r="J1339" t="s">
        <v>498</v>
      </c>
      <c r="K1339" t="s">
        <v>548</v>
      </c>
      <c r="R1339" t="s">
        <v>355</v>
      </c>
      <c r="U1339" t="s">
        <v>523</v>
      </c>
      <c r="V1339" s="6" t="s">
        <v>684</v>
      </c>
      <c r="X1339" t="s">
        <v>825</v>
      </c>
      <c r="Y1339" s="6" t="s">
        <v>89</v>
      </c>
    </row>
    <row r="1340" spans="2:25" x14ac:dyDescent="0.3">
      <c r="B1340" s="5" t="s">
        <v>493</v>
      </c>
      <c r="C1340" s="5" t="str">
        <f>VLOOKUP(B1340,[1]물질정보!B:C,2,0)</f>
        <v>-</v>
      </c>
      <c r="D1340" t="str">
        <f>VLOOKUP(B1340,[1]물질정보!B:D,3,0)</f>
        <v xml:space="preserve">9-(9H-Carbazol-9-yl)-7H-benzo[c]carbazole </v>
      </c>
      <c r="E1340" t="str">
        <f>VLOOKUP(B1340,[1]물질정보!B:E,4,0)</f>
        <v>C28H18N2</v>
      </c>
      <c r="F1340" t="str">
        <f>VLOOKUP(B1340,[1]물질정보!B:F,5,0)</f>
        <v>382.5 g/mol</v>
      </c>
      <c r="G1340" s="5" t="str">
        <f>VLOOKUP(B1340,[1]물질정보!B:G,6,0)</f>
        <v>C1=CC=C2C(=C1)C=CC3=C2C4=C(N3)C=C(C=C4)N5C6=CC=CC=C6C7=CC=CC=C75</v>
      </c>
      <c r="I1340" t="s">
        <v>137</v>
      </c>
      <c r="J1340" t="s">
        <v>498</v>
      </c>
      <c r="K1340" t="s">
        <v>549</v>
      </c>
      <c r="R1340" t="s">
        <v>355</v>
      </c>
      <c r="U1340" t="s">
        <v>525</v>
      </c>
      <c r="V1340" s="6" t="s">
        <v>684</v>
      </c>
      <c r="X1340" t="s">
        <v>825</v>
      </c>
      <c r="Y1340" s="6" t="s">
        <v>89</v>
      </c>
    </row>
    <row r="1341" spans="2:25" x14ac:dyDescent="0.3">
      <c r="B1341" s="5" t="s">
        <v>493</v>
      </c>
      <c r="C1341" s="5" t="str">
        <f>VLOOKUP(B1341,[1]물질정보!B:C,2,0)</f>
        <v>-</v>
      </c>
      <c r="D1341" t="str">
        <f>VLOOKUP(B1341,[1]물질정보!B:D,3,0)</f>
        <v xml:space="preserve">9-(9H-Carbazol-9-yl)-7H-benzo[c]carbazole </v>
      </c>
      <c r="E1341" t="str">
        <f>VLOOKUP(B1341,[1]물질정보!B:E,4,0)</f>
        <v>C28H18N2</v>
      </c>
      <c r="F1341" t="str">
        <f>VLOOKUP(B1341,[1]물질정보!B:F,5,0)</f>
        <v>382.5 g/mol</v>
      </c>
      <c r="G1341" s="5" t="str">
        <f>VLOOKUP(B1341,[1]물질정보!B:G,6,0)</f>
        <v>C1=CC=C2C(=C1)C=CC3=C2C4=C(N3)C=C(C=C4)N5C6=CC=CC=C6C7=CC=CC=C75</v>
      </c>
      <c r="I1341" t="s">
        <v>137</v>
      </c>
      <c r="J1341" t="s">
        <v>498</v>
      </c>
      <c r="K1341" t="s">
        <v>550</v>
      </c>
      <c r="R1341" t="s">
        <v>355</v>
      </c>
      <c r="U1341" t="s">
        <v>527</v>
      </c>
      <c r="V1341" s="6" t="s">
        <v>684</v>
      </c>
      <c r="X1341" t="s">
        <v>825</v>
      </c>
      <c r="Y1341" s="6" t="s">
        <v>89</v>
      </c>
    </row>
    <row r="1342" spans="2:25" x14ac:dyDescent="0.3">
      <c r="B1342" s="5" t="s">
        <v>493</v>
      </c>
      <c r="C1342" s="5" t="str">
        <f>VLOOKUP(B1342,[1]물질정보!B:C,2,0)</f>
        <v>-</v>
      </c>
      <c r="D1342" t="str">
        <f>VLOOKUP(B1342,[1]물질정보!B:D,3,0)</f>
        <v xml:space="preserve">9-(9H-Carbazol-9-yl)-7H-benzo[c]carbazole </v>
      </c>
      <c r="E1342" t="str">
        <f>VLOOKUP(B1342,[1]물질정보!B:E,4,0)</f>
        <v>C28H18N2</v>
      </c>
      <c r="F1342" t="str">
        <f>VLOOKUP(B1342,[1]물질정보!B:F,5,0)</f>
        <v>382.5 g/mol</v>
      </c>
      <c r="G1342" s="5" t="str">
        <f>VLOOKUP(B1342,[1]물질정보!B:G,6,0)</f>
        <v>C1=CC=C2C(=C1)C=CC3=C2C4=C(N3)C=C(C=C4)N5C6=CC=CC=C6C7=CC=CC=C75</v>
      </c>
      <c r="I1342" t="s">
        <v>137</v>
      </c>
      <c r="J1342" t="s">
        <v>498</v>
      </c>
      <c r="K1342" t="s">
        <v>551</v>
      </c>
      <c r="R1342" t="s">
        <v>355</v>
      </c>
      <c r="U1342" t="s">
        <v>528</v>
      </c>
      <c r="V1342" s="6" t="s">
        <v>684</v>
      </c>
      <c r="X1342" t="s">
        <v>825</v>
      </c>
      <c r="Y1342" s="6" t="s">
        <v>89</v>
      </c>
    </row>
    <row r="1343" spans="2:25" x14ac:dyDescent="0.3">
      <c r="B1343" s="5" t="s">
        <v>503</v>
      </c>
      <c r="C1343" s="5" t="str">
        <f>VLOOKUP(B1343,[1]물질정보!B:C,2,0)</f>
        <v>97-63-2</v>
      </c>
      <c r="D1343" t="str">
        <f>VLOOKUP(B1343,[1]물질정보!B:D,3,0)</f>
        <v>ethyl methacrylate</v>
      </c>
      <c r="E1343" t="str">
        <f>VLOOKUP(B1343,[1]물질정보!B:E,4,0)</f>
        <v>C6H10O2</v>
      </c>
      <c r="F1343" t="str">
        <f>VLOOKUP(B1343,[1]물질정보!B:F,5,0)</f>
        <v>114.14 g/mol</v>
      </c>
      <c r="G1343" s="5" t="str">
        <f>VLOOKUP(B1343,[1]물질정보!B:G,6,0)</f>
        <v>CCOC(=O)C(=C)C</v>
      </c>
      <c r="I1343" t="s">
        <v>520</v>
      </c>
      <c r="J1343" t="s">
        <v>521</v>
      </c>
      <c r="K1343" t="s">
        <v>552</v>
      </c>
      <c r="R1343" t="s">
        <v>355</v>
      </c>
      <c r="U1343" t="s">
        <v>523</v>
      </c>
      <c r="V1343" s="6" t="s">
        <v>684</v>
      </c>
      <c r="X1343" t="s">
        <v>825</v>
      </c>
      <c r="Y1343" s="6" t="s">
        <v>826</v>
      </c>
    </row>
    <row r="1344" spans="2:25" x14ac:dyDescent="0.3">
      <c r="B1344" s="5" t="s">
        <v>503</v>
      </c>
      <c r="C1344" s="5" t="str">
        <f>VLOOKUP(B1344,[1]물질정보!B:C,2,0)</f>
        <v>97-63-2</v>
      </c>
      <c r="D1344" t="str">
        <f>VLOOKUP(B1344,[1]물질정보!B:D,3,0)</f>
        <v>ethyl methacrylate</v>
      </c>
      <c r="E1344" t="str">
        <f>VLOOKUP(B1344,[1]물질정보!B:E,4,0)</f>
        <v>C6H10O2</v>
      </c>
      <c r="F1344" t="str">
        <f>VLOOKUP(B1344,[1]물질정보!B:F,5,0)</f>
        <v>114.14 g/mol</v>
      </c>
      <c r="G1344" s="5" t="str">
        <f>VLOOKUP(B1344,[1]물질정보!B:G,6,0)</f>
        <v>CCOC(=O)C(=C)C</v>
      </c>
      <c r="I1344" t="s">
        <v>520</v>
      </c>
      <c r="J1344" t="s">
        <v>521</v>
      </c>
      <c r="K1344" t="s">
        <v>553</v>
      </c>
      <c r="R1344" t="s">
        <v>355</v>
      </c>
      <c r="U1344" t="s">
        <v>525</v>
      </c>
      <c r="V1344" s="6" t="s">
        <v>684</v>
      </c>
      <c r="X1344" t="s">
        <v>825</v>
      </c>
      <c r="Y1344" s="6" t="s">
        <v>826</v>
      </c>
    </row>
    <row r="1345" spans="2:25" x14ac:dyDescent="0.3">
      <c r="B1345" s="5" t="s">
        <v>503</v>
      </c>
      <c r="C1345" s="5" t="str">
        <f>VLOOKUP(B1345,[1]물질정보!B:C,2,0)</f>
        <v>97-63-2</v>
      </c>
      <c r="D1345" t="str">
        <f>VLOOKUP(B1345,[1]물질정보!B:D,3,0)</f>
        <v>ethyl methacrylate</v>
      </c>
      <c r="E1345" t="str">
        <f>VLOOKUP(B1345,[1]물질정보!B:E,4,0)</f>
        <v>C6H10O2</v>
      </c>
      <c r="F1345" t="str">
        <f>VLOOKUP(B1345,[1]물질정보!B:F,5,0)</f>
        <v>114.14 g/mol</v>
      </c>
      <c r="G1345" s="5" t="str">
        <f>VLOOKUP(B1345,[1]물질정보!B:G,6,0)</f>
        <v>CCOC(=O)C(=C)C</v>
      </c>
      <c r="I1345" t="s">
        <v>520</v>
      </c>
      <c r="J1345" t="s">
        <v>521</v>
      </c>
      <c r="K1345" t="s">
        <v>554</v>
      </c>
      <c r="R1345" t="s">
        <v>355</v>
      </c>
      <c r="U1345" t="s">
        <v>527</v>
      </c>
      <c r="V1345" s="6" t="s">
        <v>684</v>
      </c>
      <c r="X1345" t="s">
        <v>825</v>
      </c>
      <c r="Y1345" s="6" t="s">
        <v>826</v>
      </c>
    </row>
    <row r="1346" spans="2:25" x14ac:dyDescent="0.3">
      <c r="B1346" s="5" t="s">
        <v>503</v>
      </c>
      <c r="C1346" s="5" t="str">
        <f>VLOOKUP(B1346,[1]물질정보!B:C,2,0)</f>
        <v>97-63-2</v>
      </c>
      <c r="D1346" t="str">
        <f>VLOOKUP(B1346,[1]물질정보!B:D,3,0)</f>
        <v>ethyl methacrylate</v>
      </c>
      <c r="E1346" t="str">
        <f>VLOOKUP(B1346,[1]물질정보!B:E,4,0)</f>
        <v>C6H10O2</v>
      </c>
      <c r="F1346" t="str">
        <f>VLOOKUP(B1346,[1]물질정보!B:F,5,0)</f>
        <v>114.14 g/mol</v>
      </c>
      <c r="G1346" s="5" t="str">
        <f>VLOOKUP(B1346,[1]물질정보!B:G,6,0)</f>
        <v>CCOC(=O)C(=C)C</v>
      </c>
      <c r="I1346" t="s">
        <v>520</v>
      </c>
      <c r="J1346" t="s">
        <v>521</v>
      </c>
      <c r="K1346" t="s">
        <v>555</v>
      </c>
      <c r="R1346" t="s">
        <v>355</v>
      </c>
      <c r="U1346" t="s">
        <v>528</v>
      </c>
      <c r="V1346" s="6" t="s">
        <v>684</v>
      </c>
      <c r="X1346" t="s">
        <v>825</v>
      </c>
      <c r="Y1346" s="6" t="s">
        <v>826</v>
      </c>
    </row>
    <row r="1347" spans="2:25" x14ac:dyDescent="0.3">
      <c r="B1347" s="5" t="s">
        <v>503</v>
      </c>
      <c r="C1347" s="5" t="str">
        <f>VLOOKUP(B1347,[1]물질정보!B:C,2,0)</f>
        <v>97-63-2</v>
      </c>
      <c r="D1347" t="str">
        <f>VLOOKUP(B1347,[1]물질정보!B:D,3,0)</f>
        <v>ethyl methacrylate</v>
      </c>
      <c r="E1347" t="str">
        <f>VLOOKUP(B1347,[1]물질정보!B:E,4,0)</f>
        <v>C6H10O2</v>
      </c>
      <c r="F1347" t="str">
        <f>VLOOKUP(B1347,[1]물질정보!B:F,5,0)</f>
        <v>114.14 g/mol</v>
      </c>
      <c r="G1347" s="5" t="str">
        <f>VLOOKUP(B1347,[1]물질정보!B:G,6,0)</f>
        <v>CCOC(=O)C(=C)C</v>
      </c>
      <c r="I1347" t="s">
        <v>529</v>
      </c>
      <c r="J1347" s="9" t="s">
        <v>530</v>
      </c>
      <c r="K1347">
        <v>1075.42</v>
      </c>
      <c r="L1347" t="s">
        <v>39</v>
      </c>
      <c r="M1347" t="s">
        <v>532</v>
      </c>
      <c r="P1347">
        <v>48</v>
      </c>
      <c r="Q1347" t="s">
        <v>533</v>
      </c>
      <c r="R1347" t="s">
        <v>355</v>
      </c>
      <c r="U1347" t="s">
        <v>523</v>
      </c>
      <c r="V1347" s="6" t="s">
        <v>684</v>
      </c>
      <c r="W1347" t="s">
        <v>532</v>
      </c>
      <c r="X1347" t="s">
        <v>822</v>
      </c>
      <c r="Y1347" s="6" t="s">
        <v>530</v>
      </c>
    </row>
    <row r="1348" spans="2:25" x14ac:dyDescent="0.3">
      <c r="B1348" s="5" t="s">
        <v>503</v>
      </c>
      <c r="C1348" s="5" t="str">
        <f>VLOOKUP(B1348,[1]물질정보!B:C,2,0)</f>
        <v>97-63-2</v>
      </c>
      <c r="D1348" t="str">
        <f>VLOOKUP(B1348,[1]물질정보!B:D,3,0)</f>
        <v>ethyl methacrylate</v>
      </c>
      <c r="E1348" t="str">
        <f>VLOOKUP(B1348,[1]물질정보!B:E,4,0)</f>
        <v>C6H10O2</v>
      </c>
      <c r="F1348" t="str">
        <f>VLOOKUP(B1348,[1]물질정보!B:F,5,0)</f>
        <v>114.14 g/mol</v>
      </c>
      <c r="G1348" s="5" t="str">
        <f>VLOOKUP(B1348,[1]물질정보!B:G,6,0)</f>
        <v>CCOC(=O)C(=C)C</v>
      </c>
      <c r="I1348" t="s">
        <v>529</v>
      </c>
      <c r="J1348" s="9" t="s">
        <v>530</v>
      </c>
      <c r="K1348">
        <v>878.13</v>
      </c>
      <c r="L1348" t="s">
        <v>39</v>
      </c>
      <c r="M1348" t="s">
        <v>532</v>
      </c>
      <c r="P1348">
        <v>48</v>
      </c>
      <c r="Q1348" t="s">
        <v>533</v>
      </c>
      <c r="R1348" t="s">
        <v>355</v>
      </c>
      <c r="U1348" t="s">
        <v>525</v>
      </c>
      <c r="V1348" s="6" t="s">
        <v>684</v>
      </c>
      <c r="W1348" t="s">
        <v>532</v>
      </c>
      <c r="X1348" t="s">
        <v>822</v>
      </c>
      <c r="Y1348" s="6" t="s">
        <v>530</v>
      </c>
    </row>
    <row r="1349" spans="2:25" x14ac:dyDescent="0.3">
      <c r="B1349" s="5" t="s">
        <v>503</v>
      </c>
      <c r="C1349" s="5" t="str">
        <f>VLOOKUP(B1349,[1]물질정보!B:C,2,0)</f>
        <v>97-63-2</v>
      </c>
      <c r="D1349" t="str">
        <f>VLOOKUP(B1349,[1]물질정보!B:D,3,0)</f>
        <v>ethyl methacrylate</v>
      </c>
      <c r="E1349" t="str">
        <f>VLOOKUP(B1349,[1]물질정보!B:E,4,0)</f>
        <v>C6H10O2</v>
      </c>
      <c r="F1349" t="str">
        <f>VLOOKUP(B1349,[1]물질정보!B:F,5,0)</f>
        <v>114.14 g/mol</v>
      </c>
      <c r="G1349" s="5" t="str">
        <f>VLOOKUP(B1349,[1]물질정보!B:G,6,0)</f>
        <v>CCOC(=O)C(=C)C</v>
      </c>
      <c r="I1349" t="s">
        <v>529</v>
      </c>
      <c r="J1349" s="9" t="s">
        <v>530</v>
      </c>
      <c r="K1349">
        <v>1182.54</v>
      </c>
      <c r="L1349" t="s">
        <v>39</v>
      </c>
      <c r="M1349" t="s">
        <v>532</v>
      </c>
      <c r="P1349">
        <v>48</v>
      </c>
      <c r="Q1349" t="s">
        <v>533</v>
      </c>
      <c r="R1349" t="s">
        <v>355</v>
      </c>
      <c r="U1349" t="s">
        <v>527</v>
      </c>
      <c r="V1349" s="6" t="s">
        <v>684</v>
      </c>
      <c r="W1349" t="s">
        <v>532</v>
      </c>
      <c r="X1349" t="s">
        <v>822</v>
      </c>
      <c r="Y1349" s="6" t="s">
        <v>530</v>
      </c>
    </row>
    <row r="1350" spans="2:25" x14ac:dyDescent="0.3">
      <c r="B1350" s="5" t="s">
        <v>503</v>
      </c>
      <c r="C1350" s="5" t="str">
        <f>VLOOKUP(B1350,[1]물질정보!B:C,2,0)</f>
        <v>97-63-2</v>
      </c>
      <c r="D1350" t="str">
        <f>VLOOKUP(B1350,[1]물질정보!B:D,3,0)</f>
        <v>ethyl methacrylate</v>
      </c>
      <c r="E1350" t="str">
        <f>VLOOKUP(B1350,[1]물질정보!B:E,4,0)</f>
        <v>C6H10O2</v>
      </c>
      <c r="F1350" t="str">
        <f>VLOOKUP(B1350,[1]물질정보!B:F,5,0)</f>
        <v>114.14 g/mol</v>
      </c>
      <c r="G1350" s="5" t="str">
        <f>VLOOKUP(B1350,[1]물질정보!B:G,6,0)</f>
        <v>CCOC(=O)C(=C)C</v>
      </c>
      <c r="I1350" t="s">
        <v>529</v>
      </c>
      <c r="J1350" s="9" t="s">
        <v>530</v>
      </c>
      <c r="K1350">
        <v>1197.75</v>
      </c>
      <c r="L1350" t="s">
        <v>39</v>
      </c>
      <c r="M1350" t="s">
        <v>532</v>
      </c>
      <c r="P1350">
        <v>48</v>
      </c>
      <c r="Q1350" t="s">
        <v>533</v>
      </c>
      <c r="R1350" t="s">
        <v>355</v>
      </c>
      <c r="U1350" t="s">
        <v>528</v>
      </c>
      <c r="V1350" s="6" t="s">
        <v>684</v>
      </c>
      <c r="W1350" t="s">
        <v>532</v>
      </c>
      <c r="X1350" t="s">
        <v>822</v>
      </c>
      <c r="Y1350" s="6" t="s">
        <v>530</v>
      </c>
    </row>
    <row r="1351" spans="2:25" x14ac:dyDescent="0.3">
      <c r="B1351" s="5" t="s">
        <v>503</v>
      </c>
      <c r="C1351" s="5" t="str">
        <f>VLOOKUP(B1351,[1]물질정보!B:C,2,0)</f>
        <v>97-63-2</v>
      </c>
      <c r="D1351" t="str">
        <f>VLOOKUP(B1351,[1]물질정보!B:D,3,0)</f>
        <v>ethyl methacrylate</v>
      </c>
      <c r="E1351" t="str">
        <f>VLOOKUP(B1351,[1]물질정보!B:E,4,0)</f>
        <v>C6H10O2</v>
      </c>
      <c r="F1351" t="str">
        <f>VLOOKUP(B1351,[1]물질정보!B:F,5,0)</f>
        <v>114.14 g/mol</v>
      </c>
      <c r="G1351" s="5" t="str">
        <f>VLOOKUP(B1351,[1]물질정보!B:G,6,0)</f>
        <v>CCOC(=O)C(=C)C</v>
      </c>
      <c r="I1351" t="s">
        <v>534</v>
      </c>
      <c r="J1351" t="s">
        <v>535</v>
      </c>
      <c r="K1351">
        <v>32.03</v>
      </c>
      <c r="L1351" t="s">
        <v>39</v>
      </c>
      <c r="M1351" t="s">
        <v>536</v>
      </c>
      <c r="P1351">
        <v>96</v>
      </c>
      <c r="Q1351" t="s">
        <v>533</v>
      </c>
      <c r="R1351" t="s">
        <v>355</v>
      </c>
      <c r="U1351" t="s">
        <v>523</v>
      </c>
      <c r="V1351" s="6" t="s">
        <v>684</v>
      </c>
      <c r="W1351" t="s">
        <v>536</v>
      </c>
      <c r="X1351" t="s">
        <v>823</v>
      </c>
      <c r="Y1351" s="6" t="s">
        <v>49</v>
      </c>
    </row>
    <row r="1352" spans="2:25" x14ac:dyDescent="0.3">
      <c r="B1352" s="5" t="s">
        <v>503</v>
      </c>
      <c r="C1352" s="5" t="str">
        <f>VLOOKUP(B1352,[1]물질정보!B:C,2,0)</f>
        <v>97-63-2</v>
      </c>
      <c r="D1352" t="str">
        <f>VLOOKUP(B1352,[1]물질정보!B:D,3,0)</f>
        <v>ethyl methacrylate</v>
      </c>
      <c r="E1352" t="str">
        <f>VLOOKUP(B1352,[1]물질정보!B:E,4,0)</f>
        <v>C6H10O2</v>
      </c>
      <c r="F1352" t="str">
        <f>VLOOKUP(B1352,[1]물질정보!B:F,5,0)</f>
        <v>114.14 g/mol</v>
      </c>
      <c r="G1352" s="5" t="str">
        <f>VLOOKUP(B1352,[1]물질정보!B:G,6,0)</f>
        <v>CCOC(=O)C(=C)C</v>
      </c>
      <c r="I1352" t="s">
        <v>534</v>
      </c>
      <c r="J1352" t="s">
        <v>535</v>
      </c>
      <c r="K1352">
        <v>17.760000000000002</v>
      </c>
      <c r="L1352" t="s">
        <v>39</v>
      </c>
      <c r="M1352" t="s">
        <v>536</v>
      </c>
      <c r="P1352">
        <v>96</v>
      </c>
      <c r="Q1352" t="s">
        <v>533</v>
      </c>
      <c r="R1352" t="s">
        <v>355</v>
      </c>
      <c r="U1352" t="s">
        <v>525</v>
      </c>
      <c r="V1352" s="6" t="s">
        <v>684</v>
      </c>
      <c r="W1352" t="s">
        <v>536</v>
      </c>
      <c r="X1352" t="s">
        <v>823</v>
      </c>
      <c r="Y1352" s="6" t="s">
        <v>49</v>
      </c>
    </row>
    <row r="1353" spans="2:25" x14ac:dyDescent="0.3">
      <c r="B1353" s="5" t="s">
        <v>503</v>
      </c>
      <c r="C1353" s="5" t="str">
        <f>VLOOKUP(B1353,[1]물질정보!B:C,2,0)</f>
        <v>97-63-2</v>
      </c>
      <c r="D1353" t="str">
        <f>VLOOKUP(B1353,[1]물질정보!B:D,3,0)</f>
        <v>ethyl methacrylate</v>
      </c>
      <c r="E1353" t="str">
        <f>VLOOKUP(B1353,[1]물질정보!B:E,4,0)</f>
        <v>C6H10O2</v>
      </c>
      <c r="F1353" t="str">
        <f>VLOOKUP(B1353,[1]물질정보!B:F,5,0)</f>
        <v>114.14 g/mol</v>
      </c>
      <c r="G1353" s="5" t="str">
        <f>VLOOKUP(B1353,[1]물질정보!B:G,6,0)</f>
        <v>CCOC(=O)C(=C)C</v>
      </c>
      <c r="I1353" t="s">
        <v>534</v>
      </c>
      <c r="J1353" t="s">
        <v>535</v>
      </c>
      <c r="K1353">
        <v>34.07</v>
      </c>
      <c r="L1353" t="s">
        <v>39</v>
      </c>
      <c r="M1353" t="s">
        <v>536</v>
      </c>
      <c r="P1353">
        <v>96</v>
      </c>
      <c r="Q1353" t="s">
        <v>533</v>
      </c>
      <c r="R1353" t="s">
        <v>355</v>
      </c>
      <c r="U1353" t="s">
        <v>527</v>
      </c>
      <c r="V1353" s="6" t="s">
        <v>684</v>
      </c>
      <c r="W1353" t="s">
        <v>536</v>
      </c>
      <c r="X1353" t="s">
        <v>823</v>
      </c>
      <c r="Y1353" s="6" t="s">
        <v>49</v>
      </c>
    </row>
    <row r="1354" spans="2:25" x14ac:dyDescent="0.3">
      <c r="B1354" s="5" t="s">
        <v>503</v>
      </c>
      <c r="C1354" s="5" t="str">
        <f>VLOOKUP(B1354,[1]물질정보!B:C,2,0)</f>
        <v>97-63-2</v>
      </c>
      <c r="D1354" t="str">
        <f>VLOOKUP(B1354,[1]물질정보!B:D,3,0)</f>
        <v>ethyl methacrylate</v>
      </c>
      <c r="E1354" t="str">
        <f>VLOOKUP(B1354,[1]물질정보!B:E,4,0)</f>
        <v>C6H10O2</v>
      </c>
      <c r="F1354" t="str">
        <f>VLOOKUP(B1354,[1]물질정보!B:F,5,0)</f>
        <v>114.14 g/mol</v>
      </c>
      <c r="G1354" s="5" t="str">
        <f>VLOOKUP(B1354,[1]물질정보!B:G,6,0)</f>
        <v>CCOC(=O)C(=C)C</v>
      </c>
      <c r="I1354" t="s">
        <v>534</v>
      </c>
      <c r="J1354" t="s">
        <v>535</v>
      </c>
      <c r="K1354">
        <v>54.28</v>
      </c>
      <c r="L1354" t="s">
        <v>39</v>
      </c>
      <c r="M1354" t="s">
        <v>536</v>
      </c>
      <c r="P1354">
        <v>96</v>
      </c>
      <c r="Q1354" t="s">
        <v>533</v>
      </c>
      <c r="R1354" t="s">
        <v>355</v>
      </c>
      <c r="U1354" t="s">
        <v>528</v>
      </c>
      <c r="V1354" s="6" t="s">
        <v>684</v>
      </c>
      <c r="W1354" t="s">
        <v>536</v>
      </c>
      <c r="X1354" t="s">
        <v>823</v>
      </c>
      <c r="Y1354" s="6" t="s">
        <v>49</v>
      </c>
    </row>
    <row r="1355" spans="2:25" x14ac:dyDescent="0.3">
      <c r="B1355" s="5" t="s">
        <v>503</v>
      </c>
      <c r="C1355" s="5" t="str">
        <f>VLOOKUP(B1355,[1]물질정보!B:C,2,0)</f>
        <v>97-63-2</v>
      </c>
      <c r="D1355" t="str">
        <f>VLOOKUP(B1355,[1]물질정보!B:D,3,0)</f>
        <v>ethyl methacrylate</v>
      </c>
      <c r="E1355" t="str">
        <f>VLOOKUP(B1355,[1]물질정보!B:E,4,0)</f>
        <v>C6H10O2</v>
      </c>
      <c r="F1355" t="str">
        <f>VLOOKUP(B1355,[1]물질정보!B:F,5,0)</f>
        <v>114.14 g/mol</v>
      </c>
      <c r="G1355" s="5" t="str">
        <f>VLOOKUP(B1355,[1]물질정보!B:G,6,0)</f>
        <v>CCOC(=O)C(=C)C</v>
      </c>
      <c r="I1355" t="s">
        <v>537</v>
      </c>
      <c r="J1355" t="s">
        <v>535</v>
      </c>
      <c r="K1355">
        <v>51.55</v>
      </c>
      <c r="L1355" t="s">
        <v>39</v>
      </c>
      <c r="M1355" t="s">
        <v>47</v>
      </c>
      <c r="P1355">
        <v>48</v>
      </c>
      <c r="Q1355" t="s">
        <v>533</v>
      </c>
      <c r="R1355" t="s">
        <v>355</v>
      </c>
      <c r="U1355" t="s">
        <v>523</v>
      </c>
      <c r="V1355" s="6" t="s">
        <v>684</v>
      </c>
      <c r="W1355" t="s">
        <v>47</v>
      </c>
      <c r="X1355" t="s">
        <v>822</v>
      </c>
      <c r="Y1355" s="6" t="s">
        <v>49</v>
      </c>
    </row>
    <row r="1356" spans="2:25" x14ac:dyDescent="0.3">
      <c r="B1356" s="5" t="s">
        <v>503</v>
      </c>
      <c r="C1356" s="5" t="str">
        <f>VLOOKUP(B1356,[1]물질정보!B:C,2,0)</f>
        <v>97-63-2</v>
      </c>
      <c r="D1356" t="str">
        <f>VLOOKUP(B1356,[1]물질정보!B:D,3,0)</f>
        <v>ethyl methacrylate</v>
      </c>
      <c r="E1356" t="str">
        <f>VLOOKUP(B1356,[1]물질정보!B:E,4,0)</f>
        <v>C6H10O2</v>
      </c>
      <c r="F1356" t="str">
        <f>VLOOKUP(B1356,[1]물질정보!B:F,5,0)</f>
        <v>114.14 g/mol</v>
      </c>
      <c r="G1356" s="5" t="str">
        <f>VLOOKUP(B1356,[1]물질정보!B:G,6,0)</f>
        <v>CCOC(=O)C(=C)C</v>
      </c>
      <c r="I1356" t="s">
        <v>537</v>
      </c>
      <c r="J1356" t="s">
        <v>535</v>
      </c>
      <c r="K1356">
        <v>53</v>
      </c>
      <c r="L1356" t="s">
        <v>39</v>
      </c>
      <c r="M1356" t="s">
        <v>47</v>
      </c>
      <c r="P1356">
        <v>48</v>
      </c>
      <c r="Q1356" t="s">
        <v>533</v>
      </c>
      <c r="R1356" t="s">
        <v>355</v>
      </c>
      <c r="U1356" t="s">
        <v>525</v>
      </c>
      <c r="V1356" s="6" t="s">
        <v>684</v>
      </c>
      <c r="W1356" t="s">
        <v>47</v>
      </c>
      <c r="X1356" t="s">
        <v>822</v>
      </c>
      <c r="Y1356" s="6" t="s">
        <v>49</v>
      </c>
    </row>
    <row r="1357" spans="2:25" x14ac:dyDescent="0.3">
      <c r="B1357" s="5" t="s">
        <v>503</v>
      </c>
      <c r="C1357" s="5" t="str">
        <f>VLOOKUP(B1357,[1]물질정보!B:C,2,0)</f>
        <v>97-63-2</v>
      </c>
      <c r="D1357" t="str">
        <f>VLOOKUP(B1357,[1]물질정보!B:D,3,0)</f>
        <v>ethyl methacrylate</v>
      </c>
      <c r="E1357" t="str">
        <f>VLOOKUP(B1357,[1]물질정보!B:E,4,0)</f>
        <v>C6H10O2</v>
      </c>
      <c r="F1357" t="str">
        <f>VLOOKUP(B1357,[1]물질정보!B:F,5,0)</f>
        <v>114.14 g/mol</v>
      </c>
      <c r="G1357" s="5" t="str">
        <f>VLOOKUP(B1357,[1]물질정보!B:G,6,0)</f>
        <v>CCOC(=O)C(=C)C</v>
      </c>
      <c r="I1357" t="s">
        <v>537</v>
      </c>
      <c r="J1357" t="s">
        <v>535</v>
      </c>
      <c r="K1357">
        <v>82.25</v>
      </c>
      <c r="L1357" t="s">
        <v>39</v>
      </c>
      <c r="M1357" t="s">
        <v>47</v>
      </c>
      <c r="P1357">
        <v>48</v>
      </c>
      <c r="Q1357" t="s">
        <v>533</v>
      </c>
      <c r="R1357" t="s">
        <v>355</v>
      </c>
      <c r="U1357" t="s">
        <v>527</v>
      </c>
      <c r="V1357" s="6" t="s">
        <v>684</v>
      </c>
      <c r="W1357" t="s">
        <v>47</v>
      </c>
      <c r="X1357" t="s">
        <v>822</v>
      </c>
      <c r="Y1357" s="6" t="s">
        <v>49</v>
      </c>
    </row>
    <row r="1358" spans="2:25" x14ac:dyDescent="0.3">
      <c r="B1358" s="5" t="s">
        <v>503</v>
      </c>
      <c r="C1358" s="5" t="str">
        <f>VLOOKUP(B1358,[1]물질정보!B:C,2,0)</f>
        <v>97-63-2</v>
      </c>
      <c r="D1358" t="str">
        <f>VLOOKUP(B1358,[1]물질정보!B:D,3,0)</f>
        <v>ethyl methacrylate</v>
      </c>
      <c r="E1358" t="str">
        <f>VLOOKUP(B1358,[1]물질정보!B:E,4,0)</f>
        <v>C6H10O2</v>
      </c>
      <c r="F1358" t="str">
        <f>VLOOKUP(B1358,[1]물질정보!B:F,5,0)</f>
        <v>114.14 g/mol</v>
      </c>
      <c r="G1358" s="5" t="str">
        <f>VLOOKUP(B1358,[1]물질정보!B:G,6,0)</f>
        <v>CCOC(=O)C(=C)C</v>
      </c>
      <c r="I1358" t="s">
        <v>537</v>
      </c>
      <c r="J1358" t="s">
        <v>535</v>
      </c>
      <c r="K1358">
        <v>31.42</v>
      </c>
      <c r="L1358" t="s">
        <v>39</v>
      </c>
      <c r="M1358" t="s">
        <v>47</v>
      </c>
      <c r="P1358">
        <v>48</v>
      </c>
      <c r="Q1358" t="s">
        <v>533</v>
      </c>
      <c r="R1358" t="s">
        <v>355</v>
      </c>
      <c r="U1358" t="s">
        <v>528</v>
      </c>
      <c r="V1358" s="6" t="s">
        <v>684</v>
      </c>
      <c r="W1358" t="s">
        <v>47</v>
      </c>
      <c r="X1358" t="s">
        <v>822</v>
      </c>
      <c r="Y1358" s="6" t="s">
        <v>49</v>
      </c>
    </row>
    <row r="1359" spans="2:25" x14ac:dyDescent="0.3">
      <c r="B1359" s="5" t="s">
        <v>503</v>
      </c>
      <c r="C1359" s="5" t="str">
        <f>VLOOKUP(B1359,[1]물질정보!B:C,2,0)</f>
        <v>97-63-2</v>
      </c>
      <c r="D1359" t="str">
        <f>VLOOKUP(B1359,[1]물질정보!B:D,3,0)</f>
        <v>ethyl methacrylate</v>
      </c>
      <c r="E1359" t="str">
        <f>VLOOKUP(B1359,[1]물질정보!B:E,4,0)</f>
        <v>C6H10O2</v>
      </c>
      <c r="F1359" t="str">
        <f>VLOOKUP(B1359,[1]물질정보!B:F,5,0)</f>
        <v>114.14 g/mol</v>
      </c>
      <c r="G1359" s="5" t="str">
        <f>VLOOKUP(B1359,[1]물질정보!B:G,6,0)</f>
        <v>CCOC(=O)C(=C)C</v>
      </c>
      <c r="I1359" t="s">
        <v>494</v>
      </c>
      <c r="J1359" t="s">
        <v>538</v>
      </c>
      <c r="K1359">
        <v>3674.25</v>
      </c>
      <c r="L1359" t="s">
        <v>161</v>
      </c>
      <c r="M1359" t="s">
        <v>495</v>
      </c>
      <c r="R1359" t="s">
        <v>355</v>
      </c>
      <c r="U1359" t="s">
        <v>523</v>
      </c>
      <c r="V1359" s="6" t="s">
        <v>684</v>
      </c>
      <c r="W1359" t="s">
        <v>86</v>
      </c>
      <c r="X1359" t="s">
        <v>825</v>
      </c>
      <c r="Y1359" s="6" t="s">
        <v>81</v>
      </c>
    </row>
    <row r="1360" spans="2:25" x14ac:dyDescent="0.3">
      <c r="B1360" s="5" t="s">
        <v>503</v>
      </c>
      <c r="C1360" s="5" t="str">
        <f>VLOOKUP(B1360,[1]물질정보!B:C,2,0)</f>
        <v>97-63-2</v>
      </c>
      <c r="D1360" t="str">
        <f>VLOOKUP(B1360,[1]물질정보!B:D,3,0)</f>
        <v>ethyl methacrylate</v>
      </c>
      <c r="E1360" t="str">
        <f>VLOOKUP(B1360,[1]물질정보!B:E,4,0)</f>
        <v>C6H10O2</v>
      </c>
      <c r="F1360" t="str">
        <f>VLOOKUP(B1360,[1]물질정보!B:F,5,0)</f>
        <v>114.14 g/mol</v>
      </c>
      <c r="G1360" s="5" t="str">
        <f>VLOOKUP(B1360,[1]물질정보!B:G,6,0)</f>
        <v>CCOC(=O)C(=C)C</v>
      </c>
      <c r="I1360" t="s">
        <v>494</v>
      </c>
      <c r="J1360" t="s">
        <v>538</v>
      </c>
      <c r="K1360">
        <v>4153.33</v>
      </c>
      <c r="L1360" t="s">
        <v>161</v>
      </c>
      <c r="M1360" t="s">
        <v>495</v>
      </c>
      <c r="R1360" t="s">
        <v>355</v>
      </c>
      <c r="U1360" t="s">
        <v>525</v>
      </c>
      <c r="V1360" s="6" t="s">
        <v>684</v>
      </c>
      <c r="W1360" t="s">
        <v>86</v>
      </c>
      <c r="X1360" t="s">
        <v>825</v>
      </c>
      <c r="Y1360" s="6" t="s">
        <v>81</v>
      </c>
    </row>
    <row r="1361" spans="2:25" x14ac:dyDescent="0.3">
      <c r="B1361" s="5" t="s">
        <v>503</v>
      </c>
      <c r="C1361" s="5" t="str">
        <f>VLOOKUP(B1361,[1]물질정보!B:C,2,0)</f>
        <v>97-63-2</v>
      </c>
      <c r="D1361" t="str">
        <f>VLOOKUP(B1361,[1]물질정보!B:D,3,0)</f>
        <v>ethyl methacrylate</v>
      </c>
      <c r="E1361" t="str">
        <f>VLOOKUP(B1361,[1]물질정보!B:E,4,0)</f>
        <v>C6H10O2</v>
      </c>
      <c r="F1361" t="str">
        <f>VLOOKUP(B1361,[1]물질정보!B:F,5,0)</f>
        <v>114.14 g/mol</v>
      </c>
      <c r="G1361" s="5" t="str">
        <f>VLOOKUP(B1361,[1]물질정보!B:G,6,0)</f>
        <v>CCOC(=O)C(=C)C</v>
      </c>
      <c r="I1361" t="s">
        <v>494</v>
      </c>
      <c r="J1361" t="s">
        <v>538</v>
      </c>
      <c r="K1361">
        <v>2442.7199999999998</v>
      </c>
      <c r="L1361" t="s">
        <v>161</v>
      </c>
      <c r="M1361" t="s">
        <v>495</v>
      </c>
      <c r="R1361" t="s">
        <v>355</v>
      </c>
      <c r="U1361" t="s">
        <v>527</v>
      </c>
      <c r="V1361" s="6" t="s">
        <v>684</v>
      </c>
      <c r="W1361" t="s">
        <v>86</v>
      </c>
      <c r="X1361" t="s">
        <v>825</v>
      </c>
      <c r="Y1361" s="6" t="s">
        <v>81</v>
      </c>
    </row>
    <row r="1362" spans="2:25" x14ac:dyDescent="0.3">
      <c r="B1362" s="5" t="s">
        <v>503</v>
      </c>
      <c r="C1362" s="5" t="str">
        <f>VLOOKUP(B1362,[1]물질정보!B:C,2,0)</f>
        <v>97-63-2</v>
      </c>
      <c r="D1362" t="str">
        <f>VLOOKUP(B1362,[1]물질정보!B:D,3,0)</f>
        <v>ethyl methacrylate</v>
      </c>
      <c r="E1362" t="str">
        <f>VLOOKUP(B1362,[1]물질정보!B:E,4,0)</f>
        <v>C6H10O2</v>
      </c>
      <c r="F1362" t="str">
        <f>VLOOKUP(B1362,[1]물질정보!B:F,5,0)</f>
        <v>114.14 g/mol</v>
      </c>
      <c r="G1362" s="5" t="str">
        <f>VLOOKUP(B1362,[1]물질정보!B:G,6,0)</f>
        <v>CCOC(=O)C(=C)C</v>
      </c>
      <c r="I1362" t="s">
        <v>494</v>
      </c>
      <c r="J1362" t="s">
        <v>538</v>
      </c>
      <c r="K1362">
        <v>4889.18</v>
      </c>
      <c r="L1362" t="s">
        <v>161</v>
      </c>
      <c r="M1362" t="s">
        <v>495</v>
      </c>
      <c r="R1362" t="s">
        <v>355</v>
      </c>
      <c r="U1362" t="s">
        <v>528</v>
      </c>
      <c r="V1362" s="6" t="s">
        <v>684</v>
      </c>
      <c r="W1362" t="s">
        <v>86</v>
      </c>
      <c r="X1362" t="s">
        <v>825</v>
      </c>
      <c r="Y1362" s="6" t="s">
        <v>81</v>
      </c>
    </row>
    <row r="1363" spans="2:25" x14ac:dyDescent="0.3">
      <c r="B1363" s="5" t="s">
        <v>503</v>
      </c>
      <c r="C1363" s="5" t="str">
        <f>VLOOKUP(B1363,[1]물질정보!B:C,2,0)</f>
        <v>97-63-2</v>
      </c>
      <c r="D1363" t="str">
        <f>VLOOKUP(B1363,[1]물질정보!B:D,3,0)</f>
        <v>ethyl methacrylate</v>
      </c>
      <c r="E1363" t="str">
        <f>VLOOKUP(B1363,[1]물질정보!B:E,4,0)</f>
        <v>C6H10O2</v>
      </c>
      <c r="F1363" t="str">
        <f>VLOOKUP(B1363,[1]물질정보!B:F,5,0)</f>
        <v>114.14 g/mol</v>
      </c>
      <c r="G1363" s="5" t="str">
        <f>VLOOKUP(B1363,[1]물질정보!B:G,6,0)</f>
        <v>CCOC(=O)C(=C)C</v>
      </c>
      <c r="I1363" t="s">
        <v>540</v>
      </c>
      <c r="J1363" t="s">
        <v>541</v>
      </c>
      <c r="K1363" t="s">
        <v>553</v>
      </c>
      <c r="M1363" t="s">
        <v>543</v>
      </c>
      <c r="N1363" t="s">
        <v>544</v>
      </c>
      <c r="R1363" t="s">
        <v>355</v>
      </c>
      <c r="U1363" t="s">
        <v>523</v>
      </c>
      <c r="V1363" s="6" t="s">
        <v>684</v>
      </c>
      <c r="W1363" t="s">
        <v>83</v>
      </c>
      <c r="X1363" t="s">
        <v>825</v>
      </c>
      <c r="Y1363" s="6" t="s">
        <v>827</v>
      </c>
    </row>
    <row r="1364" spans="2:25" x14ac:dyDescent="0.3">
      <c r="B1364" s="5" t="s">
        <v>503</v>
      </c>
      <c r="C1364" s="5" t="str">
        <f>VLOOKUP(B1364,[1]물질정보!B:C,2,0)</f>
        <v>97-63-2</v>
      </c>
      <c r="D1364" t="str">
        <f>VLOOKUP(B1364,[1]물질정보!B:D,3,0)</f>
        <v>ethyl methacrylate</v>
      </c>
      <c r="E1364" t="str">
        <f>VLOOKUP(B1364,[1]물질정보!B:E,4,0)</f>
        <v>C6H10O2</v>
      </c>
      <c r="F1364" t="str">
        <f>VLOOKUP(B1364,[1]물질정보!B:F,5,0)</f>
        <v>114.14 g/mol</v>
      </c>
      <c r="G1364" s="5" t="str">
        <f>VLOOKUP(B1364,[1]물질정보!B:G,6,0)</f>
        <v>CCOC(=O)C(=C)C</v>
      </c>
      <c r="I1364" t="s">
        <v>540</v>
      </c>
      <c r="J1364" t="s">
        <v>541</v>
      </c>
      <c r="K1364" t="s">
        <v>556</v>
      </c>
      <c r="M1364" t="s">
        <v>543</v>
      </c>
      <c r="N1364" t="s">
        <v>544</v>
      </c>
      <c r="R1364" t="s">
        <v>355</v>
      </c>
      <c r="U1364" t="s">
        <v>525</v>
      </c>
      <c r="V1364" s="6" t="s">
        <v>684</v>
      </c>
      <c r="W1364" t="s">
        <v>83</v>
      </c>
      <c r="X1364" t="s">
        <v>825</v>
      </c>
      <c r="Y1364" s="6" t="s">
        <v>827</v>
      </c>
    </row>
    <row r="1365" spans="2:25" x14ac:dyDescent="0.3">
      <c r="B1365" s="5" t="s">
        <v>503</v>
      </c>
      <c r="C1365" s="5" t="str">
        <f>VLOOKUP(B1365,[1]물질정보!B:C,2,0)</f>
        <v>97-63-2</v>
      </c>
      <c r="D1365" t="str">
        <f>VLOOKUP(B1365,[1]물질정보!B:D,3,0)</f>
        <v>ethyl methacrylate</v>
      </c>
      <c r="E1365" t="str">
        <f>VLOOKUP(B1365,[1]물질정보!B:E,4,0)</f>
        <v>C6H10O2</v>
      </c>
      <c r="F1365" t="str">
        <f>VLOOKUP(B1365,[1]물질정보!B:F,5,0)</f>
        <v>114.14 g/mol</v>
      </c>
      <c r="G1365" s="5" t="str">
        <f>VLOOKUP(B1365,[1]물질정보!B:G,6,0)</f>
        <v>CCOC(=O)C(=C)C</v>
      </c>
      <c r="I1365" t="s">
        <v>540</v>
      </c>
      <c r="J1365" t="s">
        <v>541</v>
      </c>
      <c r="K1365" t="s">
        <v>504</v>
      </c>
      <c r="M1365" t="s">
        <v>543</v>
      </c>
      <c r="N1365" t="s">
        <v>544</v>
      </c>
      <c r="R1365" t="s">
        <v>355</v>
      </c>
      <c r="U1365" t="s">
        <v>527</v>
      </c>
      <c r="V1365" s="6" t="s">
        <v>684</v>
      </c>
      <c r="W1365" t="s">
        <v>83</v>
      </c>
      <c r="X1365" t="s">
        <v>825</v>
      </c>
      <c r="Y1365" s="6" t="s">
        <v>827</v>
      </c>
    </row>
    <row r="1366" spans="2:25" x14ac:dyDescent="0.3">
      <c r="B1366" s="5" t="s">
        <v>503</v>
      </c>
      <c r="C1366" s="5" t="str">
        <f>VLOOKUP(B1366,[1]물질정보!B:C,2,0)</f>
        <v>97-63-2</v>
      </c>
      <c r="D1366" t="str">
        <f>VLOOKUP(B1366,[1]물질정보!B:D,3,0)</f>
        <v>ethyl methacrylate</v>
      </c>
      <c r="E1366" t="str">
        <f>VLOOKUP(B1366,[1]물질정보!B:E,4,0)</f>
        <v>C6H10O2</v>
      </c>
      <c r="F1366" t="str">
        <f>VLOOKUP(B1366,[1]물질정보!B:F,5,0)</f>
        <v>114.14 g/mol</v>
      </c>
      <c r="G1366" s="5" t="str">
        <f>VLOOKUP(B1366,[1]물질정보!B:G,6,0)</f>
        <v>CCOC(=O)C(=C)C</v>
      </c>
      <c r="I1366" t="s">
        <v>540</v>
      </c>
      <c r="J1366" t="s">
        <v>541</v>
      </c>
      <c r="K1366" t="s">
        <v>557</v>
      </c>
      <c r="M1366" t="s">
        <v>543</v>
      </c>
      <c r="N1366" t="s">
        <v>544</v>
      </c>
      <c r="R1366" t="s">
        <v>355</v>
      </c>
      <c r="U1366" t="s">
        <v>528</v>
      </c>
      <c r="V1366" s="6" t="s">
        <v>684</v>
      </c>
      <c r="W1366" t="s">
        <v>83</v>
      </c>
      <c r="X1366" t="s">
        <v>825</v>
      </c>
      <c r="Y1366" s="6" t="s">
        <v>827</v>
      </c>
    </row>
    <row r="1367" spans="2:25" x14ac:dyDescent="0.3">
      <c r="B1367" s="5" t="s">
        <v>503</v>
      </c>
      <c r="C1367" s="5" t="str">
        <f>VLOOKUP(B1367,[1]물질정보!B:C,2,0)</f>
        <v>97-63-2</v>
      </c>
      <c r="D1367" t="str">
        <f>VLOOKUP(B1367,[1]물질정보!B:D,3,0)</f>
        <v>ethyl methacrylate</v>
      </c>
      <c r="E1367" t="str">
        <f>VLOOKUP(B1367,[1]물질정보!B:E,4,0)</f>
        <v>C6H10O2</v>
      </c>
      <c r="F1367" t="str">
        <f>VLOOKUP(B1367,[1]물질정보!B:F,5,0)</f>
        <v>114.14 g/mol</v>
      </c>
      <c r="G1367" s="5" t="str">
        <f>VLOOKUP(B1367,[1]물질정보!B:G,6,0)</f>
        <v>CCOC(=O)C(=C)C</v>
      </c>
      <c r="I1367" t="s">
        <v>137</v>
      </c>
      <c r="J1367" t="s">
        <v>498</v>
      </c>
      <c r="K1367" t="s">
        <v>558</v>
      </c>
      <c r="R1367" t="s">
        <v>355</v>
      </c>
      <c r="U1367" t="s">
        <v>523</v>
      </c>
      <c r="V1367" s="6" t="s">
        <v>684</v>
      </c>
      <c r="X1367" t="s">
        <v>825</v>
      </c>
      <c r="Y1367" s="6" t="s">
        <v>89</v>
      </c>
    </row>
    <row r="1368" spans="2:25" x14ac:dyDescent="0.3">
      <c r="B1368" s="5" t="s">
        <v>503</v>
      </c>
      <c r="C1368" s="5" t="str">
        <f>VLOOKUP(B1368,[1]물질정보!B:C,2,0)</f>
        <v>97-63-2</v>
      </c>
      <c r="D1368" t="str">
        <f>VLOOKUP(B1368,[1]물질정보!B:D,3,0)</f>
        <v>ethyl methacrylate</v>
      </c>
      <c r="E1368" t="str">
        <f>VLOOKUP(B1368,[1]물질정보!B:E,4,0)</f>
        <v>C6H10O2</v>
      </c>
      <c r="F1368" t="str">
        <f>VLOOKUP(B1368,[1]물질정보!B:F,5,0)</f>
        <v>114.14 g/mol</v>
      </c>
      <c r="G1368" s="5" t="str">
        <f>VLOOKUP(B1368,[1]물질정보!B:G,6,0)</f>
        <v>CCOC(=O)C(=C)C</v>
      </c>
      <c r="I1368" t="s">
        <v>137</v>
      </c>
      <c r="J1368" t="s">
        <v>498</v>
      </c>
      <c r="K1368" t="s">
        <v>559</v>
      </c>
      <c r="R1368" t="s">
        <v>355</v>
      </c>
      <c r="U1368" t="s">
        <v>525</v>
      </c>
      <c r="V1368" s="6" t="s">
        <v>684</v>
      </c>
      <c r="X1368" t="s">
        <v>825</v>
      </c>
      <c r="Y1368" s="6" t="s">
        <v>89</v>
      </c>
    </row>
    <row r="1369" spans="2:25" x14ac:dyDescent="0.3">
      <c r="B1369" s="5" t="s">
        <v>503</v>
      </c>
      <c r="C1369" s="5" t="str">
        <f>VLOOKUP(B1369,[1]물질정보!B:C,2,0)</f>
        <v>97-63-2</v>
      </c>
      <c r="D1369" t="str">
        <f>VLOOKUP(B1369,[1]물질정보!B:D,3,0)</f>
        <v>ethyl methacrylate</v>
      </c>
      <c r="E1369" t="str">
        <f>VLOOKUP(B1369,[1]물질정보!B:E,4,0)</f>
        <v>C6H10O2</v>
      </c>
      <c r="F1369" t="str">
        <f>VLOOKUP(B1369,[1]물질정보!B:F,5,0)</f>
        <v>114.14 g/mol</v>
      </c>
      <c r="G1369" s="5" t="str">
        <f>VLOOKUP(B1369,[1]물질정보!B:G,6,0)</f>
        <v>CCOC(=O)C(=C)C</v>
      </c>
      <c r="I1369" t="s">
        <v>137</v>
      </c>
      <c r="J1369" t="s">
        <v>498</v>
      </c>
      <c r="K1369" t="s">
        <v>560</v>
      </c>
      <c r="R1369" t="s">
        <v>355</v>
      </c>
      <c r="U1369" t="s">
        <v>527</v>
      </c>
      <c r="V1369" s="6" t="s">
        <v>684</v>
      </c>
      <c r="X1369" t="s">
        <v>825</v>
      </c>
      <c r="Y1369" s="6" t="s">
        <v>89</v>
      </c>
    </row>
    <row r="1370" spans="2:25" x14ac:dyDescent="0.3">
      <c r="B1370" s="5" t="s">
        <v>503</v>
      </c>
      <c r="C1370" s="5" t="str">
        <f>VLOOKUP(B1370,[1]물질정보!B:C,2,0)</f>
        <v>97-63-2</v>
      </c>
      <c r="D1370" t="str">
        <f>VLOOKUP(B1370,[1]물질정보!B:D,3,0)</f>
        <v>ethyl methacrylate</v>
      </c>
      <c r="E1370" t="str">
        <f>VLOOKUP(B1370,[1]물질정보!B:E,4,0)</f>
        <v>C6H10O2</v>
      </c>
      <c r="F1370" t="str">
        <f>VLOOKUP(B1370,[1]물질정보!B:F,5,0)</f>
        <v>114.14 g/mol</v>
      </c>
      <c r="G1370" s="5" t="str">
        <f>VLOOKUP(B1370,[1]물질정보!B:G,6,0)</f>
        <v>CCOC(=O)C(=C)C</v>
      </c>
      <c r="I1370" t="s">
        <v>137</v>
      </c>
      <c r="J1370" t="s">
        <v>498</v>
      </c>
      <c r="K1370" t="s">
        <v>561</v>
      </c>
      <c r="R1370" t="s">
        <v>355</v>
      </c>
      <c r="U1370" t="s">
        <v>528</v>
      </c>
      <c r="V1370" s="6" t="s">
        <v>684</v>
      </c>
      <c r="X1370" t="s">
        <v>825</v>
      </c>
      <c r="Y1370" s="6" t="s">
        <v>89</v>
      </c>
    </row>
    <row r="1371" spans="2:25" x14ac:dyDescent="0.3">
      <c r="B1371" s="5" t="s">
        <v>500</v>
      </c>
      <c r="C1371" s="5" t="str">
        <f>VLOOKUP(B1371,[1]물질정보!B:C,2,0)</f>
        <v>205-25-4</v>
      </c>
      <c r="D1371" t="str">
        <f>VLOOKUP(B1371,[1]물질정보!B:D,3,0)</f>
        <v xml:space="preserve">7H-Benzo[c]carbazole </v>
      </c>
      <c r="E1371" t="str">
        <f>VLOOKUP(B1371,[1]물질정보!B:E,4,0)</f>
        <v>C16H11N</v>
      </c>
      <c r="F1371" t="str">
        <f>VLOOKUP(B1371,[1]물질정보!B:F,5,0)</f>
        <v>217.26 g/mol</v>
      </c>
      <c r="G1371" s="5" t="str">
        <f>VLOOKUP(B1371,[1]물질정보!B:G,6,0)</f>
        <v>C1=CC=C2C(=C1)C=CC3=C2C4=CC=CC=C4N3</v>
      </c>
      <c r="I1371" t="s">
        <v>520</v>
      </c>
      <c r="J1371" t="s">
        <v>521</v>
      </c>
      <c r="K1371" t="s">
        <v>562</v>
      </c>
      <c r="R1371" t="s">
        <v>355</v>
      </c>
      <c r="U1371" t="s">
        <v>523</v>
      </c>
      <c r="V1371" s="6" t="s">
        <v>684</v>
      </c>
      <c r="X1371" t="s">
        <v>825</v>
      </c>
      <c r="Y1371" s="6" t="s">
        <v>826</v>
      </c>
    </row>
    <row r="1372" spans="2:25" x14ac:dyDescent="0.3">
      <c r="B1372" s="5" t="s">
        <v>500</v>
      </c>
      <c r="C1372" s="5" t="str">
        <f>VLOOKUP(B1372,[1]물질정보!B:C,2,0)</f>
        <v>205-25-4</v>
      </c>
      <c r="D1372" t="str">
        <f>VLOOKUP(B1372,[1]물질정보!B:D,3,0)</f>
        <v xml:space="preserve">7H-Benzo[c]carbazole </v>
      </c>
      <c r="E1372" t="str">
        <f>VLOOKUP(B1372,[1]물질정보!B:E,4,0)</f>
        <v>C16H11N</v>
      </c>
      <c r="F1372" t="str">
        <f>VLOOKUP(B1372,[1]물질정보!B:F,5,0)</f>
        <v>217.26 g/mol</v>
      </c>
      <c r="G1372" s="5" t="str">
        <f>VLOOKUP(B1372,[1]물질정보!B:G,6,0)</f>
        <v>C1=CC=C2C(=C1)C=CC3=C2C4=CC=CC=C4N3</v>
      </c>
      <c r="I1372" t="s">
        <v>520</v>
      </c>
      <c r="J1372" t="s">
        <v>521</v>
      </c>
      <c r="K1372" t="s">
        <v>563</v>
      </c>
      <c r="R1372" t="s">
        <v>355</v>
      </c>
      <c r="U1372" t="s">
        <v>525</v>
      </c>
      <c r="V1372" s="6" t="s">
        <v>684</v>
      </c>
      <c r="X1372" t="s">
        <v>825</v>
      </c>
      <c r="Y1372" s="6" t="s">
        <v>826</v>
      </c>
    </row>
    <row r="1373" spans="2:25" x14ac:dyDescent="0.3">
      <c r="B1373" s="5" t="s">
        <v>500</v>
      </c>
      <c r="C1373" s="5" t="str">
        <f>VLOOKUP(B1373,[1]물질정보!B:C,2,0)</f>
        <v>205-25-4</v>
      </c>
      <c r="D1373" t="str">
        <f>VLOOKUP(B1373,[1]물질정보!B:D,3,0)</f>
        <v xml:space="preserve">7H-Benzo[c]carbazole </v>
      </c>
      <c r="E1373" t="str">
        <f>VLOOKUP(B1373,[1]물질정보!B:E,4,0)</f>
        <v>C16H11N</v>
      </c>
      <c r="F1373" t="str">
        <f>VLOOKUP(B1373,[1]물질정보!B:F,5,0)</f>
        <v>217.26 g/mol</v>
      </c>
      <c r="G1373" s="5" t="str">
        <f>VLOOKUP(B1373,[1]물질정보!B:G,6,0)</f>
        <v>C1=CC=C2C(=C1)C=CC3=C2C4=CC=CC=C4N3</v>
      </c>
      <c r="I1373" t="s">
        <v>520</v>
      </c>
      <c r="J1373" t="s">
        <v>521</v>
      </c>
      <c r="K1373" t="s">
        <v>564</v>
      </c>
      <c r="R1373" t="s">
        <v>355</v>
      </c>
      <c r="U1373" t="s">
        <v>527</v>
      </c>
      <c r="V1373" s="6" t="s">
        <v>684</v>
      </c>
      <c r="X1373" t="s">
        <v>825</v>
      </c>
      <c r="Y1373" s="6" t="s">
        <v>826</v>
      </c>
    </row>
    <row r="1374" spans="2:25" x14ac:dyDescent="0.3">
      <c r="B1374" s="5" t="s">
        <v>500</v>
      </c>
      <c r="C1374" s="5" t="str">
        <f>VLOOKUP(B1374,[1]물질정보!B:C,2,0)</f>
        <v>205-25-4</v>
      </c>
      <c r="D1374" t="str">
        <f>VLOOKUP(B1374,[1]물질정보!B:D,3,0)</f>
        <v xml:space="preserve">7H-Benzo[c]carbazole </v>
      </c>
      <c r="E1374" t="str">
        <f>VLOOKUP(B1374,[1]물질정보!B:E,4,0)</f>
        <v>C16H11N</v>
      </c>
      <c r="F1374" t="str">
        <f>VLOOKUP(B1374,[1]물질정보!B:F,5,0)</f>
        <v>217.26 g/mol</v>
      </c>
      <c r="G1374" s="5" t="str">
        <f>VLOOKUP(B1374,[1]물질정보!B:G,6,0)</f>
        <v>C1=CC=C2C(=C1)C=CC3=C2C4=CC=CC=C4N3</v>
      </c>
      <c r="I1374" t="s">
        <v>520</v>
      </c>
      <c r="J1374" t="s">
        <v>521</v>
      </c>
      <c r="K1374" t="s">
        <v>565</v>
      </c>
      <c r="R1374" t="s">
        <v>355</v>
      </c>
      <c r="U1374" t="s">
        <v>528</v>
      </c>
      <c r="V1374" s="6" t="s">
        <v>684</v>
      </c>
      <c r="X1374" t="s">
        <v>825</v>
      </c>
      <c r="Y1374" s="6" t="s">
        <v>826</v>
      </c>
    </row>
    <row r="1375" spans="2:25" x14ac:dyDescent="0.3">
      <c r="B1375" s="5" t="s">
        <v>500</v>
      </c>
      <c r="C1375" s="5" t="str">
        <f>VLOOKUP(B1375,[1]물질정보!B:C,2,0)</f>
        <v>205-25-4</v>
      </c>
      <c r="D1375" t="str">
        <f>VLOOKUP(B1375,[1]물질정보!B:D,3,0)</f>
        <v xml:space="preserve">7H-Benzo[c]carbazole </v>
      </c>
      <c r="E1375" t="str">
        <f>VLOOKUP(B1375,[1]물질정보!B:E,4,0)</f>
        <v>C16H11N</v>
      </c>
      <c r="F1375" t="str">
        <f>VLOOKUP(B1375,[1]물질정보!B:F,5,0)</f>
        <v>217.26 g/mol</v>
      </c>
      <c r="G1375" s="5" t="str">
        <f>VLOOKUP(B1375,[1]물질정보!B:G,6,0)</f>
        <v>C1=CC=C2C(=C1)C=CC3=C2C4=CC=CC=C4N3</v>
      </c>
      <c r="I1375" t="s">
        <v>529</v>
      </c>
      <c r="J1375" s="9" t="s">
        <v>530</v>
      </c>
      <c r="K1375">
        <v>1.66</v>
      </c>
      <c r="L1375" t="s">
        <v>39</v>
      </c>
      <c r="M1375" t="s">
        <v>532</v>
      </c>
      <c r="P1375">
        <v>48</v>
      </c>
      <c r="Q1375" t="s">
        <v>533</v>
      </c>
      <c r="R1375" t="s">
        <v>355</v>
      </c>
      <c r="U1375" t="s">
        <v>523</v>
      </c>
      <c r="V1375" s="6" t="s">
        <v>684</v>
      </c>
      <c r="W1375" t="s">
        <v>532</v>
      </c>
      <c r="X1375" t="s">
        <v>822</v>
      </c>
      <c r="Y1375" s="6" t="s">
        <v>530</v>
      </c>
    </row>
    <row r="1376" spans="2:25" x14ac:dyDescent="0.3">
      <c r="B1376" s="5" t="s">
        <v>500</v>
      </c>
      <c r="C1376" s="5" t="str">
        <f>VLOOKUP(B1376,[1]물질정보!B:C,2,0)</f>
        <v>205-25-4</v>
      </c>
      <c r="D1376" t="str">
        <f>VLOOKUP(B1376,[1]물질정보!B:D,3,0)</f>
        <v xml:space="preserve">7H-Benzo[c]carbazole </v>
      </c>
      <c r="E1376" t="str">
        <f>VLOOKUP(B1376,[1]물질정보!B:E,4,0)</f>
        <v>C16H11N</v>
      </c>
      <c r="F1376" t="str">
        <f>VLOOKUP(B1376,[1]물질정보!B:F,5,0)</f>
        <v>217.26 g/mol</v>
      </c>
      <c r="G1376" s="5" t="str">
        <f>VLOOKUP(B1376,[1]물질정보!B:G,6,0)</f>
        <v>C1=CC=C2C(=C1)C=CC3=C2C4=CC=CC=C4N3</v>
      </c>
      <c r="I1376" t="s">
        <v>529</v>
      </c>
      <c r="J1376" s="9" t="s">
        <v>530</v>
      </c>
      <c r="K1376">
        <v>1.1299999999999999</v>
      </c>
      <c r="L1376" t="s">
        <v>39</v>
      </c>
      <c r="M1376" t="s">
        <v>532</v>
      </c>
      <c r="P1376">
        <v>48</v>
      </c>
      <c r="Q1376" t="s">
        <v>533</v>
      </c>
      <c r="R1376" t="s">
        <v>355</v>
      </c>
      <c r="U1376" t="s">
        <v>525</v>
      </c>
      <c r="V1376" s="6" t="s">
        <v>684</v>
      </c>
      <c r="W1376" t="s">
        <v>532</v>
      </c>
      <c r="X1376" t="s">
        <v>822</v>
      </c>
      <c r="Y1376" s="6" t="s">
        <v>530</v>
      </c>
    </row>
    <row r="1377" spans="2:25" x14ac:dyDescent="0.3">
      <c r="B1377" s="5" t="s">
        <v>500</v>
      </c>
      <c r="C1377" s="5" t="str">
        <f>VLOOKUP(B1377,[1]물질정보!B:C,2,0)</f>
        <v>205-25-4</v>
      </c>
      <c r="D1377" t="str">
        <f>VLOOKUP(B1377,[1]물질정보!B:D,3,0)</f>
        <v xml:space="preserve">7H-Benzo[c]carbazole </v>
      </c>
      <c r="E1377" t="str">
        <f>VLOOKUP(B1377,[1]물질정보!B:E,4,0)</f>
        <v>C16H11N</v>
      </c>
      <c r="F1377" t="str">
        <f>VLOOKUP(B1377,[1]물질정보!B:F,5,0)</f>
        <v>217.26 g/mol</v>
      </c>
      <c r="G1377" s="5" t="str">
        <f>VLOOKUP(B1377,[1]물질정보!B:G,6,0)</f>
        <v>C1=CC=C2C(=C1)C=CC3=C2C4=CC=CC=C4N3</v>
      </c>
      <c r="I1377" t="s">
        <v>529</v>
      </c>
      <c r="J1377" s="9" t="s">
        <v>530</v>
      </c>
      <c r="K1377">
        <v>3.51</v>
      </c>
      <c r="L1377" t="s">
        <v>39</v>
      </c>
      <c r="M1377" t="s">
        <v>532</v>
      </c>
      <c r="P1377">
        <v>48</v>
      </c>
      <c r="Q1377" t="s">
        <v>533</v>
      </c>
      <c r="R1377" t="s">
        <v>355</v>
      </c>
      <c r="U1377" t="s">
        <v>527</v>
      </c>
      <c r="V1377" s="6" t="s">
        <v>684</v>
      </c>
      <c r="W1377" t="s">
        <v>532</v>
      </c>
      <c r="X1377" t="s">
        <v>822</v>
      </c>
      <c r="Y1377" s="6" t="s">
        <v>530</v>
      </c>
    </row>
    <row r="1378" spans="2:25" x14ac:dyDescent="0.3">
      <c r="B1378" s="5" t="s">
        <v>500</v>
      </c>
      <c r="C1378" s="5" t="str">
        <f>VLOOKUP(B1378,[1]물질정보!B:C,2,0)</f>
        <v>205-25-4</v>
      </c>
      <c r="D1378" t="str">
        <f>VLOOKUP(B1378,[1]물질정보!B:D,3,0)</f>
        <v xml:space="preserve">7H-Benzo[c]carbazole </v>
      </c>
      <c r="E1378" t="str">
        <f>VLOOKUP(B1378,[1]물질정보!B:E,4,0)</f>
        <v>C16H11N</v>
      </c>
      <c r="F1378" t="str">
        <f>VLOOKUP(B1378,[1]물질정보!B:F,5,0)</f>
        <v>217.26 g/mol</v>
      </c>
      <c r="G1378" s="5" t="str">
        <f>VLOOKUP(B1378,[1]물질정보!B:G,6,0)</f>
        <v>C1=CC=C2C(=C1)C=CC3=C2C4=CC=CC=C4N3</v>
      </c>
      <c r="I1378" t="s">
        <v>529</v>
      </c>
      <c r="J1378" s="9" t="s">
        <v>530</v>
      </c>
      <c r="K1378">
        <v>1.1399999999999999</v>
      </c>
      <c r="L1378" t="s">
        <v>39</v>
      </c>
      <c r="M1378" t="s">
        <v>532</v>
      </c>
      <c r="P1378">
        <v>48</v>
      </c>
      <c r="Q1378" t="s">
        <v>533</v>
      </c>
      <c r="R1378" t="s">
        <v>355</v>
      </c>
      <c r="U1378" t="s">
        <v>528</v>
      </c>
      <c r="V1378" s="6" t="s">
        <v>684</v>
      </c>
      <c r="W1378" t="s">
        <v>532</v>
      </c>
      <c r="X1378" t="s">
        <v>822</v>
      </c>
      <c r="Y1378" s="6" t="s">
        <v>530</v>
      </c>
    </row>
    <row r="1379" spans="2:25" x14ac:dyDescent="0.3">
      <c r="B1379" s="5" t="s">
        <v>500</v>
      </c>
      <c r="C1379" s="5" t="str">
        <f>VLOOKUP(B1379,[1]물질정보!B:C,2,0)</f>
        <v>205-25-4</v>
      </c>
      <c r="D1379" t="str">
        <f>VLOOKUP(B1379,[1]물질정보!B:D,3,0)</f>
        <v xml:space="preserve">7H-Benzo[c]carbazole </v>
      </c>
      <c r="E1379" t="str">
        <f>VLOOKUP(B1379,[1]물질정보!B:E,4,0)</f>
        <v>C16H11N</v>
      </c>
      <c r="F1379" t="str">
        <f>VLOOKUP(B1379,[1]물질정보!B:F,5,0)</f>
        <v>217.26 g/mol</v>
      </c>
      <c r="G1379" s="5" t="str">
        <f>VLOOKUP(B1379,[1]물질정보!B:G,6,0)</f>
        <v>C1=CC=C2C(=C1)C=CC3=C2C4=CC=CC=C4N3</v>
      </c>
      <c r="I1379" t="s">
        <v>534</v>
      </c>
      <c r="J1379" t="s">
        <v>535</v>
      </c>
      <c r="K1379">
        <v>0.04</v>
      </c>
      <c r="L1379" t="s">
        <v>39</v>
      </c>
      <c r="M1379" t="s">
        <v>536</v>
      </c>
      <c r="P1379">
        <v>96</v>
      </c>
      <c r="Q1379" t="s">
        <v>533</v>
      </c>
      <c r="R1379" t="s">
        <v>355</v>
      </c>
      <c r="U1379" t="s">
        <v>523</v>
      </c>
      <c r="V1379" s="6" t="s">
        <v>684</v>
      </c>
      <c r="W1379" t="s">
        <v>536</v>
      </c>
      <c r="X1379" t="s">
        <v>823</v>
      </c>
      <c r="Y1379" s="6" t="s">
        <v>49</v>
      </c>
    </row>
    <row r="1380" spans="2:25" x14ac:dyDescent="0.3">
      <c r="B1380" s="5" t="s">
        <v>500</v>
      </c>
      <c r="C1380" s="5" t="str">
        <f>VLOOKUP(B1380,[1]물질정보!B:C,2,0)</f>
        <v>205-25-4</v>
      </c>
      <c r="D1380" t="str">
        <f>VLOOKUP(B1380,[1]물질정보!B:D,3,0)</f>
        <v xml:space="preserve">7H-Benzo[c]carbazole </v>
      </c>
      <c r="E1380" t="str">
        <f>VLOOKUP(B1380,[1]물질정보!B:E,4,0)</f>
        <v>C16H11N</v>
      </c>
      <c r="F1380" t="str">
        <f>VLOOKUP(B1380,[1]물질정보!B:F,5,0)</f>
        <v>217.26 g/mol</v>
      </c>
      <c r="G1380" s="5" t="str">
        <f>VLOOKUP(B1380,[1]물질정보!B:G,6,0)</f>
        <v>C1=CC=C2C(=C1)C=CC3=C2C4=CC=CC=C4N3</v>
      </c>
      <c r="I1380" t="s">
        <v>534</v>
      </c>
      <c r="J1380" t="s">
        <v>535</v>
      </c>
      <c r="K1380">
        <v>0.03</v>
      </c>
      <c r="L1380" t="s">
        <v>39</v>
      </c>
      <c r="M1380" t="s">
        <v>536</v>
      </c>
      <c r="P1380">
        <v>96</v>
      </c>
      <c r="Q1380" t="s">
        <v>533</v>
      </c>
      <c r="R1380" t="s">
        <v>355</v>
      </c>
      <c r="U1380" t="s">
        <v>525</v>
      </c>
      <c r="V1380" s="6" t="s">
        <v>684</v>
      </c>
      <c r="W1380" t="s">
        <v>536</v>
      </c>
      <c r="X1380" t="s">
        <v>823</v>
      </c>
      <c r="Y1380" s="6" t="s">
        <v>49</v>
      </c>
    </row>
    <row r="1381" spans="2:25" x14ac:dyDescent="0.3">
      <c r="B1381" s="5" t="s">
        <v>500</v>
      </c>
      <c r="C1381" s="5" t="str">
        <f>VLOOKUP(B1381,[1]물질정보!B:C,2,0)</f>
        <v>205-25-4</v>
      </c>
      <c r="D1381" t="str">
        <f>VLOOKUP(B1381,[1]물질정보!B:D,3,0)</f>
        <v xml:space="preserve">7H-Benzo[c]carbazole </v>
      </c>
      <c r="E1381" t="str">
        <f>VLOOKUP(B1381,[1]물질정보!B:E,4,0)</f>
        <v>C16H11N</v>
      </c>
      <c r="F1381" t="str">
        <f>VLOOKUP(B1381,[1]물질정보!B:F,5,0)</f>
        <v>217.26 g/mol</v>
      </c>
      <c r="G1381" s="5" t="str">
        <f>VLOOKUP(B1381,[1]물질정보!B:G,6,0)</f>
        <v>C1=CC=C2C(=C1)C=CC3=C2C4=CC=CC=C4N3</v>
      </c>
      <c r="I1381" t="s">
        <v>534</v>
      </c>
      <c r="J1381" t="s">
        <v>535</v>
      </c>
      <c r="K1381">
        <v>7.0000000000000007E-2</v>
      </c>
      <c r="L1381" t="s">
        <v>39</v>
      </c>
      <c r="M1381" t="s">
        <v>536</v>
      </c>
      <c r="P1381">
        <v>96</v>
      </c>
      <c r="Q1381" t="s">
        <v>533</v>
      </c>
      <c r="R1381" t="s">
        <v>355</v>
      </c>
      <c r="U1381" t="s">
        <v>527</v>
      </c>
      <c r="V1381" s="6" t="s">
        <v>684</v>
      </c>
      <c r="W1381" t="s">
        <v>536</v>
      </c>
      <c r="X1381" t="s">
        <v>823</v>
      </c>
      <c r="Y1381" s="6" t="s">
        <v>49</v>
      </c>
    </row>
    <row r="1382" spans="2:25" x14ac:dyDescent="0.3">
      <c r="B1382" s="5" t="s">
        <v>500</v>
      </c>
      <c r="C1382" s="5" t="str">
        <f>VLOOKUP(B1382,[1]물질정보!B:C,2,0)</f>
        <v>205-25-4</v>
      </c>
      <c r="D1382" t="str">
        <f>VLOOKUP(B1382,[1]물질정보!B:D,3,0)</f>
        <v xml:space="preserve">7H-Benzo[c]carbazole </v>
      </c>
      <c r="E1382" t="str">
        <f>VLOOKUP(B1382,[1]물질정보!B:E,4,0)</f>
        <v>C16H11N</v>
      </c>
      <c r="F1382" t="str">
        <f>VLOOKUP(B1382,[1]물질정보!B:F,5,0)</f>
        <v>217.26 g/mol</v>
      </c>
      <c r="G1382" s="5" t="str">
        <f>VLOOKUP(B1382,[1]물질정보!B:G,6,0)</f>
        <v>C1=CC=C2C(=C1)C=CC3=C2C4=CC=CC=C4N3</v>
      </c>
      <c r="I1382" t="s">
        <v>534</v>
      </c>
      <c r="J1382" t="s">
        <v>535</v>
      </c>
      <c r="K1382">
        <v>0.04</v>
      </c>
      <c r="L1382" t="s">
        <v>39</v>
      </c>
      <c r="M1382" t="s">
        <v>536</v>
      </c>
      <c r="P1382">
        <v>96</v>
      </c>
      <c r="Q1382" t="s">
        <v>533</v>
      </c>
      <c r="R1382" t="s">
        <v>355</v>
      </c>
      <c r="U1382" t="s">
        <v>528</v>
      </c>
      <c r="V1382" s="6" t="s">
        <v>684</v>
      </c>
      <c r="W1382" t="s">
        <v>536</v>
      </c>
      <c r="X1382" t="s">
        <v>823</v>
      </c>
      <c r="Y1382" s="6" t="s">
        <v>49</v>
      </c>
    </row>
    <row r="1383" spans="2:25" x14ac:dyDescent="0.3">
      <c r="B1383" s="5" t="s">
        <v>500</v>
      </c>
      <c r="C1383" s="5" t="str">
        <f>VLOOKUP(B1383,[1]물질정보!B:C,2,0)</f>
        <v>205-25-4</v>
      </c>
      <c r="D1383" t="str">
        <f>VLOOKUP(B1383,[1]물질정보!B:D,3,0)</f>
        <v xml:space="preserve">7H-Benzo[c]carbazole </v>
      </c>
      <c r="E1383" t="str">
        <f>VLOOKUP(B1383,[1]물질정보!B:E,4,0)</f>
        <v>C16H11N</v>
      </c>
      <c r="F1383" t="str">
        <f>VLOOKUP(B1383,[1]물질정보!B:F,5,0)</f>
        <v>217.26 g/mol</v>
      </c>
      <c r="G1383" s="5" t="str">
        <f>VLOOKUP(B1383,[1]물질정보!B:G,6,0)</f>
        <v>C1=CC=C2C(=C1)C=CC3=C2C4=CC=CC=C4N3</v>
      </c>
      <c r="I1383" t="s">
        <v>537</v>
      </c>
      <c r="J1383" t="s">
        <v>535</v>
      </c>
      <c r="K1383">
        <v>1.1299999999999999</v>
      </c>
      <c r="L1383" t="s">
        <v>39</v>
      </c>
      <c r="M1383" t="s">
        <v>47</v>
      </c>
      <c r="P1383">
        <v>48</v>
      </c>
      <c r="Q1383" t="s">
        <v>533</v>
      </c>
      <c r="R1383" t="s">
        <v>355</v>
      </c>
      <c r="U1383" t="s">
        <v>523</v>
      </c>
      <c r="V1383" s="6" t="s">
        <v>684</v>
      </c>
      <c r="W1383" t="s">
        <v>47</v>
      </c>
      <c r="X1383" t="s">
        <v>822</v>
      </c>
      <c r="Y1383" s="6" t="s">
        <v>49</v>
      </c>
    </row>
    <row r="1384" spans="2:25" x14ac:dyDescent="0.3">
      <c r="B1384" s="5" t="s">
        <v>500</v>
      </c>
      <c r="C1384" s="5" t="str">
        <f>VLOOKUP(B1384,[1]물질정보!B:C,2,0)</f>
        <v>205-25-4</v>
      </c>
      <c r="D1384" t="str">
        <f>VLOOKUP(B1384,[1]물질정보!B:D,3,0)</f>
        <v xml:space="preserve">7H-Benzo[c]carbazole </v>
      </c>
      <c r="E1384" t="str">
        <f>VLOOKUP(B1384,[1]물질정보!B:E,4,0)</f>
        <v>C16H11N</v>
      </c>
      <c r="F1384" t="str">
        <f>VLOOKUP(B1384,[1]물질정보!B:F,5,0)</f>
        <v>217.26 g/mol</v>
      </c>
      <c r="G1384" s="5" t="str">
        <f>VLOOKUP(B1384,[1]물질정보!B:G,6,0)</f>
        <v>C1=CC=C2C(=C1)C=CC3=C2C4=CC=CC=C4N3</v>
      </c>
      <c r="I1384" t="s">
        <v>537</v>
      </c>
      <c r="J1384" t="s">
        <v>535</v>
      </c>
      <c r="K1384">
        <v>1.2</v>
      </c>
      <c r="L1384" t="s">
        <v>39</v>
      </c>
      <c r="M1384" t="s">
        <v>47</v>
      </c>
      <c r="P1384">
        <v>48</v>
      </c>
      <c r="Q1384" t="s">
        <v>533</v>
      </c>
      <c r="R1384" t="s">
        <v>355</v>
      </c>
      <c r="U1384" t="s">
        <v>525</v>
      </c>
      <c r="V1384" s="6" t="s">
        <v>684</v>
      </c>
      <c r="W1384" t="s">
        <v>47</v>
      </c>
      <c r="X1384" t="s">
        <v>822</v>
      </c>
      <c r="Y1384" s="6" t="s">
        <v>49</v>
      </c>
    </row>
    <row r="1385" spans="2:25" x14ac:dyDescent="0.3">
      <c r="B1385" s="5" t="s">
        <v>500</v>
      </c>
      <c r="C1385" s="5" t="str">
        <f>VLOOKUP(B1385,[1]물질정보!B:C,2,0)</f>
        <v>205-25-4</v>
      </c>
      <c r="D1385" t="str">
        <f>VLOOKUP(B1385,[1]물질정보!B:D,3,0)</f>
        <v xml:space="preserve">7H-Benzo[c]carbazole </v>
      </c>
      <c r="E1385" t="str">
        <f>VLOOKUP(B1385,[1]물질정보!B:E,4,0)</f>
        <v>C16H11N</v>
      </c>
      <c r="F1385" t="str">
        <f>VLOOKUP(B1385,[1]물질정보!B:F,5,0)</f>
        <v>217.26 g/mol</v>
      </c>
      <c r="G1385" s="5" t="str">
        <f>VLOOKUP(B1385,[1]물질정보!B:G,6,0)</f>
        <v>C1=CC=C2C(=C1)C=CC3=C2C4=CC=CC=C4N3</v>
      </c>
      <c r="I1385" t="s">
        <v>537</v>
      </c>
      <c r="J1385" t="s">
        <v>535</v>
      </c>
      <c r="K1385">
        <v>0.85</v>
      </c>
      <c r="L1385" t="s">
        <v>39</v>
      </c>
      <c r="M1385" t="s">
        <v>47</v>
      </c>
      <c r="P1385">
        <v>48</v>
      </c>
      <c r="Q1385" t="s">
        <v>533</v>
      </c>
      <c r="R1385" t="s">
        <v>355</v>
      </c>
      <c r="U1385" t="s">
        <v>527</v>
      </c>
      <c r="V1385" s="6" t="s">
        <v>684</v>
      </c>
      <c r="W1385" t="s">
        <v>47</v>
      </c>
      <c r="X1385" t="s">
        <v>822</v>
      </c>
      <c r="Y1385" s="6" t="s">
        <v>49</v>
      </c>
    </row>
    <row r="1386" spans="2:25" x14ac:dyDescent="0.3">
      <c r="B1386" s="5" t="s">
        <v>500</v>
      </c>
      <c r="C1386" s="5" t="str">
        <f>VLOOKUP(B1386,[1]물질정보!B:C,2,0)</f>
        <v>205-25-4</v>
      </c>
      <c r="D1386" t="str">
        <f>VLOOKUP(B1386,[1]물질정보!B:D,3,0)</f>
        <v xml:space="preserve">7H-Benzo[c]carbazole </v>
      </c>
      <c r="E1386" t="str">
        <f>VLOOKUP(B1386,[1]물질정보!B:E,4,0)</f>
        <v>C16H11N</v>
      </c>
      <c r="F1386" t="str">
        <f>VLOOKUP(B1386,[1]물질정보!B:F,5,0)</f>
        <v>217.26 g/mol</v>
      </c>
      <c r="G1386" s="5" t="str">
        <f>VLOOKUP(B1386,[1]물질정보!B:G,6,0)</f>
        <v>C1=CC=C2C(=C1)C=CC3=C2C4=CC=CC=C4N3</v>
      </c>
      <c r="I1386" t="s">
        <v>537</v>
      </c>
      <c r="J1386" t="s">
        <v>535</v>
      </c>
      <c r="K1386">
        <v>1.4</v>
      </c>
      <c r="L1386" t="s">
        <v>39</v>
      </c>
      <c r="M1386" t="s">
        <v>47</v>
      </c>
      <c r="P1386">
        <v>48</v>
      </c>
      <c r="Q1386" t="s">
        <v>533</v>
      </c>
      <c r="R1386" t="s">
        <v>355</v>
      </c>
      <c r="U1386" t="s">
        <v>528</v>
      </c>
      <c r="V1386" s="6" t="s">
        <v>684</v>
      </c>
      <c r="W1386" t="s">
        <v>47</v>
      </c>
      <c r="X1386" t="s">
        <v>822</v>
      </c>
      <c r="Y1386" s="6" t="s">
        <v>49</v>
      </c>
    </row>
    <row r="1387" spans="2:25" x14ac:dyDescent="0.3">
      <c r="B1387" s="5" t="s">
        <v>500</v>
      </c>
      <c r="C1387" s="5" t="str">
        <f>VLOOKUP(B1387,[1]물질정보!B:C,2,0)</f>
        <v>205-25-4</v>
      </c>
      <c r="D1387" t="str">
        <f>VLOOKUP(B1387,[1]물질정보!B:D,3,0)</f>
        <v xml:space="preserve">7H-Benzo[c]carbazole </v>
      </c>
      <c r="E1387" t="str">
        <f>VLOOKUP(B1387,[1]물질정보!B:E,4,0)</f>
        <v>C16H11N</v>
      </c>
      <c r="F1387" t="str">
        <f>VLOOKUP(B1387,[1]물질정보!B:F,5,0)</f>
        <v>217.26 g/mol</v>
      </c>
      <c r="G1387" s="5" t="str">
        <f>VLOOKUP(B1387,[1]물질정보!B:G,6,0)</f>
        <v>C1=CC=C2C(=C1)C=CC3=C2C4=CC=CC=C4N3</v>
      </c>
      <c r="I1387" t="s">
        <v>494</v>
      </c>
      <c r="J1387" t="s">
        <v>538</v>
      </c>
      <c r="K1387">
        <v>1115.22</v>
      </c>
      <c r="L1387" t="s">
        <v>161</v>
      </c>
      <c r="M1387" t="s">
        <v>495</v>
      </c>
      <c r="R1387" t="s">
        <v>355</v>
      </c>
      <c r="U1387" t="s">
        <v>523</v>
      </c>
      <c r="V1387" s="6" t="s">
        <v>684</v>
      </c>
      <c r="W1387" t="s">
        <v>86</v>
      </c>
      <c r="X1387" t="s">
        <v>825</v>
      </c>
      <c r="Y1387" s="6" t="s">
        <v>81</v>
      </c>
    </row>
    <row r="1388" spans="2:25" x14ac:dyDescent="0.3">
      <c r="B1388" s="5" t="s">
        <v>500</v>
      </c>
      <c r="C1388" s="5" t="str">
        <f>VLOOKUP(B1388,[1]물질정보!B:C,2,0)</f>
        <v>205-25-4</v>
      </c>
      <c r="D1388" t="str">
        <f>VLOOKUP(B1388,[1]물질정보!B:D,3,0)</f>
        <v xml:space="preserve">7H-Benzo[c]carbazole </v>
      </c>
      <c r="E1388" t="str">
        <f>VLOOKUP(B1388,[1]물질정보!B:E,4,0)</f>
        <v>C16H11N</v>
      </c>
      <c r="F1388" t="str">
        <f>VLOOKUP(B1388,[1]물질정보!B:F,5,0)</f>
        <v>217.26 g/mol</v>
      </c>
      <c r="G1388" s="5" t="str">
        <f>VLOOKUP(B1388,[1]물질정보!B:G,6,0)</f>
        <v>C1=CC=C2C(=C1)C=CC3=C2C4=CC=CC=C4N3</v>
      </c>
      <c r="I1388" t="s">
        <v>494</v>
      </c>
      <c r="J1388" t="s">
        <v>538</v>
      </c>
      <c r="K1388">
        <v>933.05</v>
      </c>
      <c r="L1388" t="s">
        <v>161</v>
      </c>
      <c r="M1388" t="s">
        <v>495</v>
      </c>
      <c r="R1388" t="s">
        <v>355</v>
      </c>
      <c r="U1388" t="s">
        <v>525</v>
      </c>
      <c r="V1388" s="6" t="s">
        <v>684</v>
      </c>
      <c r="W1388" t="s">
        <v>86</v>
      </c>
      <c r="X1388" t="s">
        <v>825</v>
      </c>
      <c r="Y1388" s="6" t="s">
        <v>81</v>
      </c>
    </row>
    <row r="1389" spans="2:25" x14ac:dyDescent="0.3">
      <c r="B1389" s="5" t="s">
        <v>500</v>
      </c>
      <c r="C1389" s="5" t="str">
        <f>VLOOKUP(B1389,[1]물질정보!B:C,2,0)</f>
        <v>205-25-4</v>
      </c>
      <c r="D1389" t="str">
        <f>VLOOKUP(B1389,[1]물질정보!B:D,3,0)</f>
        <v xml:space="preserve">7H-Benzo[c]carbazole </v>
      </c>
      <c r="E1389" t="str">
        <f>VLOOKUP(B1389,[1]물질정보!B:E,4,0)</f>
        <v>C16H11N</v>
      </c>
      <c r="F1389" t="str">
        <f>VLOOKUP(B1389,[1]물질정보!B:F,5,0)</f>
        <v>217.26 g/mol</v>
      </c>
      <c r="G1389" s="5" t="str">
        <f>VLOOKUP(B1389,[1]물질정보!B:G,6,0)</f>
        <v>C1=CC=C2C(=C1)C=CC3=C2C4=CC=CC=C4N3</v>
      </c>
      <c r="I1389" t="s">
        <v>494</v>
      </c>
      <c r="J1389" t="s">
        <v>538</v>
      </c>
      <c r="K1389">
        <v>1140.8399999999999</v>
      </c>
      <c r="L1389" t="s">
        <v>161</v>
      </c>
      <c r="M1389" t="s">
        <v>495</v>
      </c>
      <c r="R1389" t="s">
        <v>355</v>
      </c>
      <c r="U1389" t="s">
        <v>527</v>
      </c>
      <c r="V1389" s="6" t="s">
        <v>684</v>
      </c>
      <c r="W1389" t="s">
        <v>86</v>
      </c>
      <c r="X1389" t="s">
        <v>825</v>
      </c>
      <c r="Y1389" s="6" t="s">
        <v>81</v>
      </c>
    </row>
    <row r="1390" spans="2:25" x14ac:dyDescent="0.3">
      <c r="B1390" s="5" t="s">
        <v>500</v>
      </c>
      <c r="C1390" s="5" t="str">
        <f>VLOOKUP(B1390,[1]물질정보!B:C,2,0)</f>
        <v>205-25-4</v>
      </c>
      <c r="D1390" t="str">
        <f>VLOOKUP(B1390,[1]물질정보!B:D,3,0)</f>
        <v xml:space="preserve">7H-Benzo[c]carbazole </v>
      </c>
      <c r="E1390" t="str">
        <f>VLOOKUP(B1390,[1]물질정보!B:E,4,0)</f>
        <v>C16H11N</v>
      </c>
      <c r="F1390" t="str">
        <f>VLOOKUP(B1390,[1]물질정보!B:F,5,0)</f>
        <v>217.26 g/mol</v>
      </c>
      <c r="G1390" s="5" t="str">
        <f>VLOOKUP(B1390,[1]물질정보!B:G,6,0)</f>
        <v>C1=CC=C2C(=C1)C=CC3=C2C4=CC=CC=C4N3</v>
      </c>
      <c r="I1390" t="s">
        <v>494</v>
      </c>
      <c r="J1390" t="s">
        <v>538</v>
      </c>
      <c r="K1390">
        <v>1303.02</v>
      </c>
      <c r="L1390" t="s">
        <v>161</v>
      </c>
      <c r="M1390" t="s">
        <v>495</v>
      </c>
      <c r="R1390" t="s">
        <v>355</v>
      </c>
      <c r="U1390" t="s">
        <v>528</v>
      </c>
      <c r="V1390" s="6" t="s">
        <v>684</v>
      </c>
      <c r="W1390" t="s">
        <v>86</v>
      </c>
      <c r="X1390" t="s">
        <v>825</v>
      </c>
      <c r="Y1390" s="6" t="s">
        <v>81</v>
      </c>
    </row>
    <row r="1391" spans="2:25" x14ac:dyDescent="0.3">
      <c r="B1391" s="5" t="s">
        <v>500</v>
      </c>
      <c r="C1391" s="5" t="str">
        <f>VLOOKUP(B1391,[1]물질정보!B:C,2,0)</f>
        <v>205-25-4</v>
      </c>
      <c r="D1391" t="str">
        <f>VLOOKUP(B1391,[1]물질정보!B:D,3,0)</f>
        <v xml:space="preserve">7H-Benzo[c]carbazole </v>
      </c>
      <c r="E1391" t="str">
        <f>VLOOKUP(B1391,[1]물질정보!B:E,4,0)</f>
        <v>C16H11N</v>
      </c>
      <c r="F1391" t="str">
        <f>VLOOKUP(B1391,[1]물질정보!B:F,5,0)</f>
        <v>217.26 g/mol</v>
      </c>
      <c r="G1391" s="5" t="str">
        <f>VLOOKUP(B1391,[1]물질정보!B:G,6,0)</f>
        <v>C1=CC=C2C(=C1)C=CC3=C2C4=CC=CC=C4N3</v>
      </c>
      <c r="I1391" t="s">
        <v>540</v>
      </c>
      <c r="J1391" t="s">
        <v>541</v>
      </c>
      <c r="K1391" t="s">
        <v>566</v>
      </c>
      <c r="M1391" t="s">
        <v>543</v>
      </c>
      <c r="N1391" t="s">
        <v>544</v>
      </c>
      <c r="R1391" t="s">
        <v>355</v>
      </c>
      <c r="U1391" t="s">
        <v>523</v>
      </c>
      <c r="V1391" s="6" t="s">
        <v>684</v>
      </c>
      <c r="W1391" t="s">
        <v>83</v>
      </c>
      <c r="X1391" t="s">
        <v>825</v>
      </c>
      <c r="Y1391" s="6" t="s">
        <v>827</v>
      </c>
    </row>
    <row r="1392" spans="2:25" x14ac:dyDescent="0.3">
      <c r="B1392" s="5" t="s">
        <v>500</v>
      </c>
      <c r="C1392" s="5" t="str">
        <f>VLOOKUP(B1392,[1]물질정보!B:C,2,0)</f>
        <v>205-25-4</v>
      </c>
      <c r="D1392" t="str">
        <f>VLOOKUP(B1392,[1]물질정보!B:D,3,0)</f>
        <v xml:space="preserve">7H-Benzo[c]carbazole </v>
      </c>
      <c r="E1392" t="str">
        <f>VLOOKUP(B1392,[1]물질정보!B:E,4,0)</f>
        <v>C16H11N</v>
      </c>
      <c r="F1392" t="str">
        <f>VLOOKUP(B1392,[1]물질정보!B:F,5,0)</f>
        <v>217.26 g/mol</v>
      </c>
      <c r="G1392" s="5" t="str">
        <f>VLOOKUP(B1392,[1]물질정보!B:G,6,0)</f>
        <v>C1=CC=C2C(=C1)C=CC3=C2C4=CC=CC=C4N3</v>
      </c>
      <c r="I1392" t="s">
        <v>540</v>
      </c>
      <c r="J1392" t="s">
        <v>541</v>
      </c>
      <c r="K1392" t="s">
        <v>567</v>
      </c>
      <c r="M1392" t="s">
        <v>543</v>
      </c>
      <c r="N1392" t="s">
        <v>544</v>
      </c>
      <c r="R1392" t="s">
        <v>355</v>
      </c>
      <c r="U1392" t="s">
        <v>525</v>
      </c>
      <c r="V1392" s="6" t="s">
        <v>684</v>
      </c>
      <c r="W1392" t="s">
        <v>83</v>
      </c>
      <c r="X1392" t="s">
        <v>825</v>
      </c>
      <c r="Y1392" s="6" t="s">
        <v>827</v>
      </c>
    </row>
    <row r="1393" spans="2:25" x14ac:dyDescent="0.3">
      <c r="B1393" s="5" t="s">
        <v>500</v>
      </c>
      <c r="C1393" s="5" t="str">
        <f>VLOOKUP(B1393,[1]물질정보!B:C,2,0)</f>
        <v>205-25-4</v>
      </c>
      <c r="D1393" t="str">
        <f>VLOOKUP(B1393,[1]물질정보!B:D,3,0)</f>
        <v xml:space="preserve">7H-Benzo[c]carbazole </v>
      </c>
      <c r="E1393" t="str">
        <f>VLOOKUP(B1393,[1]물질정보!B:E,4,0)</f>
        <v>C16H11N</v>
      </c>
      <c r="F1393" t="str">
        <f>VLOOKUP(B1393,[1]물질정보!B:F,5,0)</f>
        <v>217.26 g/mol</v>
      </c>
      <c r="G1393" s="5" t="str">
        <f>VLOOKUP(B1393,[1]물질정보!B:G,6,0)</f>
        <v>C1=CC=C2C(=C1)C=CC3=C2C4=CC=CC=C4N3</v>
      </c>
      <c r="I1393" t="s">
        <v>540</v>
      </c>
      <c r="J1393" t="s">
        <v>541</v>
      </c>
      <c r="K1393" t="s">
        <v>568</v>
      </c>
      <c r="M1393" t="s">
        <v>543</v>
      </c>
      <c r="N1393" t="s">
        <v>544</v>
      </c>
      <c r="R1393" t="s">
        <v>355</v>
      </c>
      <c r="U1393" t="s">
        <v>527</v>
      </c>
      <c r="V1393" s="6" t="s">
        <v>684</v>
      </c>
      <c r="W1393" t="s">
        <v>83</v>
      </c>
      <c r="X1393" t="s">
        <v>825</v>
      </c>
      <c r="Y1393" s="6" t="s">
        <v>827</v>
      </c>
    </row>
    <row r="1394" spans="2:25" x14ac:dyDescent="0.3">
      <c r="B1394" s="5" t="s">
        <v>500</v>
      </c>
      <c r="C1394" s="5" t="str">
        <f>VLOOKUP(B1394,[1]물질정보!B:C,2,0)</f>
        <v>205-25-4</v>
      </c>
      <c r="D1394" t="str">
        <f>VLOOKUP(B1394,[1]물질정보!B:D,3,0)</f>
        <v xml:space="preserve">7H-Benzo[c]carbazole </v>
      </c>
      <c r="E1394" t="str">
        <f>VLOOKUP(B1394,[1]물질정보!B:E,4,0)</f>
        <v>C16H11N</v>
      </c>
      <c r="F1394" t="str">
        <f>VLOOKUP(B1394,[1]물질정보!B:F,5,0)</f>
        <v>217.26 g/mol</v>
      </c>
      <c r="G1394" s="5" t="str">
        <f>VLOOKUP(B1394,[1]물질정보!B:G,6,0)</f>
        <v>C1=CC=C2C(=C1)C=CC3=C2C4=CC=CC=C4N3</v>
      </c>
      <c r="I1394" t="s">
        <v>540</v>
      </c>
      <c r="J1394" t="s">
        <v>541</v>
      </c>
      <c r="K1394" t="s">
        <v>569</v>
      </c>
      <c r="M1394" t="s">
        <v>543</v>
      </c>
      <c r="N1394" t="s">
        <v>544</v>
      </c>
      <c r="R1394" t="s">
        <v>355</v>
      </c>
      <c r="U1394" t="s">
        <v>528</v>
      </c>
      <c r="V1394" s="6" t="s">
        <v>684</v>
      </c>
      <c r="W1394" t="s">
        <v>83</v>
      </c>
      <c r="X1394" t="s">
        <v>825</v>
      </c>
      <c r="Y1394" s="6" t="s">
        <v>827</v>
      </c>
    </row>
    <row r="1395" spans="2:25" x14ac:dyDescent="0.3">
      <c r="B1395" s="5" t="s">
        <v>500</v>
      </c>
      <c r="C1395" s="5" t="str">
        <f>VLOOKUP(B1395,[1]물질정보!B:C,2,0)</f>
        <v>205-25-4</v>
      </c>
      <c r="D1395" t="str">
        <f>VLOOKUP(B1395,[1]물질정보!B:D,3,0)</f>
        <v xml:space="preserve">7H-Benzo[c]carbazole </v>
      </c>
      <c r="E1395" t="str">
        <f>VLOOKUP(B1395,[1]물질정보!B:E,4,0)</f>
        <v>C16H11N</v>
      </c>
      <c r="F1395" t="str">
        <f>VLOOKUP(B1395,[1]물질정보!B:F,5,0)</f>
        <v>217.26 g/mol</v>
      </c>
      <c r="G1395" s="5" t="str">
        <f>VLOOKUP(B1395,[1]물질정보!B:G,6,0)</f>
        <v>C1=CC=C2C(=C1)C=CC3=C2C4=CC=CC=C4N3</v>
      </c>
      <c r="I1395" t="s">
        <v>137</v>
      </c>
      <c r="J1395" t="s">
        <v>498</v>
      </c>
      <c r="K1395" t="s">
        <v>570</v>
      </c>
      <c r="R1395" t="s">
        <v>355</v>
      </c>
      <c r="U1395" t="s">
        <v>523</v>
      </c>
      <c r="V1395" s="6" t="s">
        <v>684</v>
      </c>
      <c r="X1395" t="s">
        <v>825</v>
      </c>
      <c r="Y1395" s="6" t="s">
        <v>89</v>
      </c>
    </row>
    <row r="1396" spans="2:25" x14ac:dyDescent="0.3">
      <c r="B1396" s="5" t="s">
        <v>500</v>
      </c>
      <c r="C1396" s="5" t="str">
        <f>VLOOKUP(B1396,[1]물질정보!B:C,2,0)</f>
        <v>205-25-4</v>
      </c>
      <c r="D1396" t="str">
        <f>VLOOKUP(B1396,[1]물질정보!B:D,3,0)</f>
        <v xml:space="preserve">7H-Benzo[c]carbazole </v>
      </c>
      <c r="E1396" t="str">
        <f>VLOOKUP(B1396,[1]물질정보!B:E,4,0)</f>
        <v>C16H11N</v>
      </c>
      <c r="F1396" t="str">
        <f>VLOOKUP(B1396,[1]물질정보!B:F,5,0)</f>
        <v>217.26 g/mol</v>
      </c>
      <c r="G1396" s="5" t="str">
        <f>VLOOKUP(B1396,[1]물질정보!B:G,6,0)</f>
        <v>C1=CC=C2C(=C1)C=CC3=C2C4=CC=CC=C4N3</v>
      </c>
      <c r="I1396" t="s">
        <v>137</v>
      </c>
      <c r="J1396" t="s">
        <v>498</v>
      </c>
      <c r="K1396" t="s">
        <v>571</v>
      </c>
      <c r="R1396" t="s">
        <v>355</v>
      </c>
      <c r="U1396" t="s">
        <v>525</v>
      </c>
      <c r="V1396" s="6" t="s">
        <v>684</v>
      </c>
      <c r="X1396" t="s">
        <v>825</v>
      </c>
      <c r="Y1396" s="6" t="s">
        <v>89</v>
      </c>
    </row>
    <row r="1397" spans="2:25" x14ac:dyDescent="0.3">
      <c r="B1397" s="5" t="s">
        <v>500</v>
      </c>
      <c r="C1397" s="5" t="str">
        <f>VLOOKUP(B1397,[1]물질정보!B:C,2,0)</f>
        <v>205-25-4</v>
      </c>
      <c r="D1397" t="str">
        <f>VLOOKUP(B1397,[1]물질정보!B:D,3,0)</f>
        <v xml:space="preserve">7H-Benzo[c]carbazole </v>
      </c>
      <c r="E1397" t="str">
        <f>VLOOKUP(B1397,[1]물질정보!B:E,4,0)</f>
        <v>C16H11N</v>
      </c>
      <c r="F1397" t="str">
        <f>VLOOKUP(B1397,[1]물질정보!B:F,5,0)</f>
        <v>217.26 g/mol</v>
      </c>
      <c r="G1397" s="5" t="str">
        <f>VLOOKUP(B1397,[1]물질정보!B:G,6,0)</f>
        <v>C1=CC=C2C(=C1)C=CC3=C2C4=CC=CC=C4N3</v>
      </c>
      <c r="I1397" t="s">
        <v>137</v>
      </c>
      <c r="J1397" t="s">
        <v>498</v>
      </c>
      <c r="K1397" t="s">
        <v>572</v>
      </c>
      <c r="R1397" t="s">
        <v>355</v>
      </c>
      <c r="U1397" t="s">
        <v>527</v>
      </c>
      <c r="V1397" s="6" t="s">
        <v>684</v>
      </c>
      <c r="X1397" t="s">
        <v>825</v>
      </c>
      <c r="Y1397" s="6" t="s">
        <v>89</v>
      </c>
    </row>
    <row r="1398" spans="2:25" x14ac:dyDescent="0.3">
      <c r="B1398" s="5" t="s">
        <v>500</v>
      </c>
      <c r="C1398" s="5" t="str">
        <f>VLOOKUP(B1398,[1]물질정보!B:C,2,0)</f>
        <v>205-25-4</v>
      </c>
      <c r="D1398" t="str">
        <f>VLOOKUP(B1398,[1]물질정보!B:D,3,0)</f>
        <v xml:space="preserve">7H-Benzo[c]carbazole </v>
      </c>
      <c r="E1398" t="str">
        <f>VLOOKUP(B1398,[1]물질정보!B:E,4,0)</f>
        <v>C16H11N</v>
      </c>
      <c r="F1398" t="str">
        <f>VLOOKUP(B1398,[1]물질정보!B:F,5,0)</f>
        <v>217.26 g/mol</v>
      </c>
      <c r="G1398" s="5" t="str">
        <f>VLOOKUP(B1398,[1]물질정보!B:G,6,0)</f>
        <v>C1=CC=C2C(=C1)C=CC3=C2C4=CC=CC=C4N3</v>
      </c>
      <c r="I1398" t="s">
        <v>137</v>
      </c>
      <c r="J1398" t="s">
        <v>498</v>
      </c>
      <c r="K1398" t="s">
        <v>573</v>
      </c>
      <c r="R1398" t="s">
        <v>355</v>
      </c>
      <c r="U1398" t="s">
        <v>528</v>
      </c>
      <c r="V1398" s="6" t="s">
        <v>684</v>
      </c>
      <c r="X1398" t="s">
        <v>825</v>
      </c>
      <c r="Y1398" s="6" t="s">
        <v>89</v>
      </c>
    </row>
    <row r="1399" spans="2:25" x14ac:dyDescent="0.3">
      <c r="B1399" s="5" t="s">
        <v>574</v>
      </c>
      <c r="C1399" s="5" t="str">
        <f>VLOOKUP(B1399,[1]물질정보!B:C,2,0)</f>
        <v>868-77-9</v>
      </c>
      <c r="D1399" t="str">
        <f>VLOOKUP(B1399,[1]물질정보!B:D,3,0)</f>
        <v>2-hydroxyethyl methacrylate</v>
      </c>
      <c r="E1399" t="str">
        <f>VLOOKUP(B1399,[1]물질정보!B:E,4,0)</f>
        <v>C6H10O3</v>
      </c>
      <c r="F1399" t="str">
        <f>VLOOKUP(B1399,[1]물질정보!B:F,5,0)</f>
        <v>130.139 g/mol</v>
      </c>
      <c r="G1399" s="5" t="str">
        <f>VLOOKUP(B1399,[1]물질정보!B:G,6,0)</f>
        <v>CC(=C)C(=O)OCCO</v>
      </c>
      <c r="I1399" t="s">
        <v>520</v>
      </c>
      <c r="J1399" t="s">
        <v>521</v>
      </c>
      <c r="K1399" t="s">
        <v>564</v>
      </c>
      <c r="R1399" t="s">
        <v>355</v>
      </c>
      <c r="U1399" t="s">
        <v>523</v>
      </c>
      <c r="V1399" s="6" t="s">
        <v>684</v>
      </c>
      <c r="X1399" t="s">
        <v>825</v>
      </c>
      <c r="Y1399" s="6" t="s">
        <v>826</v>
      </c>
    </row>
    <row r="1400" spans="2:25" x14ac:dyDescent="0.3">
      <c r="B1400" s="5" t="s">
        <v>574</v>
      </c>
      <c r="C1400" s="5" t="str">
        <f>VLOOKUP(B1400,[1]물질정보!B:C,2,0)</f>
        <v>868-77-9</v>
      </c>
      <c r="D1400" t="str">
        <f>VLOOKUP(B1400,[1]물질정보!B:D,3,0)</f>
        <v>2-hydroxyethyl methacrylate</v>
      </c>
      <c r="E1400" t="str">
        <f>VLOOKUP(B1400,[1]물질정보!B:E,4,0)</f>
        <v>C6H10O3</v>
      </c>
      <c r="F1400" t="str">
        <f>VLOOKUP(B1400,[1]물질정보!B:F,5,0)</f>
        <v>130.139 g/mol</v>
      </c>
      <c r="G1400" s="5" t="str">
        <f>VLOOKUP(B1400,[1]물질정보!B:G,6,0)</f>
        <v>CC(=C)C(=O)OCCO</v>
      </c>
      <c r="I1400" t="s">
        <v>520</v>
      </c>
      <c r="J1400" t="s">
        <v>521</v>
      </c>
      <c r="K1400" t="s">
        <v>567</v>
      </c>
      <c r="R1400" t="s">
        <v>355</v>
      </c>
      <c r="U1400" t="s">
        <v>525</v>
      </c>
      <c r="V1400" s="6" t="s">
        <v>684</v>
      </c>
      <c r="X1400" t="s">
        <v>825</v>
      </c>
      <c r="Y1400" s="6" t="s">
        <v>826</v>
      </c>
    </row>
    <row r="1401" spans="2:25" x14ac:dyDescent="0.3">
      <c r="B1401" s="5" t="s">
        <v>574</v>
      </c>
      <c r="C1401" s="5" t="str">
        <f>VLOOKUP(B1401,[1]물질정보!B:C,2,0)</f>
        <v>868-77-9</v>
      </c>
      <c r="D1401" t="str">
        <f>VLOOKUP(B1401,[1]물질정보!B:D,3,0)</f>
        <v>2-hydroxyethyl methacrylate</v>
      </c>
      <c r="E1401" t="str">
        <f>VLOOKUP(B1401,[1]물질정보!B:E,4,0)</f>
        <v>C6H10O3</v>
      </c>
      <c r="F1401" t="str">
        <f>VLOOKUP(B1401,[1]물질정보!B:F,5,0)</f>
        <v>130.139 g/mol</v>
      </c>
      <c r="G1401" s="5" t="str">
        <f>VLOOKUP(B1401,[1]물질정보!B:G,6,0)</f>
        <v>CC(=C)C(=O)OCCO</v>
      </c>
      <c r="I1401" t="s">
        <v>520</v>
      </c>
      <c r="J1401" t="s">
        <v>521</v>
      </c>
      <c r="K1401" t="s">
        <v>575</v>
      </c>
      <c r="R1401" t="s">
        <v>355</v>
      </c>
      <c r="U1401" t="s">
        <v>527</v>
      </c>
      <c r="V1401" s="6" t="s">
        <v>684</v>
      </c>
      <c r="X1401" t="s">
        <v>825</v>
      </c>
      <c r="Y1401" s="6" t="s">
        <v>826</v>
      </c>
    </row>
    <row r="1402" spans="2:25" x14ac:dyDescent="0.3">
      <c r="B1402" s="5" t="s">
        <v>574</v>
      </c>
      <c r="C1402" s="5" t="str">
        <f>VLOOKUP(B1402,[1]물질정보!B:C,2,0)</f>
        <v>868-77-9</v>
      </c>
      <c r="D1402" t="str">
        <f>VLOOKUP(B1402,[1]물질정보!B:D,3,0)</f>
        <v>2-hydroxyethyl methacrylate</v>
      </c>
      <c r="E1402" t="str">
        <f>VLOOKUP(B1402,[1]물질정보!B:E,4,0)</f>
        <v>C6H10O3</v>
      </c>
      <c r="F1402" t="str">
        <f>VLOOKUP(B1402,[1]물질정보!B:F,5,0)</f>
        <v>130.139 g/mol</v>
      </c>
      <c r="G1402" s="5" t="str">
        <f>VLOOKUP(B1402,[1]물질정보!B:G,6,0)</f>
        <v>CC(=C)C(=O)OCCO</v>
      </c>
      <c r="I1402" t="s">
        <v>520</v>
      </c>
      <c r="J1402" t="s">
        <v>521</v>
      </c>
      <c r="K1402" t="s">
        <v>576</v>
      </c>
      <c r="R1402" t="s">
        <v>355</v>
      </c>
      <c r="U1402" t="s">
        <v>528</v>
      </c>
      <c r="V1402" s="6" t="s">
        <v>684</v>
      </c>
      <c r="X1402" t="s">
        <v>825</v>
      </c>
      <c r="Y1402" s="6" t="s">
        <v>826</v>
      </c>
    </row>
    <row r="1403" spans="2:25" x14ac:dyDescent="0.3">
      <c r="B1403" s="5" t="s">
        <v>574</v>
      </c>
      <c r="C1403" s="5" t="str">
        <f>VLOOKUP(B1403,[1]물질정보!B:C,2,0)</f>
        <v>868-77-9</v>
      </c>
      <c r="D1403" t="str">
        <f>VLOOKUP(B1403,[1]물질정보!B:D,3,0)</f>
        <v>2-hydroxyethyl methacrylate</v>
      </c>
      <c r="E1403" t="str">
        <f>VLOOKUP(B1403,[1]물질정보!B:E,4,0)</f>
        <v>C6H10O3</v>
      </c>
      <c r="F1403" t="str">
        <f>VLOOKUP(B1403,[1]물질정보!B:F,5,0)</f>
        <v>130.139 g/mol</v>
      </c>
      <c r="G1403" s="5" t="str">
        <f>VLOOKUP(B1403,[1]물질정보!B:G,6,0)</f>
        <v>CC(=C)C(=O)OCCO</v>
      </c>
      <c r="I1403" t="s">
        <v>529</v>
      </c>
      <c r="J1403" s="9" t="s">
        <v>530</v>
      </c>
      <c r="K1403">
        <v>1413.54</v>
      </c>
      <c r="L1403" t="s">
        <v>39</v>
      </c>
      <c r="M1403" t="s">
        <v>532</v>
      </c>
      <c r="P1403">
        <v>48</v>
      </c>
      <c r="Q1403" t="s">
        <v>533</v>
      </c>
      <c r="R1403" t="s">
        <v>355</v>
      </c>
      <c r="U1403" t="s">
        <v>523</v>
      </c>
      <c r="V1403" s="6" t="s">
        <v>684</v>
      </c>
      <c r="W1403" t="s">
        <v>532</v>
      </c>
      <c r="X1403" t="s">
        <v>822</v>
      </c>
      <c r="Y1403" s="6" t="s">
        <v>530</v>
      </c>
    </row>
    <row r="1404" spans="2:25" x14ac:dyDescent="0.3">
      <c r="B1404" s="5" t="s">
        <v>574</v>
      </c>
      <c r="C1404" s="5" t="str">
        <f>VLOOKUP(B1404,[1]물질정보!B:C,2,0)</f>
        <v>868-77-9</v>
      </c>
      <c r="D1404" t="str">
        <f>VLOOKUP(B1404,[1]물질정보!B:D,3,0)</f>
        <v>2-hydroxyethyl methacrylate</v>
      </c>
      <c r="E1404" t="str">
        <f>VLOOKUP(B1404,[1]물질정보!B:E,4,0)</f>
        <v>C6H10O3</v>
      </c>
      <c r="F1404" t="str">
        <f>VLOOKUP(B1404,[1]물질정보!B:F,5,0)</f>
        <v>130.139 g/mol</v>
      </c>
      <c r="G1404" s="5" t="str">
        <f>VLOOKUP(B1404,[1]물질정보!B:G,6,0)</f>
        <v>CC(=C)C(=O)OCCO</v>
      </c>
      <c r="I1404" t="s">
        <v>529</v>
      </c>
      <c r="J1404" s="9" t="s">
        <v>530</v>
      </c>
      <c r="K1404">
        <v>1411.4</v>
      </c>
      <c r="L1404" t="s">
        <v>39</v>
      </c>
      <c r="M1404" t="s">
        <v>532</v>
      </c>
      <c r="P1404">
        <v>48</v>
      </c>
      <c r="Q1404" t="s">
        <v>533</v>
      </c>
      <c r="R1404" t="s">
        <v>355</v>
      </c>
      <c r="U1404" t="s">
        <v>525</v>
      </c>
      <c r="V1404" s="6" t="s">
        <v>684</v>
      </c>
      <c r="W1404" t="s">
        <v>532</v>
      </c>
      <c r="X1404" t="s">
        <v>822</v>
      </c>
      <c r="Y1404" s="6" t="s">
        <v>530</v>
      </c>
    </row>
    <row r="1405" spans="2:25" x14ac:dyDescent="0.3">
      <c r="B1405" s="5" t="s">
        <v>574</v>
      </c>
      <c r="C1405" s="5" t="str">
        <f>VLOOKUP(B1405,[1]물질정보!B:C,2,0)</f>
        <v>868-77-9</v>
      </c>
      <c r="D1405" t="str">
        <f>VLOOKUP(B1405,[1]물질정보!B:D,3,0)</f>
        <v>2-hydroxyethyl methacrylate</v>
      </c>
      <c r="E1405" t="str">
        <f>VLOOKUP(B1405,[1]물질정보!B:E,4,0)</f>
        <v>C6H10O3</v>
      </c>
      <c r="F1405" t="str">
        <f>VLOOKUP(B1405,[1]물질정보!B:F,5,0)</f>
        <v>130.139 g/mol</v>
      </c>
      <c r="G1405" s="5" t="str">
        <f>VLOOKUP(B1405,[1]물질정보!B:G,6,0)</f>
        <v>CC(=C)C(=O)OCCO</v>
      </c>
      <c r="I1405" t="s">
        <v>529</v>
      </c>
      <c r="J1405" s="9" t="s">
        <v>530</v>
      </c>
      <c r="K1405">
        <v>1363.25</v>
      </c>
      <c r="L1405" t="s">
        <v>39</v>
      </c>
      <c r="M1405" t="s">
        <v>532</v>
      </c>
      <c r="P1405">
        <v>48</v>
      </c>
      <c r="Q1405" t="s">
        <v>533</v>
      </c>
      <c r="R1405" t="s">
        <v>355</v>
      </c>
      <c r="U1405" t="s">
        <v>527</v>
      </c>
      <c r="V1405" s="6" t="s">
        <v>684</v>
      </c>
      <c r="W1405" t="s">
        <v>532</v>
      </c>
      <c r="X1405" t="s">
        <v>822</v>
      </c>
      <c r="Y1405" s="6" t="s">
        <v>530</v>
      </c>
    </row>
    <row r="1406" spans="2:25" x14ac:dyDescent="0.3">
      <c r="B1406" s="5" t="s">
        <v>574</v>
      </c>
      <c r="C1406" s="5" t="str">
        <f>VLOOKUP(B1406,[1]물질정보!B:C,2,0)</f>
        <v>868-77-9</v>
      </c>
      <c r="D1406" t="str">
        <f>VLOOKUP(B1406,[1]물질정보!B:D,3,0)</f>
        <v>2-hydroxyethyl methacrylate</v>
      </c>
      <c r="E1406" t="str">
        <f>VLOOKUP(B1406,[1]물질정보!B:E,4,0)</f>
        <v>C6H10O3</v>
      </c>
      <c r="F1406" t="str">
        <f>VLOOKUP(B1406,[1]물질정보!B:F,5,0)</f>
        <v>130.139 g/mol</v>
      </c>
      <c r="G1406" s="5" t="str">
        <f>VLOOKUP(B1406,[1]물질정보!B:G,6,0)</f>
        <v>CC(=C)C(=O)OCCO</v>
      </c>
      <c r="I1406" t="s">
        <v>529</v>
      </c>
      <c r="J1406" s="9" t="s">
        <v>530</v>
      </c>
      <c r="K1406">
        <v>1467.92</v>
      </c>
      <c r="L1406" t="s">
        <v>39</v>
      </c>
      <c r="M1406" t="s">
        <v>532</v>
      </c>
      <c r="P1406">
        <v>48</v>
      </c>
      <c r="Q1406" t="s">
        <v>533</v>
      </c>
      <c r="R1406" t="s">
        <v>355</v>
      </c>
      <c r="U1406" t="s">
        <v>528</v>
      </c>
      <c r="V1406" s="6" t="s">
        <v>684</v>
      </c>
      <c r="W1406" t="s">
        <v>532</v>
      </c>
      <c r="X1406" t="s">
        <v>822</v>
      </c>
      <c r="Y1406" s="6" t="s">
        <v>530</v>
      </c>
    </row>
    <row r="1407" spans="2:25" x14ac:dyDescent="0.3">
      <c r="B1407" s="5" t="s">
        <v>574</v>
      </c>
      <c r="C1407" s="5" t="str">
        <f>VLOOKUP(B1407,[1]물질정보!B:C,2,0)</f>
        <v>868-77-9</v>
      </c>
      <c r="D1407" t="str">
        <f>VLOOKUP(B1407,[1]물질정보!B:D,3,0)</f>
        <v>2-hydroxyethyl methacrylate</v>
      </c>
      <c r="E1407" t="str">
        <f>VLOOKUP(B1407,[1]물질정보!B:E,4,0)</f>
        <v>C6H10O3</v>
      </c>
      <c r="F1407" t="str">
        <f>VLOOKUP(B1407,[1]물질정보!B:F,5,0)</f>
        <v>130.139 g/mol</v>
      </c>
      <c r="G1407" s="5" t="str">
        <f>VLOOKUP(B1407,[1]물질정보!B:G,6,0)</f>
        <v>CC(=C)C(=O)OCCO</v>
      </c>
      <c r="I1407" t="s">
        <v>534</v>
      </c>
      <c r="J1407" t="s">
        <v>535</v>
      </c>
      <c r="K1407">
        <v>123.26</v>
      </c>
      <c r="L1407" t="s">
        <v>39</v>
      </c>
      <c r="M1407" t="s">
        <v>536</v>
      </c>
      <c r="P1407">
        <v>96</v>
      </c>
      <c r="Q1407" t="s">
        <v>533</v>
      </c>
      <c r="R1407" t="s">
        <v>355</v>
      </c>
      <c r="U1407" t="s">
        <v>523</v>
      </c>
      <c r="V1407" s="6" t="s">
        <v>684</v>
      </c>
      <c r="W1407" t="s">
        <v>536</v>
      </c>
      <c r="X1407" t="s">
        <v>823</v>
      </c>
      <c r="Y1407" s="6" t="s">
        <v>49</v>
      </c>
    </row>
    <row r="1408" spans="2:25" x14ac:dyDescent="0.3">
      <c r="B1408" s="5" t="s">
        <v>574</v>
      </c>
      <c r="C1408" s="5" t="str">
        <f>VLOOKUP(B1408,[1]물질정보!B:C,2,0)</f>
        <v>868-77-9</v>
      </c>
      <c r="D1408" t="str">
        <f>VLOOKUP(B1408,[1]물질정보!B:D,3,0)</f>
        <v>2-hydroxyethyl methacrylate</v>
      </c>
      <c r="E1408" t="str">
        <f>VLOOKUP(B1408,[1]물질정보!B:E,4,0)</f>
        <v>C6H10O3</v>
      </c>
      <c r="F1408" t="str">
        <f>VLOOKUP(B1408,[1]물질정보!B:F,5,0)</f>
        <v>130.139 g/mol</v>
      </c>
      <c r="G1408" s="5" t="str">
        <f>VLOOKUP(B1408,[1]물질정보!B:G,6,0)</f>
        <v>CC(=C)C(=O)OCCO</v>
      </c>
      <c r="I1408" t="s">
        <v>534</v>
      </c>
      <c r="J1408" t="s">
        <v>535</v>
      </c>
      <c r="K1408">
        <v>94.27</v>
      </c>
      <c r="L1408" t="s">
        <v>39</v>
      </c>
      <c r="M1408" t="s">
        <v>536</v>
      </c>
      <c r="P1408">
        <v>96</v>
      </c>
      <c r="Q1408" t="s">
        <v>533</v>
      </c>
      <c r="R1408" t="s">
        <v>355</v>
      </c>
      <c r="U1408" t="s">
        <v>525</v>
      </c>
      <c r="V1408" s="6" t="s">
        <v>684</v>
      </c>
      <c r="W1408" t="s">
        <v>536</v>
      </c>
      <c r="X1408" t="s">
        <v>823</v>
      </c>
      <c r="Y1408" s="6" t="s">
        <v>49</v>
      </c>
    </row>
    <row r="1409" spans="2:25" x14ac:dyDescent="0.3">
      <c r="B1409" s="5" t="s">
        <v>574</v>
      </c>
      <c r="C1409" s="5" t="str">
        <f>VLOOKUP(B1409,[1]물질정보!B:C,2,0)</f>
        <v>868-77-9</v>
      </c>
      <c r="D1409" t="str">
        <f>VLOOKUP(B1409,[1]물질정보!B:D,3,0)</f>
        <v>2-hydroxyethyl methacrylate</v>
      </c>
      <c r="E1409" t="str">
        <f>VLOOKUP(B1409,[1]물질정보!B:E,4,0)</f>
        <v>C6H10O3</v>
      </c>
      <c r="F1409" t="str">
        <f>VLOOKUP(B1409,[1]물질정보!B:F,5,0)</f>
        <v>130.139 g/mol</v>
      </c>
      <c r="G1409" s="5" t="str">
        <f>VLOOKUP(B1409,[1]물질정보!B:G,6,0)</f>
        <v>CC(=C)C(=O)OCCO</v>
      </c>
      <c r="I1409" t="s">
        <v>534</v>
      </c>
      <c r="J1409" t="s">
        <v>535</v>
      </c>
      <c r="K1409">
        <v>88.71</v>
      </c>
      <c r="L1409" t="s">
        <v>39</v>
      </c>
      <c r="M1409" t="s">
        <v>536</v>
      </c>
      <c r="P1409">
        <v>96</v>
      </c>
      <c r="Q1409" t="s">
        <v>533</v>
      </c>
      <c r="R1409" t="s">
        <v>355</v>
      </c>
      <c r="U1409" t="s">
        <v>527</v>
      </c>
      <c r="V1409" s="6" t="s">
        <v>684</v>
      </c>
      <c r="W1409" t="s">
        <v>536</v>
      </c>
      <c r="X1409" t="s">
        <v>823</v>
      </c>
      <c r="Y1409" s="6" t="s">
        <v>49</v>
      </c>
    </row>
    <row r="1410" spans="2:25" x14ac:dyDescent="0.3">
      <c r="B1410" s="5" t="s">
        <v>574</v>
      </c>
      <c r="C1410" s="5" t="str">
        <f>VLOOKUP(B1410,[1]물질정보!B:C,2,0)</f>
        <v>868-77-9</v>
      </c>
      <c r="D1410" t="str">
        <f>VLOOKUP(B1410,[1]물질정보!B:D,3,0)</f>
        <v>2-hydroxyethyl methacrylate</v>
      </c>
      <c r="E1410" t="str">
        <f>VLOOKUP(B1410,[1]물질정보!B:E,4,0)</f>
        <v>C6H10O3</v>
      </c>
      <c r="F1410" t="str">
        <f>VLOOKUP(B1410,[1]물질정보!B:F,5,0)</f>
        <v>130.139 g/mol</v>
      </c>
      <c r="G1410" s="5" t="str">
        <f>VLOOKUP(B1410,[1]물질정보!B:G,6,0)</f>
        <v>CC(=C)C(=O)OCCO</v>
      </c>
      <c r="I1410" t="s">
        <v>534</v>
      </c>
      <c r="J1410" t="s">
        <v>535</v>
      </c>
      <c r="K1410">
        <v>223.94</v>
      </c>
      <c r="L1410" t="s">
        <v>39</v>
      </c>
      <c r="M1410" t="s">
        <v>536</v>
      </c>
      <c r="P1410">
        <v>96</v>
      </c>
      <c r="Q1410" t="s">
        <v>533</v>
      </c>
      <c r="R1410" t="s">
        <v>355</v>
      </c>
      <c r="U1410" t="s">
        <v>528</v>
      </c>
      <c r="V1410" s="6" t="s">
        <v>684</v>
      </c>
      <c r="W1410" t="s">
        <v>536</v>
      </c>
      <c r="X1410" t="s">
        <v>823</v>
      </c>
      <c r="Y1410" s="6" t="s">
        <v>49</v>
      </c>
    </row>
    <row r="1411" spans="2:25" x14ac:dyDescent="0.3">
      <c r="B1411" s="5" t="s">
        <v>574</v>
      </c>
      <c r="C1411" s="5" t="str">
        <f>VLOOKUP(B1411,[1]물질정보!B:C,2,0)</f>
        <v>868-77-9</v>
      </c>
      <c r="D1411" t="str">
        <f>VLOOKUP(B1411,[1]물질정보!B:D,3,0)</f>
        <v>2-hydroxyethyl methacrylate</v>
      </c>
      <c r="E1411" t="str">
        <f>VLOOKUP(B1411,[1]물질정보!B:E,4,0)</f>
        <v>C6H10O3</v>
      </c>
      <c r="F1411" t="str">
        <f>VLOOKUP(B1411,[1]물질정보!B:F,5,0)</f>
        <v>130.139 g/mol</v>
      </c>
      <c r="G1411" s="5" t="str">
        <f>VLOOKUP(B1411,[1]물질정보!B:G,6,0)</f>
        <v>CC(=C)C(=O)OCCO</v>
      </c>
      <c r="I1411" t="s">
        <v>537</v>
      </c>
      <c r="J1411" t="s">
        <v>535</v>
      </c>
      <c r="K1411">
        <v>128.33000000000001</v>
      </c>
      <c r="L1411" t="s">
        <v>39</v>
      </c>
      <c r="M1411" t="s">
        <v>47</v>
      </c>
      <c r="P1411">
        <v>48</v>
      </c>
      <c r="Q1411" t="s">
        <v>533</v>
      </c>
      <c r="R1411" t="s">
        <v>355</v>
      </c>
      <c r="U1411" t="s">
        <v>523</v>
      </c>
      <c r="V1411" s="6" t="s">
        <v>684</v>
      </c>
      <c r="W1411" t="s">
        <v>47</v>
      </c>
      <c r="X1411" t="s">
        <v>822</v>
      </c>
      <c r="Y1411" s="6" t="s">
        <v>49</v>
      </c>
    </row>
    <row r="1412" spans="2:25" x14ac:dyDescent="0.3">
      <c r="B1412" s="5" t="s">
        <v>574</v>
      </c>
      <c r="C1412" s="5" t="str">
        <f>VLOOKUP(B1412,[1]물질정보!B:C,2,0)</f>
        <v>868-77-9</v>
      </c>
      <c r="D1412" t="str">
        <f>VLOOKUP(B1412,[1]물질정보!B:D,3,0)</f>
        <v>2-hydroxyethyl methacrylate</v>
      </c>
      <c r="E1412" t="str">
        <f>VLOOKUP(B1412,[1]물질정보!B:E,4,0)</f>
        <v>C6H10O3</v>
      </c>
      <c r="F1412" t="str">
        <f>VLOOKUP(B1412,[1]물질정보!B:F,5,0)</f>
        <v>130.139 g/mol</v>
      </c>
      <c r="G1412" s="5" t="str">
        <f>VLOOKUP(B1412,[1]물질정보!B:G,6,0)</f>
        <v>CC(=C)C(=O)OCCO</v>
      </c>
      <c r="I1412" t="s">
        <v>537</v>
      </c>
      <c r="J1412" t="s">
        <v>535</v>
      </c>
      <c r="K1412">
        <v>221.64</v>
      </c>
      <c r="L1412" t="s">
        <v>39</v>
      </c>
      <c r="M1412" t="s">
        <v>47</v>
      </c>
      <c r="P1412">
        <v>48</v>
      </c>
      <c r="Q1412" t="s">
        <v>533</v>
      </c>
      <c r="R1412" t="s">
        <v>355</v>
      </c>
      <c r="U1412" t="s">
        <v>525</v>
      </c>
      <c r="V1412" s="6" t="s">
        <v>684</v>
      </c>
      <c r="W1412" t="s">
        <v>47</v>
      </c>
      <c r="X1412" t="s">
        <v>822</v>
      </c>
      <c r="Y1412" s="6" t="s">
        <v>49</v>
      </c>
    </row>
    <row r="1413" spans="2:25" x14ac:dyDescent="0.3">
      <c r="B1413" s="5" t="s">
        <v>574</v>
      </c>
      <c r="C1413" s="5" t="str">
        <f>VLOOKUP(B1413,[1]물질정보!B:C,2,0)</f>
        <v>868-77-9</v>
      </c>
      <c r="D1413" t="str">
        <f>VLOOKUP(B1413,[1]물질정보!B:D,3,0)</f>
        <v>2-hydroxyethyl methacrylate</v>
      </c>
      <c r="E1413" t="str">
        <f>VLOOKUP(B1413,[1]물질정보!B:E,4,0)</f>
        <v>C6H10O3</v>
      </c>
      <c r="F1413" t="str">
        <f>VLOOKUP(B1413,[1]물질정보!B:F,5,0)</f>
        <v>130.139 g/mol</v>
      </c>
      <c r="G1413" s="5" t="str">
        <f>VLOOKUP(B1413,[1]물질정보!B:G,6,0)</f>
        <v>CC(=C)C(=O)OCCO</v>
      </c>
      <c r="I1413" t="s">
        <v>537</v>
      </c>
      <c r="J1413" t="s">
        <v>535</v>
      </c>
      <c r="K1413">
        <v>145.91999999999999</v>
      </c>
      <c r="L1413" t="s">
        <v>39</v>
      </c>
      <c r="M1413" t="s">
        <v>47</v>
      </c>
      <c r="P1413">
        <v>48</v>
      </c>
      <c r="Q1413" t="s">
        <v>533</v>
      </c>
      <c r="R1413" t="s">
        <v>355</v>
      </c>
      <c r="U1413" t="s">
        <v>527</v>
      </c>
      <c r="V1413" s="6" t="s">
        <v>684</v>
      </c>
      <c r="W1413" t="s">
        <v>47</v>
      </c>
      <c r="X1413" t="s">
        <v>822</v>
      </c>
      <c r="Y1413" s="6" t="s">
        <v>49</v>
      </c>
    </row>
    <row r="1414" spans="2:25" x14ac:dyDescent="0.3">
      <c r="B1414" s="5" t="s">
        <v>574</v>
      </c>
      <c r="C1414" s="5" t="str">
        <f>VLOOKUP(B1414,[1]물질정보!B:C,2,0)</f>
        <v>868-77-9</v>
      </c>
      <c r="D1414" t="str">
        <f>VLOOKUP(B1414,[1]물질정보!B:D,3,0)</f>
        <v>2-hydroxyethyl methacrylate</v>
      </c>
      <c r="E1414" t="str">
        <f>VLOOKUP(B1414,[1]물질정보!B:E,4,0)</f>
        <v>C6H10O3</v>
      </c>
      <c r="F1414" t="str">
        <f>VLOOKUP(B1414,[1]물질정보!B:F,5,0)</f>
        <v>130.139 g/mol</v>
      </c>
      <c r="G1414" s="5" t="str">
        <f>VLOOKUP(B1414,[1]물질정보!B:G,6,0)</f>
        <v>CC(=C)C(=O)OCCO</v>
      </c>
      <c r="I1414" t="s">
        <v>537</v>
      </c>
      <c r="J1414" t="s">
        <v>535</v>
      </c>
      <c r="K1414">
        <v>65.349999999999994</v>
      </c>
      <c r="L1414" t="s">
        <v>39</v>
      </c>
      <c r="M1414" t="s">
        <v>47</v>
      </c>
      <c r="P1414">
        <v>48</v>
      </c>
      <c r="Q1414" t="s">
        <v>533</v>
      </c>
      <c r="R1414" t="s">
        <v>355</v>
      </c>
      <c r="U1414" t="s">
        <v>528</v>
      </c>
      <c r="V1414" s="6" t="s">
        <v>684</v>
      </c>
      <c r="W1414" t="s">
        <v>47</v>
      </c>
      <c r="X1414" t="s">
        <v>822</v>
      </c>
      <c r="Y1414" s="6" t="s">
        <v>49</v>
      </c>
    </row>
    <row r="1415" spans="2:25" x14ac:dyDescent="0.3">
      <c r="B1415" s="5" t="s">
        <v>574</v>
      </c>
      <c r="C1415" s="5" t="str">
        <f>VLOOKUP(B1415,[1]물질정보!B:C,2,0)</f>
        <v>868-77-9</v>
      </c>
      <c r="D1415" t="str">
        <f>VLOOKUP(B1415,[1]물질정보!B:D,3,0)</f>
        <v>2-hydroxyethyl methacrylate</v>
      </c>
      <c r="E1415" t="str">
        <f>VLOOKUP(B1415,[1]물질정보!B:E,4,0)</f>
        <v>C6H10O3</v>
      </c>
      <c r="F1415" t="str">
        <f>VLOOKUP(B1415,[1]물질정보!B:F,5,0)</f>
        <v>130.139 g/mol</v>
      </c>
      <c r="G1415" s="5" t="str">
        <f>VLOOKUP(B1415,[1]물질정보!B:G,6,0)</f>
        <v>CC(=C)C(=O)OCCO</v>
      </c>
      <c r="I1415" t="s">
        <v>494</v>
      </c>
      <c r="J1415" t="s">
        <v>538</v>
      </c>
      <c r="K1415">
        <v>3208.88</v>
      </c>
      <c r="L1415" t="s">
        <v>161</v>
      </c>
      <c r="M1415" t="s">
        <v>495</v>
      </c>
      <c r="R1415" t="s">
        <v>355</v>
      </c>
      <c r="U1415" t="s">
        <v>523</v>
      </c>
      <c r="V1415" s="6" t="s">
        <v>684</v>
      </c>
      <c r="W1415" t="s">
        <v>86</v>
      </c>
      <c r="X1415" t="s">
        <v>825</v>
      </c>
      <c r="Y1415" s="6" t="s">
        <v>81</v>
      </c>
    </row>
    <row r="1416" spans="2:25" x14ac:dyDescent="0.3">
      <c r="B1416" s="5" t="s">
        <v>574</v>
      </c>
      <c r="C1416" s="5" t="str">
        <f>VLOOKUP(B1416,[1]물질정보!B:C,2,0)</f>
        <v>868-77-9</v>
      </c>
      <c r="D1416" t="str">
        <f>VLOOKUP(B1416,[1]물질정보!B:D,3,0)</f>
        <v>2-hydroxyethyl methacrylate</v>
      </c>
      <c r="E1416" t="str">
        <f>VLOOKUP(B1416,[1]물질정보!B:E,4,0)</f>
        <v>C6H10O3</v>
      </c>
      <c r="F1416" t="str">
        <f>VLOOKUP(B1416,[1]물질정보!B:F,5,0)</f>
        <v>130.139 g/mol</v>
      </c>
      <c r="G1416" s="5" t="str">
        <f>VLOOKUP(B1416,[1]물질정보!B:G,6,0)</f>
        <v>CC(=C)C(=O)OCCO</v>
      </c>
      <c r="I1416" t="s">
        <v>494</v>
      </c>
      <c r="J1416" t="s">
        <v>538</v>
      </c>
      <c r="K1416">
        <v>3034.95</v>
      </c>
      <c r="L1416" t="s">
        <v>161</v>
      </c>
      <c r="M1416" t="s">
        <v>495</v>
      </c>
      <c r="R1416" t="s">
        <v>355</v>
      </c>
      <c r="U1416" t="s">
        <v>525</v>
      </c>
      <c r="V1416" s="6" t="s">
        <v>684</v>
      </c>
      <c r="W1416" t="s">
        <v>86</v>
      </c>
      <c r="X1416" t="s">
        <v>825</v>
      </c>
      <c r="Y1416" s="6" t="s">
        <v>81</v>
      </c>
    </row>
    <row r="1417" spans="2:25" x14ac:dyDescent="0.3">
      <c r="B1417" s="5" t="s">
        <v>574</v>
      </c>
      <c r="C1417" s="5" t="str">
        <f>VLOOKUP(B1417,[1]물질정보!B:C,2,0)</f>
        <v>868-77-9</v>
      </c>
      <c r="D1417" t="str">
        <f>VLOOKUP(B1417,[1]물질정보!B:D,3,0)</f>
        <v>2-hydroxyethyl methacrylate</v>
      </c>
      <c r="E1417" t="str">
        <f>VLOOKUP(B1417,[1]물질정보!B:E,4,0)</f>
        <v>C6H10O3</v>
      </c>
      <c r="F1417" t="str">
        <f>VLOOKUP(B1417,[1]물질정보!B:F,5,0)</f>
        <v>130.139 g/mol</v>
      </c>
      <c r="G1417" s="5" t="str">
        <f>VLOOKUP(B1417,[1]물질정보!B:G,6,0)</f>
        <v>CC(=C)C(=O)OCCO</v>
      </c>
      <c r="I1417" t="s">
        <v>494</v>
      </c>
      <c r="J1417" t="s">
        <v>538</v>
      </c>
      <c r="K1417">
        <v>2293.86</v>
      </c>
      <c r="L1417" t="s">
        <v>161</v>
      </c>
      <c r="M1417" t="s">
        <v>495</v>
      </c>
      <c r="R1417" t="s">
        <v>355</v>
      </c>
      <c r="U1417" t="s">
        <v>527</v>
      </c>
      <c r="V1417" s="6" t="s">
        <v>684</v>
      </c>
      <c r="W1417" t="s">
        <v>86</v>
      </c>
      <c r="X1417" t="s">
        <v>825</v>
      </c>
      <c r="Y1417" s="6" t="s">
        <v>81</v>
      </c>
    </row>
    <row r="1418" spans="2:25" x14ac:dyDescent="0.3">
      <c r="B1418" s="5" t="s">
        <v>574</v>
      </c>
      <c r="C1418" s="5" t="str">
        <f>VLOOKUP(B1418,[1]물질정보!B:C,2,0)</f>
        <v>868-77-9</v>
      </c>
      <c r="D1418" t="str">
        <f>VLOOKUP(B1418,[1]물질정보!B:D,3,0)</f>
        <v>2-hydroxyethyl methacrylate</v>
      </c>
      <c r="E1418" t="str">
        <f>VLOOKUP(B1418,[1]물질정보!B:E,4,0)</f>
        <v>C6H10O3</v>
      </c>
      <c r="F1418" t="str">
        <f>VLOOKUP(B1418,[1]물질정보!B:F,5,0)</f>
        <v>130.139 g/mol</v>
      </c>
      <c r="G1418" s="5" t="str">
        <f>VLOOKUP(B1418,[1]물질정보!B:G,6,0)</f>
        <v>CC(=C)C(=O)OCCO</v>
      </c>
      <c r="I1418" t="s">
        <v>494</v>
      </c>
      <c r="J1418" t="s">
        <v>538</v>
      </c>
      <c r="K1418">
        <v>4746.13</v>
      </c>
      <c r="L1418" t="s">
        <v>161</v>
      </c>
      <c r="M1418" t="s">
        <v>495</v>
      </c>
      <c r="R1418" t="s">
        <v>355</v>
      </c>
      <c r="U1418" t="s">
        <v>528</v>
      </c>
      <c r="V1418" s="6" t="s">
        <v>684</v>
      </c>
      <c r="W1418" t="s">
        <v>86</v>
      </c>
      <c r="X1418" t="s">
        <v>825</v>
      </c>
      <c r="Y1418" s="6" t="s">
        <v>81</v>
      </c>
    </row>
    <row r="1419" spans="2:25" x14ac:dyDescent="0.3">
      <c r="B1419" s="5" t="s">
        <v>574</v>
      </c>
      <c r="C1419" s="5" t="str">
        <f>VLOOKUP(B1419,[1]물질정보!B:C,2,0)</f>
        <v>868-77-9</v>
      </c>
      <c r="D1419" t="str">
        <f>VLOOKUP(B1419,[1]물질정보!B:D,3,0)</f>
        <v>2-hydroxyethyl methacrylate</v>
      </c>
      <c r="E1419" t="str">
        <f>VLOOKUP(B1419,[1]물질정보!B:E,4,0)</f>
        <v>C6H10O3</v>
      </c>
      <c r="F1419" t="str">
        <f>VLOOKUP(B1419,[1]물질정보!B:F,5,0)</f>
        <v>130.139 g/mol</v>
      </c>
      <c r="G1419" s="5" t="str">
        <f>VLOOKUP(B1419,[1]물질정보!B:G,6,0)</f>
        <v>CC(=C)C(=O)OCCO</v>
      </c>
      <c r="I1419" t="s">
        <v>540</v>
      </c>
      <c r="J1419" t="s">
        <v>541</v>
      </c>
      <c r="K1419" t="s">
        <v>542</v>
      </c>
      <c r="M1419" t="s">
        <v>543</v>
      </c>
      <c r="N1419" t="s">
        <v>544</v>
      </c>
      <c r="R1419" t="s">
        <v>355</v>
      </c>
      <c r="U1419" t="s">
        <v>523</v>
      </c>
      <c r="V1419" s="6" t="s">
        <v>684</v>
      </c>
      <c r="W1419" t="s">
        <v>83</v>
      </c>
      <c r="X1419" t="s">
        <v>825</v>
      </c>
      <c r="Y1419" s="6" t="s">
        <v>827</v>
      </c>
    </row>
    <row r="1420" spans="2:25" x14ac:dyDescent="0.3">
      <c r="B1420" s="5" t="s">
        <v>574</v>
      </c>
      <c r="C1420" s="5" t="str">
        <f>VLOOKUP(B1420,[1]물질정보!B:C,2,0)</f>
        <v>868-77-9</v>
      </c>
      <c r="D1420" t="str">
        <f>VLOOKUP(B1420,[1]물질정보!B:D,3,0)</f>
        <v>2-hydroxyethyl methacrylate</v>
      </c>
      <c r="E1420" t="str">
        <f>VLOOKUP(B1420,[1]물질정보!B:E,4,0)</f>
        <v>C6H10O3</v>
      </c>
      <c r="F1420" t="str">
        <f>VLOOKUP(B1420,[1]물질정보!B:F,5,0)</f>
        <v>130.139 g/mol</v>
      </c>
      <c r="G1420" s="5" t="str">
        <f>VLOOKUP(B1420,[1]물질정보!B:G,6,0)</f>
        <v>CC(=C)C(=O)OCCO</v>
      </c>
      <c r="I1420" t="s">
        <v>540</v>
      </c>
      <c r="J1420" t="s">
        <v>541</v>
      </c>
      <c r="K1420" t="s">
        <v>577</v>
      </c>
      <c r="M1420" t="s">
        <v>543</v>
      </c>
      <c r="N1420" t="s">
        <v>544</v>
      </c>
      <c r="R1420" t="s">
        <v>355</v>
      </c>
      <c r="U1420" t="s">
        <v>525</v>
      </c>
      <c r="V1420" s="6" t="s">
        <v>684</v>
      </c>
      <c r="W1420" t="s">
        <v>83</v>
      </c>
      <c r="X1420" t="s">
        <v>825</v>
      </c>
      <c r="Y1420" s="6" t="s">
        <v>827</v>
      </c>
    </row>
    <row r="1421" spans="2:25" x14ac:dyDescent="0.3">
      <c r="B1421" s="5" t="s">
        <v>574</v>
      </c>
      <c r="C1421" s="5" t="str">
        <f>VLOOKUP(B1421,[1]물질정보!B:C,2,0)</f>
        <v>868-77-9</v>
      </c>
      <c r="D1421" t="str">
        <f>VLOOKUP(B1421,[1]물질정보!B:D,3,0)</f>
        <v>2-hydroxyethyl methacrylate</v>
      </c>
      <c r="E1421" t="str">
        <f>VLOOKUP(B1421,[1]물질정보!B:E,4,0)</f>
        <v>C6H10O3</v>
      </c>
      <c r="F1421" t="str">
        <f>VLOOKUP(B1421,[1]물질정보!B:F,5,0)</f>
        <v>130.139 g/mol</v>
      </c>
      <c r="G1421" s="5" t="str">
        <f>VLOOKUP(B1421,[1]물질정보!B:G,6,0)</f>
        <v>CC(=C)C(=O)OCCO</v>
      </c>
      <c r="I1421" t="s">
        <v>540</v>
      </c>
      <c r="J1421" t="s">
        <v>541</v>
      </c>
      <c r="K1421" t="s">
        <v>578</v>
      </c>
      <c r="M1421" t="s">
        <v>543</v>
      </c>
      <c r="N1421" t="s">
        <v>544</v>
      </c>
      <c r="R1421" t="s">
        <v>355</v>
      </c>
      <c r="U1421" t="s">
        <v>527</v>
      </c>
      <c r="V1421" s="6" t="s">
        <v>684</v>
      </c>
      <c r="W1421" t="s">
        <v>83</v>
      </c>
      <c r="X1421" t="s">
        <v>825</v>
      </c>
      <c r="Y1421" s="6" t="s">
        <v>827</v>
      </c>
    </row>
    <row r="1422" spans="2:25" x14ac:dyDescent="0.3">
      <c r="B1422" s="5" t="s">
        <v>574</v>
      </c>
      <c r="C1422" s="5" t="str">
        <f>VLOOKUP(B1422,[1]물질정보!B:C,2,0)</f>
        <v>868-77-9</v>
      </c>
      <c r="D1422" t="str">
        <f>VLOOKUP(B1422,[1]물질정보!B:D,3,0)</f>
        <v>2-hydroxyethyl methacrylate</v>
      </c>
      <c r="E1422" t="str">
        <f>VLOOKUP(B1422,[1]물질정보!B:E,4,0)</f>
        <v>C6H10O3</v>
      </c>
      <c r="F1422" t="str">
        <f>VLOOKUP(B1422,[1]물질정보!B:F,5,0)</f>
        <v>130.139 g/mol</v>
      </c>
      <c r="G1422" s="5" t="str">
        <f>VLOOKUP(B1422,[1]물질정보!B:G,6,0)</f>
        <v>CC(=C)C(=O)OCCO</v>
      </c>
      <c r="I1422" t="s">
        <v>540</v>
      </c>
      <c r="J1422" t="s">
        <v>541</v>
      </c>
      <c r="K1422" t="s">
        <v>579</v>
      </c>
      <c r="M1422" t="s">
        <v>543</v>
      </c>
      <c r="N1422" t="s">
        <v>544</v>
      </c>
      <c r="R1422" t="s">
        <v>355</v>
      </c>
      <c r="U1422" t="s">
        <v>528</v>
      </c>
      <c r="V1422" s="6" t="s">
        <v>684</v>
      </c>
      <c r="W1422" t="s">
        <v>83</v>
      </c>
      <c r="X1422" t="s">
        <v>825</v>
      </c>
      <c r="Y1422" s="6" t="s">
        <v>827</v>
      </c>
    </row>
    <row r="1423" spans="2:25" x14ac:dyDescent="0.3">
      <c r="B1423" s="5" t="s">
        <v>574</v>
      </c>
      <c r="C1423" s="5" t="str">
        <f>VLOOKUP(B1423,[1]물질정보!B:C,2,0)</f>
        <v>868-77-9</v>
      </c>
      <c r="D1423" t="str">
        <f>VLOOKUP(B1423,[1]물질정보!B:D,3,0)</f>
        <v>2-hydroxyethyl methacrylate</v>
      </c>
      <c r="E1423" t="str">
        <f>VLOOKUP(B1423,[1]물질정보!B:E,4,0)</f>
        <v>C6H10O3</v>
      </c>
      <c r="F1423" t="str">
        <f>VLOOKUP(B1423,[1]물질정보!B:F,5,0)</f>
        <v>130.139 g/mol</v>
      </c>
      <c r="G1423" s="5" t="str">
        <f>VLOOKUP(B1423,[1]물질정보!B:G,6,0)</f>
        <v>CC(=C)C(=O)OCCO</v>
      </c>
      <c r="I1423" t="s">
        <v>137</v>
      </c>
      <c r="J1423" t="s">
        <v>498</v>
      </c>
      <c r="K1423" t="s">
        <v>580</v>
      </c>
      <c r="R1423" t="s">
        <v>355</v>
      </c>
      <c r="U1423" t="s">
        <v>523</v>
      </c>
      <c r="V1423" s="6" t="s">
        <v>684</v>
      </c>
      <c r="X1423" t="s">
        <v>825</v>
      </c>
      <c r="Y1423" s="6" t="s">
        <v>89</v>
      </c>
    </row>
    <row r="1424" spans="2:25" x14ac:dyDescent="0.3">
      <c r="B1424" s="5" t="s">
        <v>574</v>
      </c>
      <c r="C1424" s="5" t="str">
        <f>VLOOKUP(B1424,[1]물질정보!B:C,2,0)</f>
        <v>868-77-9</v>
      </c>
      <c r="D1424" t="str">
        <f>VLOOKUP(B1424,[1]물질정보!B:D,3,0)</f>
        <v>2-hydroxyethyl methacrylate</v>
      </c>
      <c r="E1424" t="str">
        <f>VLOOKUP(B1424,[1]물질정보!B:E,4,0)</f>
        <v>C6H10O3</v>
      </c>
      <c r="F1424" t="str">
        <f>VLOOKUP(B1424,[1]물질정보!B:F,5,0)</f>
        <v>130.139 g/mol</v>
      </c>
      <c r="G1424" s="5" t="str">
        <f>VLOOKUP(B1424,[1]물질정보!B:G,6,0)</f>
        <v>CC(=C)C(=O)OCCO</v>
      </c>
      <c r="I1424" t="s">
        <v>137</v>
      </c>
      <c r="J1424" t="s">
        <v>498</v>
      </c>
      <c r="K1424" t="s">
        <v>560</v>
      </c>
      <c r="R1424" t="s">
        <v>355</v>
      </c>
      <c r="U1424" t="s">
        <v>525</v>
      </c>
      <c r="V1424" s="6" t="s">
        <v>684</v>
      </c>
      <c r="X1424" t="s">
        <v>825</v>
      </c>
      <c r="Y1424" s="6" t="s">
        <v>89</v>
      </c>
    </row>
    <row r="1425" spans="2:25" x14ac:dyDescent="0.3">
      <c r="B1425" s="5" t="s">
        <v>574</v>
      </c>
      <c r="C1425" s="5" t="str">
        <f>VLOOKUP(B1425,[1]물질정보!B:C,2,0)</f>
        <v>868-77-9</v>
      </c>
      <c r="D1425" t="str">
        <f>VLOOKUP(B1425,[1]물질정보!B:D,3,0)</f>
        <v>2-hydroxyethyl methacrylate</v>
      </c>
      <c r="E1425" t="str">
        <f>VLOOKUP(B1425,[1]물질정보!B:E,4,0)</f>
        <v>C6H10O3</v>
      </c>
      <c r="F1425" t="str">
        <f>VLOOKUP(B1425,[1]물질정보!B:F,5,0)</f>
        <v>130.139 g/mol</v>
      </c>
      <c r="G1425" s="5" t="str">
        <f>VLOOKUP(B1425,[1]물질정보!B:G,6,0)</f>
        <v>CC(=C)C(=O)OCCO</v>
      </c>
      <c r="I1425" t="s">
        <v>137</v>
      </c>
      <c r="J1425" t="s">
        <v>498</v>
      </c>
      <c r="K1425" t="s">
        <v>581</v>
      </c>
      <c r="R1425" t="s">
        <v>355</v>
      </c>
      <c r="U1425" t="s">
        <v>527</v>
      </c>
      <c r="V1425" s="6" t="s">
        <v>684</v>
      </c>
      <c r="X1425" t="s">
        <v>825</v>
      </c>
      <c r="Y1425" s="6" t="s">
        <v>89</v>
      </c>
    </row>
    <row r="1426" spans="2:25" x14ac:dyDescent="0.3">
      <c r="B1426" s="5" t="s">
        <v>574</v>
      </c>
      <c r="C1426" s="5" t="str">
        <f>VLOOKUP(B1426,[1]물질정보!B:C,2,0)</f>
        <v>868-77-9</v>
      </c>
      <c r="D1426" t="str">
        <f>VLOOKUP(B1426,[1]물질정보!B:D,3,0)</f>
        <v>2-hydroxyethyl methacrylate</v>
      </c>
      <c r="E1426" t="str">
        <f>VLOOKUP(B1426,[1]물질정보!B:E,4,0)</f>
        <v>C6H10O3</v>
      </c>
      <c r="F1426" t="str">
        <f>VLOOKUP(B1426,[1]물질정보!B:F,5,0)</f>
        <v>130.139 g/mol</v>
      </c>
      <c r="G1426" s="5" t="str">
        <f>VLOOKUP(B1426,[1]물질정보!B:G,6,0)</f>
        <v>CC(=C)C(=O)OCCO</v>
      </c>
      <c r="I1426" t="s">
        <v>137</v>
      </c>
      <c r="J1426" t="s">
        <v>498</v>
      </c>
      <c r="K1426" t="s">
        <v>582</v>
      </c>
      <c r="R1426" t="s">
        <v>355</v>
      </c>
      <c r="U1426" t="s">
        <v>528</v>
      </c>
      <c r="V1426" s="6" t="s">
        <v>684</v>
      </c>
      <c r="X1426" t="s">
        <v>825</v>
      </c>
      <c r="Y1426" s="6" t="s">
        <v>89</v>
      </c>
    </row>
    <row r="1427" spans="2:25" x14ac:dyDescent="0.3">
      <c r="B1427" s="5" t="s">
        <v>583</v>
      </c>
      <c r="C1427" s="5" t="str">
        <f>VLOOKUP(B1427,[1]물질정보!B:C,2,0)</f>
        <v>97-88-1</v>
      </c>
      <c r="D1427" t="str">
        <f>VLOOKUP(B1427,[1]물질정보!B:D,3,0)</f>
        <v>butyl methacrylate</v>
      </c>
      <c r="E1427" t="str">
        <f>VLOOKUP(B1427,[1]물질정보!B:E,4,0)</f>
        <v>C8H14O2</v>
      </c>
      <c r="F1427" t="str">
        <f>VLOOKUP(B1427,[1]물질정보!B:F,5,0)</f>
        <v>142.2 g/mol</v>
      </c>
      <c r="G1427" s="5" t="str">
        <f>VLOOKUP(B1427,[1]물질정보!B:G,6,0)</f>
        <v>CCCCOC(=O)C(=C)C</v>
      </c>
      <c r="I1427" t="s">
        <v>520</v>
      </c>
      <c r="J1427" t="s">
        <v>521</v>
      </c>
      <c r="K1427" t="s">
        <v>584</v>
      </c>
      <c r="R1427" t="s">
        <v>355</v>
      </c>
      <c r="U1427" t="s">
        <v>523</v>
      </c>
      <c r="V1427" s="6" t="s">
        <v>684</v>
      </c>
      <c r="X1427" t="s">
        <v>825</v>
      </c>
      <c r="Y1427" s="6" t="s">
        <v>826</v>
      </c>
    </row>
    <row r="1428" spans="2:25" x14ac:dyDescent="0.3">
      <c r="B1428" s="5" t="s">
        <v>583</v>
      </c>
      <c r="C1428" s="5" t="str">
        <f>VLOOKUP(B1428,[1]물질정보!B:C,2,0)</f>
        <v>97-88-1</v>
      </c>
      <c r="D1428" t="str">
        <f>VLOOKUP(B1428,[1]물질정보!B:D,3,0)</f>
        <v>butyl methacrylate</v>
      </c>
      <c r="E1428" t="str">
        <f>VLOOKUP(B1428,[1]물질정보!B:E,4,0)</f>
        <v>C8H14O2</v>
      </c>
      <c r="F1428" t="str">
        <f>VLOOKUP(B1428,[1]물질정보!B:F,5,0)</f>
        <v>142.2 g/mol</v>
      </c>
      <c r="G1428" s="5" t="str">
        <f>VLOOKUP(B1428,[1]물질정보!B:G,6,0)</f>
        <v>CCCCOC(=O)C(=C)C</v>
      </c>
      <c r="I1428" t="s">
        <v>520</v>
      </c>
      <c r="J1428" t="s">
        <v>521</v>
      </c>
      <c r="K1428" t="s">
        <v>585</v>
      </c>
      <c r="R1428" t="s">
        <v>355</v>
      </c>
      <c r="U1428" t="s">
        <v>525</v>
      </c>
      <c r="V1428" s="6" t="s">
        <v>684</v>
      </c>
      <c r="X1428" t="s">
        <v>825</v>
      </c>
      <c r="Y1428" s="6" t="s">
        <v>826</v>
      </c>
    </row>
    <row r="1429" spans="2:25" x14ac:dyDescent="0.3">
      <c r="B1429" s="5" t="s">
        <v>583</v>
      </c>
      <c r="C1429" s="5" t="str">
        <f>VLOOKUP(B1429,[1]물질정보!B:C,2,0)</f>
        <v>97-88-1</v>
      </c>
      <c r="D1429" t="str">
        <f>VLOOKUP(B1429,[1]물질정보!B:D,3,0)</f>
        <v>butyl methacrylate</v>
      </c>
      <c r="E1429" t="str">
        <f>VLOOKUP(B1429,[1]물질정보!B:E,4,0)</f>
        <v>C8H14O2</v>
      </c>
      <c r="F1429" t="str">
        <f>VLOOKUP(B1429,[1]물질정보!B:F,5,0)</f>
        <v>142.2 g/mol</v>
      </c>
      <c r="G1429" s="5" t="str">
        <f>VLOOKUP(B1429,[1]물질정보!B:G,6,0)</f>
        <v>CCCCOC(=O)C(=C)C</v>
      </c>
      <c r="I1429" t="s">
        <v>520</v>
      </c>
      <c r="J1429" t="s">
        <v>521</v>
      </c>
      <c r="K1429" t="s">
        <v>586</v>
      </c>
      <c r="R1429" t="s">
        <v>355</v>
      </c>
      <c r="U1429" t="s">
        <v>527</v>
      </c>
      <c r="V1429" s="6" t="s">
        <v>684</v>
      </c>
      <c r="X1429" t="s">
        <v>825</v>
      </c>
      <c r="Y1429" s="6" t="s">
        <v>826</v>
      </c>
    </row>
    <row r="1430" spans="2:25" x14ac:dyDescent="0.3">
      <c r="B1430" s="5" t="s">
        <v>583</v>
      </c>
      <c r="C1430" s="5" t="str">
        <f>VLOOKUP(B1430,[1]물질정보!B:C,2,0)</f>
        <v>97-88-1</v>
      </c>
      <c r="D1430" t="str">
        <f>VLOOKUP(B1430,[1]물질정보!B:D,3,0)</f>
        <v>butyl methacrylate</v>
      </c>
      <c r="E1430" t="str">
        <f>VLOOKUP(B1430,[1]물질정보!B:E,4,0)</f>
        <v>C8H14O2</v>
      </c>
      <c r="F1430" t="str">
        <f>VLOOKUP(B1430,[1]물질정보!B:F,5,0)</f>
        <v>142.2 g/mol</v>
      </c>
      <c r="G1430" s="5" t="str">
        <f>VLOOKUP(B1430,[1]물질정보!B:G,6,0)</f>
        <v>CCCCOC(=O)C(=C)C</v>
      </c>
      <c r="I1430" t="s">
        <v>520</v>
      </c>
      <c r="J1430" t="s">
        <v>521</v>
      </c>
      <c r="K1430" t="s">
        <v>587</v>
      </c>
      <c r="R1430" t="s">
        <v>355</v>
      </c>
      <c r="U1430" t="s">
        <v>528</v>
      </c>
      <c r="V1430" s="6" t="s">
        <v>684</v>
      </c>
      <c r="X1430" t="s">
        <v>825</v>
      </c>
      <c r="Y1430" s="6" t="s">
        <v>826</v>
      </c>
    </row>
    <row r="1431" spans="2:25" x14ac:dyDescent="0.3">
      <c r="B1431" s="5" t="s">
        <v>583</v>
      </c>
      <c r="C1431" s="5" t="str">
        <f>VLOOKUP(B1431,[1]물질정보!B:C,2,0)</f>
        <v>97-88-1</v>
      </c>
      <c r="D1431" t="str">
        <f>VLOOKUP(B1431,[1]물질정보!B:D,3,0)</f>
        <v>butyl methacrylate</v>
      </c>
      <c r="E1431" t="str">
        <f>VLOOKUP(B1431,[1]물질정보!B:E,4,0)</f>
        <v>C8H14O2</v>
      </c>
      <c r="F1431" t="str">
        <f>VLOOKUP(B1431,[1]물질정보!B:F,5,0)</f>
        <v>142.2 g/mol</v>
      </c>
      <c r="G1431" s="5" t="str">
        <f>VLOOKUP(B1431,[1]물질정보!B:G,6,0)</f>
        <v>CCCCOC(=O)C(=C)C</v>
      </c>
      <c r="I1431" t="s">
        <v>529</v>
      </c>
      <c r="J1431" s="9" t="s">
        <v>530</v>
      </c>
      <c r="K1431">
        <v>158.38</v>
      </c>
      <c r="L1431" t="s">
        <v>39</v>
      </c>
      <c r="M1431" t="s">
        <v>532</v>
      </c>
      <c r="P1431">
        <v>48</v>
      </c>
      <c r="Q1431" t="s">
        <v>533</v>
      </c>
      <c r="R1431" t="s">
        <v>355</v>
      </c>
      <c r="U1431" t="s">
        <v>523</v>
      </c>
      <c r="V1431" s="6" t="s">
        <v>684</v>
      </c>
      <c r="W1431" t="s">
        <v>532</v>
      </c>
      <c r="X1431" t="s">
        <v>822</v>
      </c>
      <c r="Y1431" s="6" t="s">
        <v>530</v>
      </c>
    </row>
    <row r="1432" spans="2:25" x14ac:dyDescent="0.3">
      <c r="B1432" s="5" t="s">
        <v>583</v>
      </c>
      <c r="C1432" s="5" t="str">
        <f>VLOOKUP(B1432,[1]물질정보!B:C,2,0)</f>
        <v>97-88-1</v>
      </c>
      <c r="D1432" t="str">
        <f>VLOOKUP(B1432,[1]물질정보!B:D,3,0)</f>
        <v>butyl methacrylate</v>
      </c>
      <c r="E1432" t="str">
        <f>VLOOKUP(B1432,[1]물질정보!B:E,4,0)</f>
        <v>C8H14O2</v>
      </c>
      <c r="F1432" t="str">
        <f>VLOOKUP(B1432,[1]물질정보!B:F,5,0)</f>
        <v>142.2 g/mol</v>
      </c>
      <c r="G1432" s="5" t="str">
        <f>VLOOKUP(B1432,[1]물질정보!B:G,6,0)</f>
        <v>CCCCOC(=O)C(=C)C</v>
      </c>
      <c r="I1432" t="s">
        <v>529</v>
      </c>
      <c r="J1432" s="9" t="s">
        <v>530</v>
      </c>
      <c r="K1432">
        <v>119.55</v>
      </c>
      <c r="L1432" t="s">
        <v>39</v>
      </c>
      <c r="M1432" t="s">
        <v>532</v>
      </c>
      <c r="P1432">
        <v>48</v>
      </c>
      <c r="Q1432" t="s">
        <v>533</v>
      </c>
      <c r="R1432" t="s">
        <v>355</v>
      </c>
      <c r="U1432" t="s">
        <v>525</v>
      </c>
      <c r="V1432" s="6" t="s">
        <v>684</v>
      </c>
      <c r="W1432" t="s">
        <v>532</v>
      </c>
      <c r="X1432" t="s">
        <v>822</v>
      </c>
      <c r="Y1432" s="6" t="s">
        <v>530</v>
      </c>
    </row>
    <row r="1433" spans="2:25" x14ac:dyDescent="0.3">
      <c r="B1433" s="5" t="s">
        <v>583</v>
      </c>
      <c r="C1433" s="5" t="str">
        <f>VLOOKUP(B1433,[1]물질정보!B:C,2,0)</f>
        <v>97-88-1</v>
      </c>
      <c r="D1433" t="str">
        <f>VLOOKUP(B1433,[1]물질정보!B:D,3,0)</f>
        <v>butyl methacrylate</v>
      </c>
      <c r="E1433" t="str">
        <f>VLOOKUP(B1433,[1]물질정보!B:E,4,0)</f>
        <v>C8H14O2</v>
      </c>
      <c r="F1433" t="str">
        <f>VLOOKUP(B1433,[1]물질정보!B:F,5,0)</f>
        <v>142.2 g/mol</v>
      </c>
      <c r="G1433" s="5" t="str">
        <f>VLOOKUP(B1433,[1]물질정보!B:G,6,0)</f>
        <v>CCCCOC(=O)C(=C)C</v>
      </c>
      <c r="I1433" t="s">
        <v>529</v>
      </c>
      <c r="J1433" s="9" t="s">
        <v>530</v>
      </c>
      <c r="K1433">
        <v>213.25</v>
      </c>
      <c r="L1433" t="s">
        <v>39</v>
      </c>
      <c r="M1433" t="s">
        <v>532</v>
      </c>
      <c r="P1433">
        <v>48</v>
      </c>
      <c r="Q1433" t="s">
        <v>533</v>
      </c>
      <c r="R1433" t="s">
        <v>355</v>
      </c>
      <c r="U1433" t="s">
        <v>527</v>
      </c>
      <c r="V1433" s="6" t="s">
        <v>684</v>
      </c>
      <c r="W1433" t="s">
        <v>532</v>
      </c>
      <c r="X1433" t="s">
        <v>822</v>
      </c>
      <c r="Y1433" s="6" t="s">
        <v>530</v>
      </c>
    </row>
    <row r="1434" spans="2:25" x14ac:dyDescent="0.3">
      <c r="B1434" s="5" t="s">
        <v>583</v>
      </c>
      <c r="C1434" s="5" t="str">
        <f>VLOOKUP(B1434,[1]물질정보!B:C,2,0)</f>
        <v>97-88-1</v>
      </c>
      <c r="D1434" t="str">
        <f>VLOOKUP(B1434,[1]물질정보!B:D,3,0)</f>
        <v>butyl methacrylate</v>
      </c>
      <c r="E1434" t="str">
        <f>VLOOKUP(B1434,[1]물질정보!B:E,4,0)</f>
        <v>C8H14O2</v>
      </c>
      <c r="F1434" t="str">
        <f>VLOOKUP(B1434,[1]물질정보!B:F,5,0)</f>
        <v>142.2 g/mol</v>
      </c>
      <c r="G1434" s="5" t="str">
        <f>VLOOKUP(B1434,[1]물질정보!B:G,6,0)</f>
        <v>CCCCOC(=O)C(=C)C</v>
      </c>
      <c r="I1434" t="s">
        <v>529</v>
      </c>
      <c r="J1434" s="9" t="s">
        <v>530</v>
      </c>
      <c r="K1434">
        <v>155.83000000000001</v>
      </c>
      <c r="L1434" t="s">
        <v>39</v>
      </c>
      <c r="M1434" t="s">
        <v>532</v>
      </c>
      <c r="P1434">
        <v>48</v>
      </c>
      <c r="Q1434" t="s">
        <v>533</v>
      </c>
      <c r="R1434" t="s">
        <v>355</v>
      </c>
      <c r="U1434" t="s">
        <v>528</v>
      </c>
      <c r="V1434" s="6" t="s">
        <v>684</v>
      </c>
      <c r="W1434" t="s">
        <v>532</v>
      </c>
      <c r="X1434" t="s">
        <v>822</v>
      </c>
      <c r="Y1434" s="6" t="s">
        <v>530</v>
      </c>
    </row>
    <row r="1435" spans="2:25" x14ac:dyDescent="0.3">
      <c r="B1435" s="5" t="s">
        <v>583</v>
      </c>
      <c r="C1435" s="5" t="str">
        <f>VLOOKUP(B1435,[1]물질정보!B:C,2,0)</f>
        <v>97-88-1</v>
      </c>
      <c r="D1435" t="str">
        <f>VLOOKUP(B1435,[1]물질정보!B:D,3,0)</f>
        <v>butyl methacrylate</v>
      </c>
      <c r="E1435" t="str">
        <f>VLOOKUP(B1435,[1]물질정보!B:E,4,0)</f>
        <v>C8H14O2</v>
      </c>
      <c r="F1435" t="str">
        <f>VLOOKUP(B1435,[1]물질정보!B:F,5,0)</f>
        <v>142.2 g/mol</v>
      </c>
      <c r="G1435" s="5" t="str">
        <f>VLOOKUP(B1435,[1]물질정보!B:G,6,0)</f>
        <v>CCCCOC(=O)C(=C)C</v>
      </c>
      <c r="I1435" t="s">
        <v>534</v>
      </c>
      <c r="J1435" t="s">
        <v>535</v>
      </c>
      <c r="K1435">
        <v>7.75</v>
      </c>
      <c r="L1435" t="s">
        <v>39</v>
      </c>
      <c r="M1435" t="s">
        <v>536</v>
      </c>
      <c r="P1435">
        <v>96</v>
      </c>
      <c r="Q1435" t="s">
        <v>533</v>
      </c>
      <c r="R1435" t="s">
        <v>355</v>
      </c>
      <c r="U1435" t="s">
        <v>523</v>
      </c>
      <c r="V1435" s="6" t="s">
        <v>684</v>
      </c>
      <c r="W1435" t="s">
        <v>536</v>
      </c>
      <c r="X1435" t="s">
        <v>823</v>
      </c>
      <c r="Y1435" s="6" t="s">
        <v>49</v>
      </c>
    </row>
    <row r="1436" spans="2:25" x14ac:dyDescent="0.3">
      <c r="B1436" s="5" t="s">
        <v>583</v>
      </c>
      <c r="C1436" s="5" t="str">
        <f>VLOOKUP(B1436,[1]물질정보!B:C,2,0)</f>
        <v>97-88-1</v>
      </c>
      <c r="D1436" t="str">
        <f>VLOOKUP(B1436,[1]물질정보!B:D,3,0)</f>
        <v>butyl methacrylate</v>
      </c>
      <c r="E1436" t="str">
        <f>VLOOKUP(B1436,[1]물질정보!B:E,4,0)</f>
        <v>C8H14O2</v>
      </c>
      <c r="F1436" t="str">
        <f>VLOOKUP(B1436,[1]물질정보!B:F,5,0)</f>
        <v>142.2 g/mol</v>
      </c>
      <c r="G1436" s="5" t="str">
        <f>VLOOKUP(B1436,[1]물질정보!B:G,6,0)</f>
        <v>CCCCOC(=O)C(=C)C</v>
      </c>
      <c r="I1436" t="s">
        <v>534</v>
      </c>
      <c r="J1436" t="s">
        <v>535</v>
      </c>
      <c r="K1436">
        <v>9.1199999999999992</v>
      </c>
      <c r="L1436" t="s">
        <v>39</v>
      </c>
      <c r="M1436" t="s">
        <v>536</v>
      </c>
      <c r="P1436">
        <v>96</v>
      </c>
      <c r="Q1436" t="s">
        <v>533</v>
      </c>
      <c r="R1436" t="s">
        <v>355</v>
      </c>
      <c r="U1436" t="s">
        <v>525</v>
      </c>
      <c r="V1436" s="6" t="s">
        <v>684</v>
      </c>
      <c r="W1436" t="s">
        <v>536</v>
      </c>
      <c r="X1436" t="s">
        <v>823</v>
      </c>
      <c r="Y1436" s="6" t="s">
        <v>49</v>
      </c>
    </row>
    <row r="1437" spans="2:25" x14ac:dyDescent="0.3">
      <c r="B1437" s="5" t="s">
        <v>583</v>
      </c>
      <c r="C1437" s="5" t="str">
        <f>VLOOKUP(B1437,[1]물질정보!B:C,2,0)</f>
        <v>97-88-1</v>
      </c>
      <c r="D1437" t="str">
        <f>VLOOKUP(B1437,[1]물질정보!B:D,3,0)</f>
        <v>butyl methacrylate</v>
      </c>
      <c r="E1437" t="str">
        <f>VLOOKUP(B1437,[1]물질정보!B:E,4,0)</f>
        <v>C8H14O2</v>
      </c>
      <c r="F1437" t="str">
        <f>VLOOKUP(B1437,[1]물질정보!B:F,5,0)</f>
        <v>142.2 g/mol</v>
      </c>
      <c r="G1437" s="5" t="str">
        <f>VLOOKUP(B1437,[1]물질정보!B:G,6,0)</f>
        <v>CCCCOC(=O)C(=C)C</v>
      </c>
      <c r="I1437" t="s">
        <v>534</v>
      </c>
      <c r="J1437" t="s">
        <v>535</v>
      </c>
      <c r="K1437">
        <v>7.63</v>
      </c>
      <c r="L1437" t="s">
        <v>39</v>
      </c>
      <c r="M1437" t="s">
        <v>536</v>
      </c>
      <c r="P1437">
        <v>96</v>
      </c>
      <c r="Q1437" t="s">
        <v>533</v>
      </c>
      <c r="R1437" t="s">
        <v>355</v>
      </c>
      <c r="U1437" t="s">
        <v>527</v>
      </c>
      <c r="V1437" s="6" t="s">
        <v>684</v>
      </c>
      <c r="W1437" t="s">
        <v>536</v>
      </c>
      <c r="X1437" t="s">
        <v>823</v>
      </c>
      <c r="Y1437" s="6" t="s">
        <v>49</v>
      </c>
    </row>
    <row r="1438" spans="2:25" x14ac:dyDescent="0.3">
      <c r="B1438" s="5" t="s">
        <v>583</v>
      </c>
      <c r="C1438" s="5" t="str">
        <f>VLOOKUP(B1438,[1]물질정보!B:C,2,0)</f>
        <v>97-88-1</v>
      </c>
      <c r="D1438" t="str">
        <f>VLOOKUP(B1438,[1]물질정보!B:D,3,0)</f>
        <v>butyl methacrylate</v>
      </c>
      <c r="E1438" t="str">
        <f>VLOOKUP(B1438,[1]물질정보!B:E,4,0)</f>
        <v>C8H14O2</v>
      </c>
      <c r="F1438" t="str">
        <f>VLOOKUP(B1438,[1]물질정보!B:F,5,0)</f>
        <v>142.2 g/mol</v>
      </c>
      <c r="G1438" s="5" t="str">
        <f>VLOOKUP(B1438,[1]물질정보!B:G,6,0)</f>
        <v>CCCCOC(=O)C(=C)C</v>
      </c>
      <c r="I1438" t="s">
        <v>534</v>
      </c>
      <c r="J1438" t="s">
        <v>535</v>
      </c>
      <c r="K1438">
        <v>6.69</v>
      </c>
      <c r="L1438" t="s">
        <v>39</v>
      </c>
      <c r="M1438" t="s">
        <v>536</v>
      </c>
      <c r="P1438">
        <v>96</v>
      </c>
      <c r="Q1438" t="s">
        <v>533</v>
      </c>
      <c r="R1438" t="s">
        <v>355</v>
      </c>
      <c r="U1438" t="s">
        <v>528</v>
      </c>
      <c r="V1438" s="6" t="s">
        <v>684</v>
      </c>
      <c r="W1438" t="s">
        <v>536</v>
      </c>
      <c r="X1438" t="s">
        <v>823</v>
      </c>
      <c r="Y1438" s="6" t="s">
        <v>49</v>
      </c>
    </row>
    <row r="1439" spans="2:25" x14ac:dyDescent="0.3">
      <c r="B1439" s="5" t="s">
        <v>583</v>
      </c>
      <c r="C1439" s="5" t="str">
        <f>VLOOKUP(B1439,[1]물질정보!B:C,2,0)</f>
        <v>97-88-1</v>
      </c>
      <c r="D1439" t="str">
        <f>VLOOKUP(B1439,[1]물질정보!B:D,3,0)</f>
        <v>butyl methacrylate</v>
      </c>
      <c r="E1439" t="str">
        <f>VLOOKUP(B1439,[1]물질정보!B:E,4,0)</f>
        <v>C8H14O2</v>
      </c>
      <c r="F1439" t="str">
        <f>VLOOKUP(B1439,[1]물질정보!B:F,5,0)</f>
        <v>142.2 g/mol</v>
      </c>
      <c r="G1439" s="5" t="str">
        <f>VLOOKUP(B1439,[1]물질정보!B:G,6,0)</f>
        <v>CCCCOC(=O)C(=C)C</v>
      </c>
      <c r="I1439" t="s">
        <v>537</v>
      </c>
      <c r="J1439" t="s">
        <v>535</v>
      </c>
      <c r="K1439">
        <v>13.05</v>
      </c>
      <c r="L1439" t="s">
        <v>39</v>
      </c>
      <c r="M1439" t="s">
        <v>47</v>
      </c>
      <c r="P1439">
        <v>48</v>
      </c>
      <c r="Q1439" t="s">
        <v>533</v>
      </c>
      <c r="R1439" t="s">
        <v>355</v>
      </c>
      <c r="U1439" t="s">
        <v>523</v>
      </c>
      <c r="V1439" s="6" t="s">
        <v>684</v>
      </c>
      <c r="W1439" t="s">
        <v>47</v>
      </c>
      <c r="X1439" t="s">
        <v>822</v>
      </c>
      <c r="Y1439" s="6" t="s">
        <v>49</v>
      </c>
    </row>
    <row r="1440" spans="2:25" x14ac:dyDescent="0.3">
      <c r="B1440" s="5" t="s">
        <v>583</v>
      </c>
      <c r="C1440" s="5" t="str">
        <f>VLOOKUP(B1440,[1]물질정보!B:C,2,0)</f>
        <v>97-88-1</v>
      </c>
      <c r="D1440" t="str">
        <f>VLOOKUP(B1440,[1]물질정보!B:D,3,0)</f>
        <v>butyl methacrylate</v>
      </c>
      <c r="E1440" t="str">
        <f>VLOOKUP(B1440,[1]물질정보!B:E,4,0)</f>
        <v>C8H14O2</v>
      </c>
      <c r="F1440" t="str">
        <f>VLOOKUP(B1440,[1]물질정보!B:F,5,0)</f>
        <v>142.2 g/mol</v>
      </c>
      <c r="G1440" s="5" t="str">
        <f>VLOOKUP(B1440,[1]물질정보!B:G,6,0)</f>
        <v>CCCCOC(=O)C(=C)C</v>
      </c>
      <c r="I1440" t="s">
        <v>537</v>
      </c>
      <c r="J1440" t="s">
        <v>535</v>
      </c>
      <c r="K1440">
        <v>18.82</v>
      </c>
      <c r="L1440" t="s">
        <v>39</v>
      </c>
      <c r="M1440" t="s">
        <v>47</v>
      </c>
      <c r="P1440">
        <v>48</v>
      </c>
      <c r="Q1440" t="s">
        <v>533</v>
      </c>
      <c r="R1440" t="s">
        <v>355</v>
      </c>
      <c r="U1440" t="s">
        <v>525</v>
      </c>
      <c r="V1440" s="6" t="s">
        <v>684</v>
      </c>
      <c r="W1440" t="s">
        <v>47</v>
      </c>
      <c r="X1440" t="s">
        <v>822</v>
      </c>
      <c r="Y1440" s="6" t="s">
        <v>49</v>
      </c>
    </row>
    <row r="1441" spans="2:25" x14ac:dyDescent="0.3">
      <c r="B1441" s="5" t="s">
        <v>583</v>
      </c>
      <c r="C1441" s="5" t="str">
        <f>VLOOKUP(B1441,[1]물질정보!B:C,2,0)</f>
        <v>97-88-1</v>
      </c>
      <c r="D1441" t="str">
        <f>VLOOKUP(B1441,[1]물질정보!B:D,3,0)</f>
        <v>butyl methacrylate</v>
      </c>
      <c r="E1441" t="str">
        <f>VLOOKUP(B1441,[1]물질정보!B:E,4,0)</f>
        <v>C8H14O2</v>
      </c>
      <c r="F1441" t="str">
        <f>VLOOKUP(B1441,[1]물질정보!B:F,5,0)</f>
        <v>142.2 g/mol</v>
      </c>
      <c r="G1441" s="5" t="str">
        <f>VLOOKUP(B1441,[1]물질정보!B:G,6,0)</f>
        <v>CCCCOC(=O)C(=C)C</v>
      </c>
      <c r="I1441" t="s">
        <v>537</v>
      </c>
      <c r="J1441" t="s">
        <v>535</v>
      </c>
      <c r="K1441">
        <v>22.39</v>
      </c>
      <c r="L1441" t="s">
        <v>39</v>
      </c>
      <c r="M1441" t="s">
        <v>47</v>
      </c>
      <c r="P1441">
        <v>48</v>
      </c>
      <c r="Q1441" t="s">
        <v>533</v>
      </c>
      <c r="R1441" t="s">
        <v>355</v>
      </c>
      <c r="U1441" t="s">
        <v>527</v>
      </c>
      <c r="V1441" s="6" t="s">
        <v>684</v>
      </c>
      <c r="W1441" t="s">
        <v>47</v>
      </c>
      <c r="X1441" t="s">
        <v>822</v>
      </c>
      <c r="Y1441" s="6" t="s">
        <v>49</v>
      </c>
    </row>
    <row r="1442" spans="2:25" x14ac:dyDescent="0.3">
      <c r="B1442" s="5" t="s">
        <v>583</v>
      </c>
      <c r="C1442" s="5" t="str">
        <f>VLOOKUP(B1442,[1]물질정보!B:C,2,0)</f>
        <v>97-88-1</v>
      </c>
      <c r="D1442" t="str">
        <f>VLOOKUP(B1442,[1]물질정보!B:D,3,0)</f>
        <v>butyl methacrylate</v>
      </c>
      <c r="E1442" t="str">
        <f>VLOOKUP(B1442,[1]물질정보!B:E,4,0)</f>
        <v>C8H14O2</v>
      </c>
      <c r="F1442" t="str">
        <f>VLOOKUP(B1442,[1]물질정보!B:F,5,0)</f>
        <v>142.2 g/mol</v>
      </c>
      <c r="G1442" s="5" t="str">
        <f>VLOOKUP(B1442,[1]물질정보!B:G,6,0)</f>
        <v>CCCCOC(=O)C(=C)C</v>
      </c>
      <c r="I1442" t="s">
        <v>537</v>
      </c>
      <c r="J1442" t="s">
        <v>535</v>
      </c>
      <c r="K1442">
        <v>5.28</v>
      </c>
      <c r="L1442" t="s">
        <v>39</v>
      </c>
      <c r="M1442" t="s">
        <v>47</v>
      </c>
      <c r="P1442">
        <v>48</v>
      </c>
      <c r="Q1442" t="s">
        <v>533</v>
      </c>
      <c r="R1442" t="s">
        <v>355</v>
      </c>
      <c r="U1442" t="s">
        <v>528</v>
      </c>
      <c r="V1442" s="6" t="s">
        <v>684</v>
      </c>
      <c r="W1442" t="s">
        <v>47</v>
      </c>
      <c r="X1442" t="s">
        <v>822</v>
      </c>
      <c r="Y1442" s="6" t="s">
        <v>49</v>
      </c>
    </row>
    <row r="1443" spans="2:25" x14ac:dyDescent="0.3">
      <c r="B1443" s="5" t="s">
        <v>583</v>
      </c>
      <c r="C1443" s="5" t="str">
        <f>VLOOKUP(B1443,[1]물질정보!B:C,2,0)</f>
        <v>97-88-1</v>
      </c>
      <c r="D1443" t="str">
        <f>VLOOKUP(B1443,[1]물질정보!B:D,3,0)</f>
        <v>butyl methacrylate</v>
      </c>
      <c r="E1443" t="str">
        <f>VLOOKUP(B1443,[1]물질정보!B:E,4,0)</f>
        <v>C8H14O2</v>
      </c>
      <c r="F1443" t="str">
        <f>VLOOKUP(B1443,[1]물질정보!B:F,5,0)</f>
        <v>142.2 g/mol</v>
      </c>
      <c r="G1443" s="5" t="str">
        <f>VLOOKUP(B1443,[1]물질정보!B:G,6,0)</f>
        <v>CCCCOC(=O)C(=C)C</v>
      </c>
      <c r="I1443" t="s">
        <v>494</v>
      </c>
      <c r="J1443" t="s">
        <v>538</v>
      </c>
      <c r="K1443">
        <v>8020.8</v>
      </c>
      <c r="L1443" t="s">
        <v>161</v>
      </c>
      <c r="M1443" t="s">
        <v>495</v>
      </c>
      <c r="R1443" t="s">
        <v>355</v>
      </c>
      <c r="U1443" t="s">
        <v>523</v>
      </c>
      <c r="V1443" s="6" t="s">
        <v>684</v>
      </c>
      <c r="W1443" t="s">
        <v>86</v>
      </c>
      <c r="X1443" t="s">
        <v>825</v>
      </c>
      <c r="Y1443" s="6" t="s">
        <v>81</v>
      </c>
    </row>
    <row r="1444" spans="2:25" x14ac:dyDescent="0.3">
      <c r="B1444" s="5" t="s">
        <v>583</v>
      </c>
      <c r="C1444" s="5" t="str">
        <f>VLOOKUP(B1444,[1]물질정보!B:C,2,0)</f>
        <v>97-88-1</v>
      </c>
      <c r="D1444" t="str">
        <f>VLOOKUP(B1444,[1]물질정보!B:D,3,0)</f>
        <v>butyl methacrylate</v>
      </c>
      <c r="E1444" t="str">
        <f>VLOOKUP(B1444,[1]물질정보!B:E,4,0)</f>
        <v>C8H14O2</v>
      </c>
      <c r="F1444" t="str">
        <f>VLOOKUP(B1444,[1]물질정보!B:F,5,0)</f>
        <v>142.2 g/mol</v>
      </c>
      <c r="G1444" s="5" t="str">
        <f>VLOOKUP(B1444,[1]물질정보!B:G,6,0)</f>
        <v>CCCCOC(=O)C(=C)C</v>
      </c>
      <c r="I1444" t="s">
        <v>494</v>
      </c>
      <c r="J1444" t="s">
        <v>538</v>
      </c>
      <c r="K1444">
        <v>9337.6299999999992</v>
      </c>
      <c r="L1444" t="s">
        <v>161</v>
      </c>
      <c r="M1444" t="s">
        <v>495</v>
      </c>
      <c r="R1444" t="s">
        <v>355</v>
      </c>
      <c r="U1444" t="s">
        <v>525</v>
      </c>
      <c r="V1444" s="6" t="s">
        <v>684</v>
      </c>
      <c r="W1444" t="s">
        <v>86</v>
      </c>
      <c r="X1444" t="s">
        <v>825</v>
      </c>
      <c r="Y1444" s="6" t="s">
        <v>81</v>
      </c>
    </row>
    <row r="1445" spans="2:25" x14ac:dyDescent="0.3">
      <c r="B1445" s="5" t="s">
        <v>583</v>
      </c>
      <c r="C1445" s="5" t="str">
        <f>VLOOKUP(B1445,[1]물질정보!B:C,2,0)</f>
        <v>97-88-1</v>
      </c>
      <c r="D1445" t="str">
        <f>VLOOKUP(B1445,[1]물질정보!B:D,3,0)</f>
        <v>butyl methacrylate</v>
      </c>
      <c r="E1445" t="str">
        <f>VLOOKUP(B1445,[1]물질정보!B:E,4,0)</f>
        <v>C8H14O2</v>
      </c>
      <c r="F1445" t="str">
        <f>VLOOKUP(B1445,[1]물질정보!B:F,5,0)</f>
        <v>142.2 g/mol</v>
      </c>
      <c r="G1445" s="5" t="str">
        <f>VLOOKUP(B1445,[1]물질정보!B:G,6,0)</f>
        <v>CCCCOC(=O)C(=C)C</v>
      </c>
      <c r="I1445" t="s">
        <v>494</v>
      </c>
      <c r="J1445" t="s">
        <v>538</v>
      </c>
      <c r="K1445">
        <v>4879.67</v>
      </c>
      <c r="L1445" t="s">
        <v>161</v>
      </c>
      <c r="M1445" t="s">
        <v>495</v>
      </c>
      <c r="R1445" t="s">
        <v>355</v>
      </c>
      <c r="U1445" t="s">
        <v>527</v>
      </c>
      <c r="V1445" s="6" t="s">
        <v>684</v>
      </c>
      <c r="W1445" t="s">
        <v>86</v>
      </c>
      <c r="X1445" t="s">
        <v>825</v>
      </c>
      <c r="Y1445" s="6" t="s">
        <v>81</v>
      </c>
    </row>
    <row r="1446" spans="2:25" x14ac:dyDescent="0.3">
      <c r="B1446" s="5" t="s">
        <v>583</v>
      </c>
      <c r="C1446" s="5" t="str">
        <f>VLOOKUP(B1446,[1]물질정보!B:C,2,0)</f>
        <v>97-88-1</v>
      </c>
      <c r="D1446" t="str">
        <f>VLOOKUP(B1446,[1]물질정보!B:D,3,0)</f>
        <v>butyl methacrylate</v>
      </c>
      <c r="E1446" t="str">
        <f>VLOOKUP(B1446,[1]물질정보!B:E,4,0)</f>
        <v>C8H14O2</v>
      </c>
      <c r="F1446" t="str">
        <f>VLOOKUP(B1446,[1]물질정보!B:F,5,0)</f>
        <v>142.2 g/mol</v>
      </c>
      <c r="G1446" s="5" t="str">
        <f>VLOOKUP(B1446,[1]물질정보!B:G,6,0)</f>
        <v>CCCCOC(=O)C(=C)C</v>
      </c>
      <c r="I1446" t="s">
        <v>494</v>
      </c>
      <c r="J1446" t="s">
        <v>538</v>
      </c>
      <c r="K1446">
        <v>11324.68</v>
      </c>
      <c r="L1446" t="s">
        <v>161</v>
      </c>
      <c r="M1446" t="s">
        <v>495</v>
      </c>
      <c r="R1446" t="s">
        <v>355</v>
      </c>
      <c r="U1446" t="s">
        <v>528</v>
      </c>
      <c r="V1446" s="6" t="s">
        <v>684</v>
      </c>
      <c r="W1446" t="s">
        <v>86</v>
      </c>
      <c r="X1446" t="s">
        <v>825</v>
      </c>
      <c r="Y1446" s="6" t="s">
        <v>81</v>
      </c>
    </row>
    <row r="1447" spans="2:25" x14ac:dyDescent="0.3">
      <c r="B1447" s="5" t="s">
        <v>583</v>
      </c>
      <c r="C1447" s="5" t="str">
        <f>VLOOKUP(B1447,[1]물질정보!B:C,2,0)</f>
        <v>97-88-1</v>
      </c>
      <c r="D1447" t="str">
        <f>VLOOKUP(B1447,[1]물질정보!B:D,3,0)</f>
        <v>butyl methacrylate</v>
      </c>
      <c r="E1447" t="str">
        <f>VLOOKUP(B1447,[1]물질정보!B:E,4,0)</f>
        <v>C8H14O2</v>
      </c>
      <c r="F1447" t="str">
        <f>VLOOKUP(B1447,[1]물질정보!B:F,5,0)</f>
        <v>142.2 g/mol</v>
      </c>
      <c r="G1447" s="5" t="str">
        <f>VLOOKUP(B1447,[1]물질정보!B:G,6,0)</f>
        <v>CCCCOC(=O)C(=C)C</v>
      </c>
      <c r="I1447" t="s">
        <v>540</v>
      </c>
      <c r="J1447" t="s">
        <v>541</v>
      </c>
      <c r="K1447" t="s">
        <v>585</v>
      </c>
      <c r="M1447" t="s">
        <v>543</v>
      </c>
      <c r="N1447" t="s">
        <v>544</v>
      </c>
      <c r="R1447" t="s">
        <v>355</v>
      </c>
      <c r="U1447" t="s">
        <v>523</v>
      </c>
      <c r="V1447" s="6" t="s">
        <v>684</v>
      </c>
      <c r="W1447" t="s">
        <v>83</v>
      </c>
      <c r="X1447" t="s">
        <v>825</v>
      </c>
      <c r="Y1447" s="6" t="s">
        <v>827</v>
      </c>
    </row>
    <row r="1448" spans="2:25" x14ac:dyDescent="0.3">
      <c r="B1448" s="5" t="s">
        <v>583</v>
      </c>
      <c r="C1448" s="5" t="str">
        <f>VLOOKUP(B1448,[1]물질정보!B:C,2,0)</f>
        <v>97-88-1</v>
      </c>
      <c r="D1448" t="str">
        <f>VLOOKUP(B1448,[1]물질정보!B:D,3,0)</f>
        <v>butyl methacrylate</v>
      </c>
      <c r="E1448" t="str">
        <f>VLOOKUP(B1448,[1]물질정보!B:E,4,0)</f>
        <v>C8H14O2</v>
      </c>
      <c r="F1448" t="str">
        <f>VLOOKUP(B1448,[1]물질정보!B:F,5,0)</f>
        <v>142.2 g/mol</v>
      </c>
      <c r="G1448" s="5" t="str">
        <f>VLOOKUP(B1448,[1]물질정보!B:G,6,0)</f>
        <v>CCCCOC(=O)C(=C)C</v>
      </c>
      <c r="I1448" t="s">
        <v>540</v>
      </c>
      <c r="J1448" t="s">
        <v>541</v>
      </c>
      <c r="K1448" t="s">
        <v>588</v>
      </c>
      <c r="M1448" t="s">
        <v>543</v>
      </c>
      <c r="N1448" t="s">
        <v>544</v>
      </c>
      <c r="R1448" t="s">
        <v>355</v>
      </c>
      <c r="U1448" t="s">
        <v>525</v>
      </c>
      <c r="V1448" s="6" t="s">
        <v>684</v>
      </c>
      <c r="W1448" t="s">
        <v>83</v>
      </c>
      <c r="X1448" t="s">
        <v>825</v>
      </c>
      <c r="Y1448" s="6" t="s">
        <v>827</v>
      </c>
    </row>
    <row r="1449" spans="2:25" x14ac:dyDescent="0.3">
      <c r="B1449" s="5" t="s">
        <v>583</v>
      </c>
      <c r="C1449" s="5" t="str">
        <f>VLOOKUP(B1449,[1]물질정보!B:C,2,0)</f>
        <v>97-88-1</v>
      </c>
      <c r="D1449" t="str">
        <f>VLOOKUP(B1449,[1]물질정보!B:D,3,0)</f>
        <v>butyl methacrylate</v>
      </c>
      <c r="E1449" t="str">
        <f>VLOOKUP(B1449,[1]물질정보!B:E,4,0)</f>
        <v>C8H14O2</v>
      </c>
      <c r="F1449" t="str">
        <f>VLOOKUP(B1449,[1]물질정보!B:F,5,0)</f>
        <v>142.2 g/mol</v>
      </c>
      <c r="G1449" s="5" t="str">
        <f>VLOOKUP(B1449,[1]물질정보!B:G,6,0)</f>
        <v>CCCCOC(=O)C(=C)C</v>
      </c>
      <c r="I1449" t="s">
        <v>540</v>
      </c>
      <c r="J1449" t="s">
        <v>541</v>
      </c>
      <c r="K1449" t="s">
        <v>589</v>
      </c>
      <c r="M1449" t="s">
        <v>543</v>
      </c>
      <c r="N1449" t="s">
        <v>544</v>
      </c>
      <c r="R1449" t="s">
        <v>355</v>
      </c>
      <c r="U1449" t="s">
        <v>527</v>
      </c>
      <c r="V1449" s="6" t="s">
        <v>684</v>
      </c>
      <c r="W1449" t="s">
        <v>83</v>
      </c>
      <c r="X1449" t="s">
        <v>825</v>
      </c>
      <c r="Y1449" s="6" t="s">
        <v>827</v>
      </c>
    </row>
    <row r="1450" spans="2:25" x14ac:dyDescent="0.3">
      <c r="B1450" s="5" t="s">
        <v>583</v>
      </c>
      <c r="C1450" s="5" t="str">
        <f>VLOOKUP(B1450,[1]물질정보!B:C,2,0)</f>
        <v>97-88-1</v>
      </c>
      <c r="D1450" t="str">
        <f>VLOOKUP(B1450,[1]물질정보!B:D,3,0)</f>
        <v>butyl methacrylate</v>
      </c>
      <c r="E1450" t="str">
        <f>VLOOKUP(B1450,[1]물질정보!B:E,4,0)</f>
        <v>C8H14O2</v>
      </c>
      <c r="F1450" t="str">
        <f>VLOOKUP(B1450,[1]물질정보!B:F,5,0)</f>
        <v>142.2 g/mol</v>
      </c>
      <c r="G1450" s="5" t="str">
        <f>VLOOKUP(B1450,[1]물질정보!B:G,6,0)</f>
        <v>CCCCOC(=O)C(=C)C</v>
      </c>
      <c r="I1450" t="s">
        <v>540</v>
      </c>
      <c r="J1450" t="s">
        <v>541</v>
      </c>
      <c r="K1450" t="s">
        <v>590</v>
      </c>
      <c r="M1450" t="s">
        <v>543</v>
      </c>
      <c r="N1450" t="s">
        <v>544</v>
      </c>
      <c r="R1450" t="s">
        <v>355</v>
      </c>
      <c r="U1450" t="s">
        <v>528</v>
      </c>
      <c r="V1450" s="6" t="s">
        <v>684</v>
      </c>
      <c r="W1450" t="s">
        <v>83</v>
      </c>
      <c r="X1450" t="s">
        <v>825</v>
      </c>
      <c r="Y1450" s="6" t="s">
        <v>827</v>
      </c>
    </row>
    <row r="1451" spans="2:25" x14ac:dyDescent="0.3">
      <c r="B1451" s="5" t="s">
        <v>583</v>
      </c>
      <c r="C1451" s="5" t="str">
        <f>VLOOKUP(B1451,[1]물질정보!B:C,2,0)</f>
        <v>97-88-1</v>
      </c>
      <c r="D1451" t="str">
        <f>VLOOKUP(B1451,[1]물질정보!B:D,3,0)</f>
        <v>butyl methacrylate</v>
      </c>
      <c r="E1451" t="str">
        <f>VLOOKUP(B1451,[1]물질정보!B:E,4,0)</f>
        <v>C8H14O2</v>
      </c>
      <c r="F1451" t="str">
        <f>VLOOKUP(B1451,[1]물질정보!B:F,5,0)</f>
        <v>142.2 g/mol</v>
      </c>
      <c r="G1451" s="5" t="str">
        <f>VLOOKUP(B1451,[1]물질정보!B:G,6,0)</f>
        <v>CCCCOC(=O)C(=C)C</v>
      </c>
      <c r="I1451" t="s">
        <v>137</v>
      </c>
      <c r="J1451" t="s">
        <v>498</v>
      </c>
      <c r="K1451" t="s">
        <v>591</v>
      </c>
      <c r="R1451" t="s">
        <v>355</v>
      </c>
      <c r="U1451" t="s">
        <v>523</v>
      </c>
      <c r="V1451" s="6" t="s">
        <v>684</v>
      </c>
      <c r="X1451" t="s">
        <v>825</v>
      </c>
      <c r="Y1451" s="6" t="s">
        <v>89</v>
      </c>
    </row>
    <row r="1452" spans="2:25" x14ac:dyDescent="0.3">
      <c r="B1452" s="5" t="s">
        <v>583</v>
      </c>
      <c r="C1452" s="5" t="str">
        <f>VLOOKUP(B1452,[1]물질정보!B:C,2,0)</f>
        <v>97-88-1</v>
      </c>
      <c r="D1452" t="str">
        <f>VLOOKUP(B1452,[1]물질정보!B:D,3,0)</f>
        <v>butyl methacrylate</v>
      </c>
      <c r="E1452" t="str">
        <f>VLOOKUP(B1452,[1]물질정보!B:E,4,0)</f>
        <v>C8H14O2</v>
      </c>
      <c r="F1452" t="str">
        <f>VLOOKUP(B1452,[1]물질정보!B:F,5,0)</f>
        <v>142.2 g/mol</v>
      </c>
      <c r="G1452" s="5" t="str">
        <f>VLOOKUP(B1452,[1]물질정보!B:G,6,0)</f>
        <v>CCCCOC(=O)C(=C)C</v>
      </c>
      <c r="I1452" t="s">
        <v>137</v>
      </c>
      <c r="J1452" t="s">
        <v>498</v>
      </c>
      <c r="K1452" t="s">
        <v>592</v>
      </c>
      <c r="R1452" t="s">
        <v>355</v>
      </c>
      <c r="U1452" t="s">
        <v>525</v>
      </c>
      <c r="V1452" s="6" t="s">
        <v>684</v>
      </c>
      <c r="X1452" t="s">
        <v>825</v>
      </c>
      <c r="Y1452" s="6" t="s">
        <v>89</v>
      </c>
    </row>
    <row r="1453" spans="2:25" x14ac:dyDescent="0.3">
      <c r="B1453" s="5" t="s">
        <v>583</v>
      </c>
      <c r="C1453" s="5" t="str">
        <f>VLOOKUP(B1453,[1]물질정보!B:C,2,0)</f>
        <v>97-88-1</v>
      </c>
      <c r="D1453" t="str">
        <f>VLOOKUP(B1453,[1]물질정보!B:D,3,0)</f>
        <v>butyl methacrylate</v>
      </c>
      <c r="E1453" t="str">
        <f>VLOOKUP(B1453,[1]물질정보!B:E,4,0)</f>
        <v>C8H14O2</v>
      </c>
      <c r="F1453" t="str">
        <f>VLOOKUP(B1453,[1]물질정보!B:F,5,0)</f>
        <v>142.2 g/mol</v>
      </c>
      <c r="G1453" s="5" t="str">
        <f>VLOOKUP(B1453,[1]물질정보!B:G,6,0)</f>
        <v>CCCCOC(=O)C(=C)C</v>
      </c>
      <c r="I1453" t="s">
        <v>137</v>
      </c>
      <c r="J1453" t="s">
        <v>498</v>
      </c>
      <c r="K1453" t="s">
        <v>560</v>
      </c>
      <c r="R1453" t="s">
        <v>355</v>
      </c>
      <c r="U1453" t="s">
        <v>527</v>
      </c>
      <c r="V1453" s="6" t="s">
        <v>684</v>
      </c>
      <c r="X1453" t="s">
        <v>825</v>
      </c>
      <c r="Y1453" s="6" t="s">
        <v>89</v>
      </c>
    </row>
    <row r="1454" spans="2:25" x14ac:dyDescent="0.3">
      <c r="B1454" s="5" t="s">
        <v>583</v>
      </c>
      <c r="C1454" s="5" t="str">
        <f>VLOOKUP(B1454,[1]물질정보!B:C,2,0)</f>
        <v>97-88-1</v>
      </c>
      <c r="D1454" t="str">
        <f>VLOOKUP(B1454,[1]물질정보!B:D,3,0)</f>
        <v>butyl methacrylate</v>
      </c>
      <c r="E1454" t="str">
        <f>VLOOKUP(B1454,[1]물질정보!B:E,4,0)</f>
        <v>C8H14O2</v>
      </c>
      <c r="F1454" t="str">
        <f>VLOOKUP(B1454,[1]물질정보!B:F,5,0)</f>
        <v>142.2 g/mol</v>
      </c>
      <c r="G1454" s="5" t="str">
        <f>VLOOKUP(B1454,[1]물질정보!B:G,6,0)</f>
        <v>CCCCOC(=O)C(=C)C</v>
      </c>
      <c r="I1454" t="s">
        <v>137</v>
      </c>
      <c r="J1454" t="s">
        <v>498</v>
      </c>
      <c r="K1454" t="s">
        <v>593</v>
      </c>
      <c r="R1454" t="s">
        <v>355</v>
      </c>
      <c r="U1454" t="s">
        <v>528</v>
      </c>
      <c r="V1454" s="6" t="s">
        <v>684</v>
      </c>
      <c r="X1454" t="s">
        <v>825</v>
      </c>
      <c r="Y1454" s="6" t="s">
        <v>89</v>
      </c>
    </row>
    <row r="1455" spans="2:25" x14ac:dyDescent="0.3">
      <c r="B1455" s="5" t="s">
        <v>594</v>
      </c>
      <c r="C1455" s="5" t="str">
        <f>VLOOKUP(B1455,[1]물질정보!B:C,2,0)</f>
        <v>997-46-6</v>
      </c>
      <c r="D1455" t="str">
        <f>VLOOKUP(B1455,[1]물질정보!B:D,3,0)</f>
        <v>4-hydroxybutyl methacrylate</v>
      </c>
      <c r="E1455" t="str">
        <f>VLOOKUP(B1455,[1]물질정보!B:E,4,0)</f>
        <v>C8H14O3</v>
      </c>
      <c r="F1455" t="str">
        <f>VLOOKUP(B1455,[1]물질정보!B:F,5,0)</f>
        <v>158.19 g/mol</v>
      </c>
      <c r="G1455" s="5" t="str">
        <f>VLOOKUP(B1455,[1]물질정보!B:G,6,0)</f>
        <v>CC(=C)C(=O)OCCCCO</v>
      </c>
      <c r="I1455" t="s">
        <v>520</v>
      </c>
      <c r="J1455" t="s">
        <v>521</v>
      </c>
      <c r="K1455" t="s">
        <v>564</v>
      </c>
      <c r="R1455" t="s">
        <v>355</v>
      </c>
      <c r="U1455" t="s">
        <v>523</v>
      </c>
      <c r="V1455" s="6" t="s">
        <v>684</v>
      </c>
      <c r="X1455" t="s">
        <v>825</v>
      </c>
      <c r="Y1455" s="6" t="s">
        <v>826</v>
      </c>
    </row>
    <row r="1456" spans="2:25" x14ac:dyDescent="0.3">
      <c r="B1456" s="5" t="s">
        <v>594</v>
      </c>
      <c r="C1456" s="5" t="str">
        <f>VLOOKUP(B1456,[1]물질정보!B:C,2,0)</f>
        <v>997-46-6</v>
      </c>
      <c r="D1456" t="str">
        <f>VLOOKUP(B1456,[1]물질정보!B:D,3,0)</f>
        <v>4-hydroxybutyl methacrylate</v>
      </c>
      <c r="E1456" t="str">
        <f>VLOOKUP(B1456,[1]물질정보!B:E,4,0)</f>
        <v>C8H14O3</v>
      </c>
      <c r="F1456" t="str">
        <f>VLOOKUP(B1456,[1]물질정보!B:F,5,0)</f>
        <v>158.19 g/mol</v>
      </c>
      <c r="G1456" s="5" t="str">
        <f>VLOOKUP(B1456,[1]물질정보!B:G,6,0)</f>
        <v>CC(=C)C(=O)OCCCCO</v>
      </c>
      <c r="I1456" t="s">
        <v>520</v>
      </c>
      <c r="J1456" t="s">
        <v>521</v>
      </c>
      <c r="K1456" t="s">
        <v>567</v>
      </c>
      <c r="R1456" t="s">
        <v>355</v>
      </c>
      <c r="U1456" t="s">
        <v>525</v>
      </c>
      <c r="V1456" s="6" t="s">
        <v>684</v>
      </c>
      <c r="X1456" t="s">
        <v>825</v>
      </c>
      <c r="Y1456" s="6" t="s">
        <v>826</v>
      </c>
    </row>
    <row r="1457" spans="2:25" x14ac:dyDescent="0.3">
      <c r="B1457" s="5" t="s">
        <v>594</v>
      </c>
      <c r="C1457" s="5" t="str">
        <f>VLOOKUP(B1457,[1]물질정보!B:C,2,0)</f>
        <v>997-46-6</v>
      </c>
      <c r="D1457" t="str">
        <f>VLOOKUP(B1457,[1]물질정보!B:D,3,0)</f>
        <v>4-hydroxybutyl methacrylate</v>
      </c>
      <c r="E1457" t="str">
        <f>VLOOKUP(B1457,[1]물질정보!B:E,4,0)</f>
        <v>C8H14O3</v>
      </c>
      <c r="F1457" t="str">
        <f>VLOOKUP(B1457,[1]물질정보!B:F,5,0)</f>
        <v>158.19 g/mol</v>
      </c>
      <c r="G1457" s="5" t="str">
        <f>VLOOKUP(B1457,[1]물질정보!B:G,6,0)</f>
        <v>CC(=C)C(=O)OCCCCO</v>
      </c>
      <c r="I1457" t="s">
        <v>520</v>
      </c>
      <c r="J1457" t="s">
        <v>521</v>
      </c>
      <c r="K1457" t="s">
        <v>575</v>
      </c>
      <c r="R1457" t="s">
        <v>355</v>
      </c>
      <c r="U1457" t="s">
        <v>527</v>
      </c>
      <c r="V1457" s="6" t="s">
        <v>684</v>
      </c>
      <c r="X1457" t="s">
        <v>825</v>
      </c>
      <c r="Y1457" s="6" t="s">
        <v>826</v>
      </c>
    </row>
    <row r="1458" spans="2:25" x14ac:dyDescent="0.3">
      <c r="B1458" s="5" t="s">
        <v>594</v>
      </c>
      <c r="C1458" s="5" t="str">
        <f>VLOOKUP(B1458,[1]물질정보!B:C,2,0)</f>
        <v>997-46-6</v>
      </c>
      <c r="D1458" t="str">
        <f>VLOOKUP(B1458,[1]물질정보!B:D,3,0)</f>
        <v>4-hydroxybutyl methacrylate</v>
      </c>
      <c r="E1458" t="str">
        <f>VLOOKUP(B1458,[1]물질정보!B:E,4,0)</f>
        <v>C8H14O3</v>
      </c>
      <c r="F1458" t="str">
        <f>VLOOKUP(B1458,[1]물질정보!B:F,5,0)</f>
        <v>158.19 g/mol</v>
      </c>
      <c r="G1458" s="5" t="str">
        <f>VLOOKUP(B1458,[1]물질정보!B:G,6,0)</f>
        <v>CC(=C)C(=O)OCCCCO</v>
      </c>
      <c r="I1458" t="s">
        <v>520</v>
      </c>
      <c r="J1458" t="s">
        <v>521</v>
      </c>
      <c r="K1458" t="s">
        <v>576</v>
      </c>
      <c r="R1458" t="s">
        <v>355</v>
      </c>
      <c r="U1458" t="s">
        <v>528</v>
      </c>
      <c r="V1458" s="6" t="s">
        <v>684</v>
      </c>
      <c r="X1458" t="s">
        <v>825</v>
      </c>
      <c r="Y1458" s="6" t="s">
        <v>826</v>
      </c>
    </row>
    <row r="1459" spans="2:25" x14ac:dyDescent="0.3">
      <c r="B1459" s="5" t="s">
        <v>594</v>
      </c>
      <c r="C1459" s="5" t="str">
        <f>VLOOKUP(B1459,[1]물질정보!B:C,2,0)</f>
        <v>997-46-6</v>
      </c>
      <c r="D1459" t="str">
        <f>VLOOKUP(B1459,[1]물질정보!B:D,3,0)</f>
        <v>4-hydroxybutyl methacrylate</v>
      </c>
      <c r="E1459" t="str">
        <f>VLOOKUP(B1459,[1]물질정보!B:E,4,0)</f>
        <v>C8H14O3</v>
      </c>
      <c r="F1459" t="str">
        <f>VLOOKUP(B1459,[1]물질정보!B:F,5,0)</f>
        <v>158.19 g/mol</v>
      </c>
      <c r="G1459" s="5" t="str">
        <f>VLOOKUP(B1459,[1]물질정보!B:G,6,0)</f>
        <v>CC(=C)C(=O)OCCCCO</v>
      </c>
      <c r="I1459" t="s">
        <v>529</v>
      </c>
      <c r="J1459" s="9" t="s">
        <v>530</v>
      </c>
      <c r="K1459">
        <v>1413.54</v>
      </c>
      <c r="L1459" t="s">
        <v>39</v>
      </c>
      <c r="M1459" t="s">
        <v>532</v>
      </c>
      <c r="P1459">
        <v>48</v>
      </c>
      <c r="Q1459" t="s">
        <v>533</v>
      </c>
      <c r="R1459" t="s">
        <v>355</v>
      </c>
      <c r="U1459" t="s">
        <v>523</v>
      </c>
      <c r="V1459" s="6" t="s">
        <v>684</v>
      </c>
      <c r="W1459" t="s">
        <v>532</v>
      </c>
      <c r="X1459" t="s">
        <v>822</v>
      </c>
      <c r="Y1459" s="6" t="s">
        <v>530</v>
      </c>
    </row>
    <row r="1460" spans="2:25" x14ac:dyDescent="0.3">
      <c r="B1460" s="5" t="s">
        <v>594</v>
      </c>
      <c r="C1460" s="5" t="str">
        <f>VLOOKUP(B1460,[1]물질정보!B:C,2,0)</f>
        <v>997-46-6</v>
      </c>
      <c r="D1460" t="str">
        <f>VLOOKUP(B1460,[1]물질정보!B:D,3,0)</f>
        <v>4-hydroxybutyl methacrylate</v>
      </c>
      <c r="E1460" t="str">
        <f>VLOOKUP(B1460,[1]물질정보!B:E,4,0)</f>
        <v>C8H14O3</v>
      </c>
      <c r="F1460" t="str">
        <f>VLOOKUP(B1460,[1]물질정보!B:F,5,0)</f>
        <v>158.19 g/mol</v>
      </c>
      <c r="G1460" s="5" t="str">
        <f>VLOOKUP(B1460,[1]물질정보!B:G,6,0)</f>
        <v>CC(=C)C(=O)OCCCCO</v>
      </c>
      <c r="I1460" t="s">
        <v>529</v>
      </c>
      <c r="J1460" s="9" t="s">
        <v>530</v>
      </c>
      <c r="K1460">
        <v>1411.4</v>
      </c>
      <c r="L1460" t="s">
        <v>39</v>
      </c>
      <c r="M1460" t="s">
        <v>532</v>
      </c>
      <c r="P1460">
        <v>48</v>
      </c>
      <c r="Q1460" t="s">
        <v>533</v>
      </c>
      <c r="R1460" t="s">
        <v>355</v>
      </c>
      <c r="U1460" t="s">
        <v>525</v>
      </c>
      <c r="V1460" s="6" t="s">
        <v>684</v>
      </c>
      <c r="W1460" t="s">
        <v>532</v>
      </c>
      <c r="X1460" t="s">
        <v>822</v>
      </c>
      <c r="Y1460" s="6" t="s">
        <v>530</v>
      </c>
    </row>
    <row r="1461" spans="2:25" x14ac:dyDescent="0.3">
      <c r="B1461" s="5" t="s">
        <v>594</v>
      </c>
      <c r="C1461" s="5" t="str">
        <f>VLOOKUP(B1461,[1]물질정보!B:C,2,0)</f>
        <v>997-46-6</v>
      </c>
      <c r="D1461" t="str">
        <f>VLOOKUP(B1461,[1]물질정보!B:D,3,0)</f>
        <v>4-hydroxybutyl methacrylate</v>
      </c>
      <c r="E1461" t="str">
        <f>VLOOKUP(B1461,[1]물질정보!B:E,4,0)</f>
        <v>C8H14O3</v>
      </c>
      <c r="F1461" t="str">
        <f>VLOOKUP(B1461,[1]물질정보!B:F,5,0)</f>
        <v>158.19 g/mol</v>
      </c>
      <c r="G1461" s="5" t="str">
        <f>VLOOKUP(B1461,[1]물질정보!B:G,6,0)</f>
        <v>CC(=C)C(=O)OCCCCO</v>
      </c>
      <c r="I1461" t="s">
        <v>529</v>
      </c>
      <c r="J1461" s="9" t="s">
        <v>530</v>
      </c>
      <c r="K1461">
        <v>1363.25</v>
      </c>
      <c r="L1461" t="s">
        <v>39</v>
      </c>
      <c r="M1461" t="s">
        <v>532</v>
      </c>
      <c r="P1461">
        <v>48</v>
      </c>
      <c r="Q1461" t="s">
        <v>533</v>
      </c>
      <c r="R1461" t="s">
        <v>355</v>
      </c>
      <c r="U1461" t="s">
        <v>527</v>
      </c>
      <c r="V1461" s="6" t="s">
        <v>684</v>
      </c>
      <c r="W1461" t="s">
        <v>532</v>
      </c>
      <c r="X1461" t="s">
        <v>822</v>
      </c>
      <c r="Y1461" s="6" t="s">
        <v>530</v>
      </c>
    </row>
    <row r="1462" spans="2:25" x14ac:dyDescent="0.3">
      <c r="B1462" s="5" t="s">
        <v>594</v>
      </c>
      <c r="C1462" s="5" t="str">
        <f>VLOOKUP(B1462,[1]물질정보!B:C,2,0)</f>
        <v>997-46-6</v>
      </c>
      <c r="D1462" t="str">
        <f>VLOOKUP(B1462,[1]물질정보!B:D,3,0)</f>
        <v>4-hydroxybutyl methacrylate</v>
      </c>
      <c r="E1462" t="str">
        <f>VLOOKUP(B1462,[1]물질정보!B:E,4,0)</f>
        <v>C8H14O3</v>
      </c>
      <c r="F1462" t="str">
        <f>VLOOKUP(B1462,[1]물질정보!B:F,5,0)</f>
        <v>158.19 g/mol</v>
      </c>
      <c r="G1462" s="5" t="str">
        <f>VLOOKUP(B1462,[1]물질정보!B:G,6,0)</f>
        <v>CC(=C)C(=O)OCCCCO</v>
      </c>
      <c r="I1462" t="s">
        <v>529</v>
      </c>
      <c r="J1462" s="9" t="s">
        <v>530</v>
      </c>
      <c r="K1462">
        <v>1467.92</v>
      </c>
      <c r="L1462" t="s">
        <v>39</v>
      </c>
      <c r="M1462" t="s">
        <v>532</v>
      </c>
      <c r="P1462">
        <v>48</v>
      </c>
      <c r="Q1462" t="s">
        <v>533</v>
      </c>
      <c r="R1462" t="s">
        <v>355</v>
      </c>
      <c r="U1462" t="s">
        <v>528</v>
      </c>
      <c r="V1462" s="6" t="s">
        <v>684</v>
      </c>
      <c r="W1462" t="s">
        <v>532</v>
      </c>
      <c r="X1462" t="s">
        <v>822</v>
      </c>
      <c r="Y1462" s="6" t="s">
        <v>530</v>
      </c>
    </row>
    <row r="1463" spans="2:25" x14ac:dyDescent="0.3">
      <c r="B1463" s="5" t="s">
        <v>594</v>
      </c>
      <c r="C1463" s="5" t="str">
        <f>VLOOKUP(B1463,[1]물질정보!B:C,2,0)</f>
        <v>997-46-6</v>
      </c>
      <c r="D1463" t="str">
        <f>VLOOKUP(B1463,[1]물질정보!B:D,3,0)</f>
        <v>4-hydroxybutyl methacrylate</v>
      </c>
      <c r="E1463" t="str">
        <f>VLOOKUP(B1463,[1]물질정보!B:E,4,0)</f>
        <v>C8H14O3</v>
      </c>
      <c r="F1463" t="str">
        <f>VLOOKUP(B1463,[1]물질정보!B:F,5,0)</f>
        <v>158.19 g/mol</v>
      </c>
      <c r="G1463" s="5" t="str">
        <f>VLOOKUP(B1463,[1]물질정보!B:G,6,0)</f>
        <v>CC(=C)C(=O)OCCCCO</v>
      </c>
      <c r="I1463" t="s">
        <v>534</v>
      </c>
      <c r="J1463" t="s">
        <v>535</v>
      </c>
      <c r="K1463">
        <v>123.26</v>
      </c>
      <c r="L1463" t="s">
        <v>39</v>
      </c>
      <c r="M1463" t="s">
        <v>536</v>
      </c>
      <c r="P1463">
        <v>96</v>
      </c>
      <c r="Q1463" t="s">
        <v>533</v>
      </c>
      <c r="R1463" t="s">
        <v>355</v>
      </c>
      <c r="U1463" t="s">
        <v>523</v>
      </c>
      <c r="V1463" s="6" t="s">
        <v>684</v>
      </c>
      <c r="W1463" t="s">
        <v>536</v>
      </c>
      <c r="X1463" t="s">
        <v>823</v>
      </c>
      <c r="Y1463" s="6" t="s">
        <v>49</v>
      </c>
    </row>
    <row r="1464" spans="2:25" x14ac:dyDescent="0.3">
      <c r="B1464" s="5" t="s">
        <v>594</v>
      </c>
      <c r="C1464" s="5" t="str">
        <f>VLOOKUP(B1464,[1]물질정보!B:C,2,0)</f>
        <v>997-46-6</v>
      </c>
      <c r="D1464" t="str">
        <f>VLOOKUP(B1464,[1]물질정보!B:D,3,0)</f>
        <v>4-hydroxybutyl methacrylate</v>
      </c>
      <c r="E1464" t="str">
        <f>VLOOKUP(B1464,[1]물질정보!B:E,4,0)</f>
        <v>C8H14O3</v>
      </c>
      <c r="F1464" t="str">
        <f>VLOOKUP(B1464,[1]물질정보!B:F,5,0)</f>
        <v>158.19 g/mol</v>
      </c>
      <c r="G1464" s="5" t="str">
        <f>VLOOKUP(B1464,[1]물질정보!B:G,6,0)</f>
        <v>CC(=C)C(=O)OCCCCO</v>
      </c>
      <c r="I1464" t="s">
        <v>534</v>
      </c>
      <c r="J1464" t="s">
        <v>535</v>
      </c>
      <c r="K1464">
        <v>94.27</v>
      </c>
      <c r="L1464" t="s">
        <v>39</v>
      </c>
      <c r="M1464" t="s">
        <v>536</v>
      </c>
      <c r="P1464">
        <v>96</v>
      </c>
      <c r="Q1464" t="s">
        <v>533</v>
      </c>
      <c r="R1464" t="s">
        <v>355</v>
      </c>
      <c r="U1464" t="s">
        <v>525</v>
      </c>
      <c r="V1464" s="6" t="s">
        <v>684</v>
      </c>
      <c r="W1464" t="s">
        <v>536</v>
      </c>
      <c r="X1464" t="s">
        <v>823</v>
      </c>
      <c r="Y1464" s="6" t="s">
        <v>49</v>
      </c>
    </row>
    <row r="1465" spans="2:25" x14ac:dyDescent="0.3">
      <c r="B1465" s="5" t="s">
        <v>594</v>
      </c>
      <c r="C1465" s="5" t="str">
        <f>VLOOKUP(B1465,[1]물질정보!B:C,2,0)</f>
        <v>997-46-6</v>
      </c>
      <c r="D1465" t="str">
        <f>VLOOKUP(B1465,[1]물질정보!B:D,3,0)</f>
        <v>4-hydroxybutyl methacrylate</v>
      </c>
      <c r="E1465" t="str">
        <f>VLOOKUP(B1465,[1]물질정보!B:E,4,0)</f>
        <v>C8H14O3</v>
      </c>
      <c r="F1465" t="str">
        <f>VLOOKUP(B1465,[1]물질정보!B:F,5,0)</f>
        <v>158.19 g/mol</v>
      </c>
      <c r="G1465" s="5" t="str">
        <f>VLOOKUP(B1465,[1]물질정보!B:G,6,0)</f>
        <v>CC(=C)C(=O)OCCCCO</v>
      </c>
      <c r="I1465" t="s">
        <v>534</v>
      </c>
      <c r="J1465" t="s">
        <v>535</v>
      </c>
      <c r="K1465">
        <v>88.71</v>
      </c>
      <c r="L1465" t="s">
        <v>39</v>
      </c>
      <c r="M1465" t="s">
        <v>536</v>
      </c>
      <c r="P1465">
        <v>96</v>
      </c>
      <c r="Q1465" t="s">
        <v>533</v>
      </c>
      <c r="R1465" t="s">
        <v>355</v>
      </c>
      <c r="U1465" t="s">
        <v>527</v>
      </c>
      <c r="V1465" s="6" t="s">
        <v>684</v>
      </c>
      <c r="W1465" t="s">
        <v>536</v>
      </c>
      <c r="X1465" t="s">
        <v>823</v>
      </c>
      <c r="Y1465" s="6" t="s">
        <v>49</v>
      </c>
    </row>
    <row r="1466" spans="2:25" x14ac:dyDescent="0.3">
      <c r="B1466" s="5" t="s">
        <v>594</v>
      </c>
      <c r="C1466" s="5" t="str">
        <f>VLOOKUP(B1466,[1]물질정보!B:C,2,0)</f>
        <v>997-46-6</v>
      </c>
      <c r="D1466" t="str">
        <f>VLOOKUP(B1466,[1]물질정보!B:D,3,0)</f>
        <v>4-hydroxybutyl methacrylate</v>
      </c>
      <c r="E1466" t="str">
        <f>VLOOKUP(B1466,[1]물질정보!B:E,4,0)</f>
        <v>C8H14O3</v>
      </c>
      <c r="F1466" t="str">
        <f>VLOOKUP(B1466,[1]물질정보!B:F,5,0)</f>
        <v>158.19 g/mol</v>
      </c>
      <c r="G1466" s="5" t="str">
        <f>VLOOKUP(B1466,[1]물질정보!B:G,6,0)</f>
        <v>CC(=C)C(=O)OCCCCO</v>
      </c>
      <c r="I1466" t="s">
        <v>534</v>
      </c>
      <c r="J1466" t="s">
        <v>535</v>
      </c>
      <c r="K1466">
        <v>223.94</v>
      </c>
      <c r="L1466" t="s">
        <v>39</v>
      </c>
      <c r="M1466" t="s">
        <v>536</v>
      </c>
      <c r="P1466">
        <v>96</v>
      </c>
      <c r="Q1466" t="s">
        <v>533</v>
      </c>
      <c r="R1466" t="s">
        <v>355</v>
      </c>
      <c r="U1466" t="s">
        <v>528</v>
      </c>
      <c r="V1466" s="6" t="s">
        <v>684</v>
      </c>
      <c r="W1466" t="s">
        <v>536</v>
      </c>
      <c r="X1466" t="s">
        <v>823</v>
      </c>
      <c r="Y1466" s="6" t="s">
        <v>49</v>
      </c>
    </row>
    <row r="1467" spans="2:25" x14ac:dyDescent="0.3">
      <c r="B1467" s="5" t="s">
        <v>594</v>
      </c>
      <c r="C1467" s="5" t="str">
        <f>VLOOKUP(B1467,[1]물질정보!B:C,2,0)</f>
        <v>997-46-6</v>
      </c>
      <c r="D1467" t="str">
        <f>VLOOKUP(B1467,[1]물질정보!B:D,3,0)</f>
        <v>4-hydroxybutyl methacrylate</v>
      </c>
      <c r="E1467" t="str">
        <f>VLOOKUP(B1467,[1]물질정보!B:E,4,0)</f>
        <v>C8H14O3</v>
      </c>
      <c r="F1467" t="str">
        <f>VLOOKUP(B1467,[1]물질정보!B:F,5,0)</f>
        <v>158.19 g/mol</v>
      </c>
      <c r="G1467" s="5" t="str">
        <f>VLOOKUP(B1467,[1]물질정보!B:G,6,0)</f>
        <v>CC(=C)C(=O)OCCCCO</v>
      </c>
      <c r="I1467" t="s">
        <v>537</v>
      </c>
      <c r="J1467" t="s">
        <v>535</v>
      </c>
      <c r="K1467">
        <v>128.33000000000001</v>
      </c>
      <c r="L1467" t="s">
        <v>39</v>
      </c>
      <c r="M1467" t="s">
        <v>47</v>
      </c>
      <c r="P1467">
        <v>48</v>
      </c>
      <c r="Q1467" t="s">
        <v>533</v>
      </c>
      <c r="R1467" t="s">
        <v>355</v>
      </c>
      <c r="U1467" t="s">
        <v>523</v>
      </c>
      <c r="V1467" s="6" t="s">
        <v>684</v>
      </c>
      <c r="W1467" t="s">
        <v>47</v>
      </c>
      <c r="X1467" t="s">
        <v>822</v>
      </c>
      <c r="Y1467" s="6" t="s">
        <v>49</v>
      </c>
    </row>
    <row r="1468" spans="2:25" x14ac:dyDescent="0.3">
      <c r="B1468" s="5" t="s">
        <v>594</v>
      </c>
      <c r="C1468" s="5" t="str">
        <f>VLOOKUP(B1468,[1]물질정보!B:C,2,0)</f>
        <v>997-46-6</v>
      </c>
      <c r="D1468" t="str">
        <f>VLOOKUP(B1468,[1]물질정보!B:D,3,0)</f>
        <v>4-hydroxybutyl methacrylate</v>
      </c>
      <c r="E1468" t="str">
        <f>VLOOKUP(B1468,[1]물질정보!B:E,4,0)</f>
        <v>C8H14O3</v>
      </c>
      <c r="F1468" t="str">
        <f>VLOOKUP(B1468,[1]물질정보!B:F,5,0)</f>
        <v>158.19 g/mol</v>
      </c>
      <c r="G1468" s="5" t="str">
        <f>VLOOKUP(B1468,[1]물질정보!B:G,6,0)</f>
        <v>CC(=C)C(=O)OCCCCO</v>
      </c>
      <c r="I1468" t="s">
        <v>537</v>
      </c>
      <c r="J1468" t="s">
        <v>535</v>
      </c>
      <c r="K1468">
        <v>221.64</v>
      </c>
      <c r="L1468" t="s">
        <v>39</v>
      </c>
      <c r="M1468" t="s">
        <v>47</v>
      </c>
      <c r="P1468">
        <v>48</v>
      </c>
      <c r="Q1468" t="s">
        <v>533</v>
      </c>
      <c r="R1468" t="s">
        <v>355</v>
      </c>
      <c r="U1468" t="s">
        <v>525</v>
      </c>
      <c r="V1468" s="6" t="s">
        <v>684</v>
      </c>
      <c r="W1468" t="s">
        <v>47</v>
      </c>
      <c r="X1468" t="s">
        <v>822</v>
      </c>
      <c r="Y1468" s="6" t="s">
        <v>49</v>
      </c>
    </row>
    <row r="1469" spans="2:25" x14ac:dyDescent="0.3">
      <c r="B1469" s="5" t="s">
        <v>594</v>
      </c>
      <c r="C1469" s="5" t="str">
        <f>VLOOKUP(B1469,[1]물질정보!B:C,2,0)</f>
        <v>997-46-6</v>
      </c>
      <c r="D1469" t="str">
        <f>VLOOKUP(B1469,[1]물질정보!B:D,3,0)</f>
        <v>4-hydroxybutyl methacrylate</v>
      </c>
      <c r="E1469" t="str">
        <f>VLOOKUP(B1469,[1]물질정보!B:E,4,0)</f>
        <v>C8H14O3</v>
      </c>
      <c r="F1469" t="str">
        <f>VLOOKUP(B1469,[1]물질정보!B:F,5,0)</f>
        <v>158.19 g/mol</v>
      </c>
      <c r="G1469" s="5" t="str">
        <f>VLOOKUP(B1469,[1]물질정보!B:G,6,0)</f>
        <v>CC(=C)C(=O)OCCCCO</v>
      </c>
      <c r="I1469" t="s">
        <v>537</v>
      </c>
      <c r="J1469" t="s">
        <v>535</v>
      </c>
      <c r="K1469">
        <v>145.91999999999999</v>
      </c>
      <c r="L1469" t="s">
        <v>39</v>
      </c>
      <c r="M1469" t="s">
        <v>47</v>
      </c>
      <c r="P1469">
        <v>48</v>
      </c>
      <c r="Q1469" t="s">
        <v>533</v>
      </c>
      <c r="R1469" t="s">
        <v>355</v>
      </c>
      <c r="U1469" t="s">
        <v>527</v>
      </c>
      <c r="V1469" s="6" t="s">
        <v>684</v>
      </c>
      <c r="W1469" t="s">
        <v>47</v>
      </c>
      <c r="X1469" t="s">
        <v>822</v>
      </c>
      <c r="Y1469" s="6" t="s">
        <v>49</v>
      </c>
    </row>
    <row r="1470" spans="2:25" x14ac:dyDescent="0.3">
      <c r="B1470" s="5" t="s">
        <v>594</v>
      </c>
      <c r="C1470" s="5" t="str">
        <f>VLOOKUP(B1470,[1]물질정보!B:C,2,0)</f>
        <v>997-46-6</v>
      </c>
      <c r="D1470" t="str">
        <f>VLOOKUP(B1470,[1]물질정보!B:D,3,0)</f>
        <v>4-hydroxybutyl methacrylate</v>
      </c>
      <c r="E1470" t="str">
        <f>VLOOKUP(B1470,[1]물질정보!B:E,4,0)</f>
        <v>C8H14O3</v>
      </c>
      <c r="F1470" t="str">
        <f>VLOOKUP(B1470,[1]물질정보!B:F,5,0)</f>
        <v>158.19 g/mol</v>
      </c>
      <c r="G1470" s="5" t="str">
        <f>VLOOKUP(B1470,[1]물질정보!B:G,6,0)</f>
        <v>CC(=C)C(=O)OCCCCO</v>
      </c>
      <c r="I1470" t="s">
        <v>537</v>
      </c>
      <c r="J1470" t="s">
        <v>535</v>
      </c>
      <c r="K1470">
        <v>65.349999999999994</v>
      </c>
      <c r="L1470" t="s">
        <v>39</v>
      </c>
      <c r="M1470" t="s">
        <v>47</v>
      </c>
      <c r="P1470">
        <v>48</v>
      </c>
      <c r="Q1470" t="s">
        <v>533</v>
      </c>
      <c r="R1470" t="s">
        <v>355</v>
      </c>
      <c r="U1470" t="s">
        <v>528</v>
      </c>
      <c r="V1470" s="6" t="s">
        <v>684</v>
      </c>
      <c r="W1470" t="s">
        <v>47</v>
      </c>
      <c r="X1470" t="s">
        <v>822</v>
      </c>
      <c r="Y1470" s="6" t="s">
        <v>49</v>
      </c>
    </row>
    <row r="1471" spans="2:25" x14ac:dyDescent="0.3">
      <c r="B1471" s="5" t="s">
        <v>594</v>
      </c>
      <c r="C1471" s="5" t="str">
        <f>VLOOKUP(B1471,[1]물질정보!B:C,2,0)</f>
        <v>997-46-6</v>
      </c>
      <c r="D1471" t="str">
        <f>VLOOKUP(B1471,[1]물질정보!B:D,3,0)</f>
        <v>4-hydroxybutyl methacrylate</v>
      </c>
      <c r="E1471" t="str">
        <f>VLOOKUP(B1471,[1]물질정보!B:E,4,0)</f>
        <v>C8H14O3</v>
      </c>
      <c r="F1471" t="str">
        <f>VLOOKUP(B1471,[1]물질정보!B:F,5,0)</f>
        <v>158.19 g/mol</v>
      </c>
      <c r="G1471" s="5" t="str">
        <f>VLOOKUP(B1471,[1]물질정보!B:G,6,0)</f>
        <v>CC(=C)C(=O)OCCCCO</v>
      </c>
      <c r="I1471" t="s">
        <v>494</v>
      </c>
      <c r="J1471" t="s">
        <v>538</v>
      </c>
      <c r="K1471">
        <v>3208.88</v>
      </c>
      <c r="L1471" t="s">
        <v>161</v>
      </c>
      <c r="M1471" t="s">
        <v>495</v>
      </c>
      <c r="R1471" t="s">
        <v>355</v>
      </c>
      <c r="U1471" t="s">
        <v>523</v>
      </c>
      <c r="V1471" s="6" t="s">
        <v>684</v>
      </c>
      <c r="W1471" t="s">
        <v>86</v>
      </c>
      <c r="X1471" t="s">
        <v>825</v>
      </c>
      <c r="Y1471" s="6" t="s">
        <v>81</v>
      </c>
    </row>
    <row r="1472" spans="2:25" x14ac:dyDescent="0.3">
      <c r="B1472" s="5" t="s">
        <v>594</v>
      </c>
      <c r="C1472" s="5" t="str">
        <f>VLOOKUP(B1472,[1]물질정보!B:C,2,0)</f>
        <v>997-46-6</v>
      </c>
      <c r="D1472" t="str">
        <f>VLOOKUP(B1472,[1]물질정보!B:D,3,0)</f>
        <v>4-hydroxybutyl methacrylate</v>
      </c>
      <c r="E1472" t="str">
        <f>VLOOKUP(B1472,[1]물질정보!B:E,4,0)</f>
        <v>C8H14O3</v>
      </c>
      <c r="F1472" t="str">
        <f>VLOOKUP(B1472,[1]물질정보!B:F,5,0)</f>
        <v>158.19 g/mol</v>
      </c>
      <c r="G1472" s="5" t="str">
        <f>VLOOKUP(B1472,[1]물질정보!B:G,6,0)</f>
        <v>CC(=C)C(=O)OCCCCO</v>
      </c>
      <c r="I1472" t="s">
        <v>494</v>
      </c>
      <c r="J1472" t="s">
        <v>538</v>
      </c>
      <c r="K1472">
        <v>3034.95</v>
      </c>
      <c r="L1472" t="s">
        <v>161</v>
      </c>
      <c r="M1472" t="s">
        <v>495</v>
      </c>
      <c r="R1472" t="s">
        <v>355</v>
      </c>
      <c r="U1472" t="s">
        <v>525</v>
      </c>
      <c r="V1472" s="6" t="s">
        <v>684</v>
      </c>
      <c r="W1472" t="s">
        <v>86</v>
      </c>
      <c r="X1472" t="s">
        <v>825</v>
      </c>
      <c r="Y1472" s="6" t="s">
        <v>81</v>
      </c>
    </row>
    <row r="1473" spans="2:25" x14ac:dyDescent="0.3">
      <c r="B1473" s="5" t="s">
        <v>594</v>
      </c>
      <c r="C1473" s="5" t="str">
        <f>VLOOKUP(B1473,[1]물질정보!B:C,2,0)</f>
        <v>997-46-6</v>
      </c>
      <c r="D1473" t="str">
        <f>VLOOKUP(B1473,[1]물질정보!B:D,3,0)</f>
        <v>4-hydroxybutyl methacrylate</v>
      </c>
      <c r="E1473" t="str">
        <f>VLOOKUP(B1473,[1]물질정보!B:E,4,0)</f>
        <v>C8H14O3</v>
      </c>
      <c r="F1473" t="str">
        <f>VLOOKUP(B1473,[1]물질정보!B:F,5,0)</f>
        <v>158.19 g/mol</v>
      </c>
      <c r="G1473" s="5" t="str">
        <f>VLOOKUP(B1473,[1]물질정보!B:G,6,0)</f>
        <v>CC(=C)C(=O)OCCCCO</v>
      </c>
      <c r="I1473" t="s">
        <v>494</v>
      </c>
      <c r="J1473" t="s">
        <v>538</v>
      </c>
      <c r="K1473">
        <v>2293.86</v>
      </c>
      <c r="L1473" t="s">
        <v>161</v>
      </c>
      <c r="M1473" t="s">
        <v>495</v>
      </c>
      <c r="R1473" t="s">
        <v>355</v>
      </c>
      <c r="U1473" t="s">
        <v>527</v>
      </c>
      <c r="V1473" s="6" t="s">
        <v>684</v>
      </c>
      <c r="W1473" t="s">
        <v>86</v>
      </c>
      <c r="X1473" t="s">
        <v>825</v>
      </c>
      <c r="Y1473" s="6" t="s">
        <v>81</v>
      </c>
    </row>
    <row r="1474" spans="2:25" x14ac:dyDescent="0.3">
      <c r="B1474" s="5" t="s">
        <v>594</v>
      </c>
      <c r="C1474" s="5" t="str">
        <f>VLOOKUP(B1474,[1]물질정보!B:C,2,0)</f>
        <v>997-46-6</v>
      </c>
      <c r="D1474" t="str">
        <f>VLOOKUP(B1474,[1]물질정보!B:D,3,0)</f>
        <v>4-hydroxybutyl methacrylate</v>
      </c>
      <c r="E1474" t="str">
        <f>VLOOKUP(B1474,[1]물질정보!B:E,4,0)</f>
        <v>C8H14O3</v>
      </c>
      <c r="F1474" t="str">
        <f>VLOOKUP(B1474,[1]물질정보!B:F,5,0)</f>
        <v>158.19 g/mol</v>
      </c>
      <c r="G1474" s="5" t="str">
        <f>VLOOKUP(B1474,[1]물질정보!B:G,6,0)</f>
        <v>CC(=C)C(=O)OCCCCO</v>
      </c>
      <c r="I1474" t="s">
        <v>494</v>
      </c>
      <c r="J1474" t="s">
        <v>538</v>
      </c>
      <c r="K1474">
        <v>4746.13</v>
      </c>
      <c r="L1474" t="s">
        <v>161</v>
      </c>
      <c r="M1474" t="s">
        <v>495</v>
      </c>
      <c r="R1474" t="s">
        <v>355</v>
      </c>
      <c r="U1474" t="s">
        <v>528</v>
      </c>
      <c r="V1474" s="6" t="s">
        <v>684</v>
      </c>
      <c r="W1474" t="s">
        <v>86</v>
      </c>
      <c r="X1474" t="s">
        <v>825</v>
      </c>
      <c r="Y1474" s="6" t="s">
        <v>81</v>
      </c>
    </row>
    <row r="1475" spans="2:25" x14ac:dyDescent="0.3">
      <c r="B1475" s="5" t="s">
        <v>594</v>
      </c>
      <c r="C1475" s="5" t="str">
        <f>VLOOKUP(B1475,[1]물질정보!B:C,2,0)</f>
        <v>997-46-6</v>
      </c>
      <c r="D1475" t="str">
        <f>VLOOKUP(B1475,[1]물질정보!B:D,3,0)</f>
        <v>4-hydroxybutyl methacrylate</v>
      </c>
      <c r="E1475" t="str">
        <f>VLOOKUP(B1475,[1]물질정보!B:E,4,0)</f>
        <v>C8H14O3</v>
      </c>
      <c r="F1475" t="str">
        <f>VLOOKUP(B1475,[1]물질정보!B:F,5,0)</f>
        <v>158.19 g/mol</v>
      </c>
      <c r="G1475" s="5" t="str">
        <f>VLOOKUP(B1475,[1]물질정보!B:G,6,0)</f>
        <v>CC(=C)C(=O)OCCCCO</v>
      </c>
      <c r="I1475" t="s">
        <v>540</v>
      </c>
      <c r="J1475" t="s">
        <v>541</v>
      </c>
      <c r="K1475" t="s">
        <v>542</v>
      </c>
      <c r="M1475" t="s">
        <v>543</v>
      </c>
      <c r="N1475" t="s">
        <v>544</v>
      </c>
      <c r="R1475" t="s">
        <v>355</v>
      </c>
      <c r="U1475" t="s">
        <v>523</v>
      </c>
      <c r="V1475" s="6" t="s">
        <v>684</v>
      </c>
      <c r="W1475" t="s">
        <v>83</v>
      </c>
      <c r="X1475" t="s">
        <v>825</v>
      </c>
      <c r="Y1475" s="6" t="s">
        <v>827</v>
      </c>
    </row>
    <row r="1476" spans="2:25" x14ac:dyDescent="0.3">
      <c r="B1476" s="5" t="s">
        <v>594</v>
      </c>
      <c r="C1476" s="5" t="str">
        <f>VLOOKUP(B1476,[1]물질정보!B:C,2,0)</f>
        <v>997-46-6</v>
      </c>
      <c r="D1476" t="str">
        <f>VLOOKUP(B1476,[1]물질정보!B:D,3,0)</f>
        <v>4-hydroxybutyl methacrylate</v>
      </c>
      <c r="E1476" t="str">
        <f>VLOOKUP(B1476,[1]물질정보!B:E,4,0)</f>
        <v>C8H14O3</v>
      </c>
      <c r="F1476" t="str">
        <f>VLOOKUP(B1476,[1]물질정보!B:F,5,0)</f>
        <v>158.19 g/mol</v>
      </c>
      <c r="G1476" s="5" t="str">
        <f>VLOOKUP(B1476,[1]물질정보!B:G,6,0)</f>
        <v>CC(=C)C(=O)OCCCCO</v>
      </c>
      <c r="I1476" t="s">
        <v>540</v>
      </c>
      <c r="J1476" t="s">
        <v>541</v>
      </c>
      <c r="K1476" t="s">
        <v>577</v>
      </c>
      <c r="M1476" t="s">
        <v>543</v>
      </c>
      <c r="N1476" t="s">
        <v>544</v>
      </c>
      <c r="R1476" t="s">
        <v>355</v>
      </c>
      <c r="U1476" t="s">
        <v>525</v>
      </c>
      <c r="V1476" s="6" t="s">
        <v>684</v>
      </c>
      <c r="W1476" t="s">
        <v>83</v>
      </c>
      <c r="X1476" t="s">
        <v>825</v>
      </c>
      <c r="Y1476" s="6" t="s">
        <v>827</v>
      </c>
    </row>
    <row r="1477" spans="2:25" x14ac:dyDescent="0.3">
      <c r="B1477" s="5" t="s">
        <v>594</v>
      </c>
      <c r="C1477" s="5" t="str">
        <f>VLOOKUP(B1477,[1]물질정보!B:C,2,0)</f>
        <v>997-46-6</v>
      </c>
      <c r="D1477" t="str">
        <f>VLOOKUP(B1477,[1]물질정보!B:D,3,0)</f>
        <v>4-hydroxybutyl methacrylate</v>
      </c>
      <c r="E1477" t="str">
        <f>VLOOKUP(B1477,[1]물질정보!B:E,4,0)</f>
        <v>C8H14O3</v>
      </c>
      <c r="F1477" t="str">
        <f>VLOOKUP(B1477,[1]물질정보!B:F,5,0)</f>
        <v>158.19 g/mol</v>
      </c>
      <c r="G1477" s="5" t="str">
        <f>VLOOKUP(B1477,[1]물질정보!B:G,6,0)</f>
        <v>CC(=C)C(=O)OCCCCO</v>
      </c>
      <c r="I1477" t="s">
        <v>540</v>
      </c>
      <c r="J1477" t="s">
        <v>541</v>
      </c>
      <c r="K1477" t="s">
        <v>578</v>
      </c>
      <c r="M1477" t="s">
        <v>543</v>
      </c>
      <c r="N1477" t="s">
        <v>544</v>
      </c>
      <c r="R1477" t="s">
        <v>355</v>
      </c>
      <c r="U1477" t="s">
        <v>527</v>
      </c>
      <c r="V1477" s="6" t="s">
        <v>684</v>
      </c>
      <c r="W1477" t="s">
        <v>83</v>
      </c>
      <c r="X1477" t="s">
        <v>825</v>
      </c>
      <c r="Y1477" s="6" t="s">
        <v>827</v>
      </c>
    </row>
    <row r="1478" spans="2:25" x14ac:dyDescent="0.3">
      <c r="B1478" s="5" t="s">
        <v>594</v>
      </c>
      <c r="C1478" s="5" t="str">
        <f>VLOOKUP(B1478,[1]물질정보!B:C,2,0)</f>
        <v>997-46-6</v>
      </c>
      <c r="D1478" t="str">
        <f>VLOOKUP(B1478,[1]물질정보!B:D,3,0)</f>
        <v>4-hydroxybutyl methacrylate</v>
      </c>
      <c r="E1478" t="str">
        <f>VLOOKUP(B1478,[1]물질정보!B:E,4,0)</f>
        <v>C8H14O3</v>
      </c>
      <c r="F1478" t="str">
        <f>VLOOKUP(B1478,[1]물질정보!B:F,5,0)</f>
        <v>158.19 g/mol</v>
      </c>
      <c r="G1478" s="5" t="str">
        <f>VLOOKUP(B1478,[1]물질정보!B:G,6,0)</f>
        <v>CC(=C)C(=O)OCCCCO</v>
      </c>
      <c r="I1478" t="s">
        <v>540</v>
      </c>
      <c r="J1478" t="s">
        <v>541</v>
      </c>
      <c r="K1478" t="s">
        <v>579</v>
      </c>
      <c r="M1478" t="s">
        <v>543</v>
      </c>
      <c r="N1478" t="s">
        <v>544</v>
      </c>
      <c r="R1478" t="s">
        <v>355</v>
      </c>
      <c r="U1478" t="s">
        <v>528</v>
      </c>
      <c r="V1478" s="6" t="s">
        <v>684</v>
      </c>
      <c r="W1478" t="s">
        <v>83</v>
      </c>
      <c r="X1478" t="s">
        <v>825</v>
      </c>
      <c r="Y1478" s="6" t="s">
        <v>827</v>
      </c>
    </row>
    <row r="1479" spans="2:25" x14ac:dyDescent="0.3">
      <c r="B1479" s="5" t="s">
        <v>594</v>
      </c>
      <c r="C1479" s="5" t="str">
        <f>VLOOKUP(B1479,[1]물질정보!B:C,2,0)</f>
        <v>997-46-6</v>
      </c>
      <c r="D1479" t="str">
        <f>VLOOKUP(B1479,[1]물질정보!B:D,3,0)</f>
        <v>4-hydroxybutyl methacrylate</v>
      </c>
      <c r="E1479" t="str">
        <f>VLOOKUP(B1479,[1]물질정보!B:E,4,0)</f>
        <v>C8H14O3</v>
      </c>
      <c r="F1479" t="str">
        <f>VLOOKUP(B1479,[1]물질정보!B:F,5,0)</f>
        <v>158.19 g/mol</v>
      </c>
      <c r="G1479" s="5" t="str">
        <f>VLOOKUP(B1479,[1]물질정보!B:G,6,0)</f>
        <v>CC(=C)C(=O)OCCCCO</v>
      </c>
      <c r="I1479" t="s">
        <v>137</v>
      </c>
      <c r="J1479" t="s">
        <v>498</v>
      </c>
      <c r="K1479" t="s">
        <v>580</v>
      </c>
      <c r="R1479" t="s">
        <v>355</v>
      </c>
      <c r="U1479" t="s">
        <v>523</v>
      </c>
      <c r="V1479" s="6" t="s">
        <v>684</v>
      </c>
      <c r="X1479" t="s">
        <v>825</v>
      </c>
      <c r="Y1479" s="6" t="s">
        <v>89</v>
      </c>
    </row>
    <row r="1480" spans="2:25" x14ac:dyDescent="0.3">
      <c r="B1480" s="5" t="s">
        <v>594</v>
      </c>
      <c r="C1480" s="5" t="str">
        <f>VLOOKUP(B1480,[1]물질정보!B:C,2,0)</f>
        <v>997-46-6</v>
      </c>
      <c r="D1480" t="str">
        <f>VLOOKUP(B1480,[1]물질정보!B:D,3,0)</f>
        <v>4-hydroxybutyl methacrylate</v>
      </c>
      <c r="E1480" t="str">
        <f>VLOOKUP(B1480,[1]물질정보!B:E,4,0)</f>
        <v>C8H14O3</v>
      </c>
      <c r="F1480" t="str">
        <f>VLOOKUP(B1480,[1]물질정보!B:F,5,0)</f>
        <v>158.19 g/mol</v>
      </c>
      <c r="G1480" s="5" t="str">
        <f>VLOOKUP(B1480,[1]물질정보!B:G,6,0)</f>
        <v>CC(=C)C(=O)OCCCCO</v>
      </c>
      <c r="I1480" t="s">
        <v>137</v>
      </c>
      <c r="J1480" t="s">
        <v>498</v>
      </c>
      <c r="K1480" t="s">
        <v>560</v>
      </c>
      <c r="R1480" t="s">
        <v>355</v>
      </c>
      <c r="U1480" t="s">
        <v>525</v>
      </c>
      <c r="V1480" s="6" t="s">
        <v>684</v>
      </c>
      <c r="X1480" t="s">
        <v>825</v>
      </c>
      <c r="Y1480" s="6" t="s">
        <v>89</v>
      </c>
    </row>
    <row r="1481" spans="2:25" x14ac:dyDescent="0.3">
      <c r="B1481" s="5" t="s">
        <v>594</v>
      </c>
      <c r="C1481" s="5" t="str">
        <f>VLOOKUP(B1481,[1]물질정보!B:C,2,0)</f>
        <v>997-46-6</v>
      </c>
      <c r="D1481" t="str">
        <f>VLOOKUP(B1481,[1]물질정보!B:D,3,0)</f>
        <v>4-hydroxybutyl methacrylate</v>
      </c>
      <c r="E1481" t="str">
        <f>VLOOKUP(B1481,[1]물질정보!B:E,4,0)</f>
        <v>C8H14O3</v>
      </c>
      <c r="F1481" t="str">
        <f>VLOOKUP(B1481,[1]물질정보!B:F,5,0)</f>
        <v>158.19 g/mol</v>
      </c>
      <c r="G1481" s="5" t="str">
        <f>VLOOKUP(B1481,[1]물질정보!B:G,6,0)</f>
        <v>CC(=C)C(=O)OCCCCO</v>
      </c>
      <c r="I1481" t="s">
        <v>137</v>
      </c>
      <c r="J1481" t="s">
        <v>498</v>
      </c>
      <c r="K1481" t="s">
        <v>581</v>
      </c>
      <c r="R1481" t="s">
        <v>355</v>
      </c>
      <c r="U1481" t="s">
        <v>527</v>
      </c>
      <c r="V1481" s="6" t="s">
        <v>684</v>
      </c>
      <c r="X1481" t="s">
        <v>825</v>
      </c>
      <c r="Y1481" s="6" t="s">
        <v>89</v>
      </c>
    </row>
    <row r="1482" spans="2:25" x14ac:dyDescent="0.3">
      <c r="B1482" s="5" t="s">
        <v>594</v>
      </c>
      <c r="C1482" s="5" t="str">
        <f>VLOOKUP(B1482,[1]물질정보!B:C,2,0)</f>
        <v>997-46-6</v>
      </c>
      <c r="D1482" t="str">
        <f>VLOOKUP(B1482,[1]물질정보!B:D,3,0)</f>
        <v>4-hydroxybutyl methacrylate</v>
      </c>
      <c r="E1482" t="str">
        <f>VLOOKUP(B1482,[1]물질정보!B:E,4,0)</f>
        <v>C8H14O3</v>
      </c>
      <c r="F1482" t="str">
        <f>VLOOKUP(B1482,[1]물질정보!B:F,5,0)</f>
        <v>158.19 g/mol</v>
      </c>
      <c r="G1482" s="5" t="str">
        <f>VLOOKUP(B1482,[1]물질정보!B:G,6,0)</f>
        <v>CC(=C)C(=O)OCCCCO</v>
      </c>
      <c r="I1482" t="s">
        <v>137</v>
      </c>
      <c r="J1482" t="s">
        <v>498</v>
      </c>
      <c r="K1482" t="s">
        <v>582</v>
      </c>
      <c r="R1482" t="s">
        <v>355</v>
      </c>
      <c r="U1482" t="s">
        <v>528</v>
      </c>
      <c r="V1482" s="6" t="s">
        <v>684</v>
      </c>
      <c r="X1482" t="s">
        <v>825</v>
      </c>
      <c r="Y1482" s="6" t="s">
        <v>89</v>
      </c>
    </row>
    <row r="1483" spans="2:25" x14ac:dyDescent="0.3">
      <c r="B1483" s="5" t="s">
        <v>595</v>
      </c>
      <c r="C1483" s="5" t="str">
        <f>VLOOKUP(B1483,[1]물질정보!B:C,2,0)</f>
        <v>140-88-5</v>
      </c>
      <c r="D1483" t="str">
        <f>VLOOKUP(B1483,[1]물질정보!B:D,3,0)</f>
        <v>ethyl acrylate</v>
      </c>
      <c r="E1483" t="str">
        <f>VLOOKUP(B1483,[1]물질정보!B:E,4,0)</f>
        <v>C5H8O2</v>
      </c>
      <c r="F1483" t="str">
        <f>VLOOKUP(B1483,[1]물질정보!B:F,5,0)</f>
        <v>100.12 g/mol</v>
      </c>
      <c r="G1483" s="5" t="str">
        <f>VLOOKUP(B1483,[1]물질정보!B:G,6,0)</f>
        <v>CCOC(=O)C=C</v>
      </c>
      <c r="I1483" t="s">
        <v>520</v>
      </c>
      <c r="J1483" t="s">
        <v>521</v>
      </c>
      <c r="K1483" t="s">
        <v>596</v>
      </c>
      <c r="R1483" t="s">
        <v>355</v>
      </c>
      <c r="U1483" t="s">
        <v>523</v>
      </c>
      <c r="V1483" s="6" t="s">
        <v>684</v>
      </c>
      <c r="X1483" t="s">
        <v>825</v>
      </c>
      <c r="Y1483" s="6" t="s">
        <v>826</v>
      </c>
    </row>
    <row r="1484" spans="2:25" x14ac:dyDescent="0.3">
      <c r="B1484" s="5" t="s">
        <v>595</v>
      </c>
      <c r="C1484" s="5" t="str">
        <f>VLOOKUP(B1484,[1]물질정보!B:C,2,0)</f>
        <v>140-88-5</v>
      </c>
      <c r="D1484" t="str">
        <f>VLOOKUP(B1484,[1]물질정보!B:D,3,0)</f>
        <v>ethyl acrylate</v>
      </c>
      <c r="E1484" t="str">
        <f>VLOOKUP(B1484,[1]물질정보!B:E,4,0)</f>
        <v>C5H8O2</v>
      </c>
      <c r="F1484" t="str">
        <f>VLOOKUP(B1484,[1]물질정보!B:F,5,0)</f>
        <v>100.12 g/mol</v>
      </c>
      <c r="G1484" s="5" t="str">
        <f>VLOOKUP(B1484,[1]물질정보!B:G,6,0)</f>
        <v>CCOC(=O)C=C</v>
      </c>
      <c r="I1484" t="s">
        <v>520</v>
      </c>
      <c r="J1484" t="s">
        <v>521</v>
      </c>
      <c r="K1484" t="s">
        <v>562</v>
      </c>
      <c r="R1484" t="s">
        <v>355</v>
      </c>
      <c r="U1484" t="s">
        <v>525</v>
      </c>
      <c r="V1484" s="6" t="s">
        <v>684</v>
      </c>
      <c r="X1484" t="s">
        <v>825</v>
      </c>
      <c r="Y1484" s="6" t="s">
        <v>826</v>
      </c>
    </row>
    <row r="1485" spans="2:25" x14ac:dyDescent="0.3">
      <c r="B1485" s="5" t="s">
        <v>595</v>
      </c>
      <c r="C1485" s="5" t="str">
        <f>VLOOKUP(B1485,[1]물질정보!B:C,2,0)</f>
        <v>140-88-5</v>
      </c>
      <c r="D1485" t="str">
        <f>VLOOKUP(B1485,[1]물질정보!B:D,3,0)</f>
        <v>ethyl acrylate</v>
      </c>
      <c r="E1485" t="str">
        <f>VLOOKUP(B1485,[1]물질정보!B:E,4,0)</f>
        <v>C5H8O2</v>
      </c>
      <c r="F1485" t="str">
        <f>VLOOKUP(B1485,[1]물질정보!B:F,5,0)</f>
        <v>100.12 g/mol</v>
      </c>
      <c r="G1485" s="5" t="str">
        <f>VLOOKUP(B1485,[1]물질정보!B:G,6,0)</f>
        <v>CCOC(=O)C=C</v>
      </c>
      <c r="I1485" t="s">
        <v>520</v>
      </c>
      <c r="J1485" t="s">
        <v>521</v>
      </c>
      <c r="K1485" t="s">
        <v>552</v>
      </c>
      <c r="R1485" t="s">
        <v>355</v>
      </c>
      <c r="U1485" t="s">
        <v>527</v>
      </c>
      <c r="V1485" s="6" t="s">
        <v>684</v>
      </c>
      <c r="X1485" t="s">
        <v>825</v>
      </c>
      <c r="Y1485" s="6" t="s">
        <v>826</v>
      </c>
    </row>
    <row r="1486" spans="2:25" x14ac:dyDescent="0.3">
      <c r="B1486" s="5" t="s">
        <v>595</v>
      </c>
      <c r="C1486" s="5" t="str">
        <f>VLOOKUP(B1486,[1]물질정보!B:C,2,0)</f>
        <v>140-88-5</v>
      </c>
      <c r="D1486" t="str">
        <f>VLOOKUP(B1486,[1]물질정보!B:D,3,0)</f>
        <v>ethyl acrylate</v>
      </c>
      <c r="E1486" t="str">
        <f>VLOOKUP(B1486,[1]물질정보!B:E,4,0)</f>
        <v>C5H8O2</v>
      </c>
      <c r="F1486" t="str">
        <f>VLOOKUP(B1486,[1]물질정보!B:F,5,0)</f>
        <v>100.12 g/mol</v>
      </c>
      <c r="G1486" s="5" t="str">
        <f>VLOOKUP(B1486,[1]물질정보!B:G,6,0)</f>
        <v>CCOC(=O)C=C</v>
      </c>
      <c r="I1486" t="s">
        <v>520</v>
      </c>
      <c r="J1486" t="s">
        <v>521</v>
      </c>
      <c r="K1486" t="s">
        <v>597</v>
      </c>
      <c r="R1486" t="s">
        <v>355</v>
      </c>
      <c r="U1486" t="s">
        <v>528</v>
      </c>
      <c r="V1486" s="6" t="s">
        <v>684</v>
      </c>
      <c r="X1486" t="s">
        <v>825</v>
      </c>
      <c r="Y1486" s="6" t="s">
        <v>826</v>
      </c>
    </row>
    <row r="1487" spans="2:25" x14ac:dyDescent="0.3">
      <c r="B1487" s="5" t="s">
        <v>595</v>
      </c>
      <c r="C1487" s="5" t="str">
        <f>VLOOKUP(B1487,[1]물질정보!B:C,2,0)</f>
        <v>140-88-5</v>
      </c>
      <c r="D1487" t="str">
        <f>VLOOKUP(B1487,[1]물질정보!B:D,3,0)</f>
        <v>ethyl acrylate</v>
      </c>
      <c r="E1487" t="str">
        <f>VLOOKUP(B1487,[1]물질정보!B:E,4,0)</f>
        <v>C5H8O2</v>
      </c>
      <c r="F1487" t="str">
        <f>VLOOKUP(B1487,[1]물질정보!B:F,5,0)</f>
        <v>100.12 g/mol</v>
      </c>
      <c r="G1487" s="5" t="str">
        <f>VLOOKUP(B1487,[1]물질정보!B:G,6,0)</f>
        <v>CCOC(=O)C=C</v>
      </c>
      <c r="I1487" t="s">
        <v>529</v>
      </c>
      <c r="J1487" s="9" t="s">
        <v>530</v>
      </c>
      <c r="K1487">
        <v>33.369999999999997</v>
      </c>
      <c r="L1487" t="s">
        <v>39</v>
      </c>
      <c r="M1487" t="s">
        <v>532</v>
      </c>
      <c r="P1487">
        <v>48</v>
      </c>
      <c r="Q1487" t="s">
        <v>533</v>
      </c>
      <c r="R1487" t="s">
        <v>355</v>
      </c>
      <c r="U1487" t="s">
        <v>523</v>
      </c>
      <c r="V1487" s="6" t="s">
        <v>684</v>
      </c>
      <c r="W1487" t="s">
        <v>532</v>
      </c>
      <c r="X1487" t="s">
        <v>822</v>
      </c>
      <c r="Y1487" s="6" t="s">
        <v>530</v>
      </c>
    </row>
    <row r="1488" spans="2:25" x14ac:dyDescent="0.3">
      <c r="B1488" s="5" t="s">
        <v>595</v>
      </c>
      <c r="C1488" s="5" t="str">
        <f>VLOOKUP(B1488,[1]물질정보!B:C,2,0)</f>
        <v>140-88-5</v>
      </c>
      <c r="D1488" t="str">
        <f>VLOOKUP(B1488,[1]물질정보!B:D,3,0)</f>
        <v>ethyl acrylate</v>
      </c>
      <c r="E1488" t="str">
        <f>VLOOKUP(B1488,[1]물질정보!B:E,4,0)</f>
        <v>C5H8O2</v>
      </c>
      <c r="F1488" t="str">
        <f>VLOOKUP(B1488,[1]물질정보!B:F,5,0)</f>
        <v>100.12 g/mol</v>
      </c>
      <c r="G1488" s="5" t="str">
        <f>VLOOKUP(B1488,[1]물질정보!B:G,6,0)</f>
        <v>CCOC(=O)C=C</v>
      </c>
      <c r="I1488" t="s">
        <v>529</v>
      </c>
      <c r="J1488" s="9" t="s">
        <v>530</v>
      </c>
      <c r="K1488">
        <v>44.84</v>
      </c>
      <c r="L1488" t="s">
        <v>39</v>
      </c>
      <c r="M1488" t="s">
        <v>532</v>
      </c>
      <c r="P1488">
        <v>48</v>
      </c>
      <c r="Q1488" t="s">
        <v>533</v>
      </c>
      <c r="R1488" t="s">
        <v>355</v>
      </c>
      <c r="U1488" t="s">
        <v>525</v>
      </c>
      <c r="V1488" s="6" t="s">
        <v>684</v>
      </c>
      <c r="W1488" t="s">
        <v>532</v>
      </c>
      <c r="X1488" t="s">
        <v>822</v>
      </c>
      <c r="Y1488" s="6" t="s">
        <v>530</v>
      </c>
    </row>
    <row r="1489" spans="2:25" x14ac:dyDescent="0.3">
      <c r="B1489" s="5" t="s">
        <v>595</v>
      </c>
      <c r="C1489" s="5" t="str">
        <f>VLOOKUP(B1489,[1]물질정보!B:C,2,0)</f>
        <v>140-88-5</v>
      </c>
      <c r="D1489" t="str">
        <f>VLOOKUP(B1489,[1]물질정보!B:D,3,0)</f>
        <v>ethyl acrylate</v>
      </c>
      <c r="E1489" t="str">
        <f>VLOOKUP(B1489,[1]물질정보!B:E,4,0)</f>
        <v>C5H8O2</v>
      </c>
      <c r="F1489" t="str">
        <f>VLOOKUP(B1489,[1]물질정보!B:F,5,0)</f>
        <v>100.12 g/mol</v>
      </c>
      <c r="G1489" s="5" t="str">
        <f>VLOOKUP(B1489,[1]물질정보!B:G,6,0)</f>
        <v>CCOC(=O)C=C</v>
      </c>
      <c r="I1489" t="s">
        <v>529</v>
      </c>
      <c r="J1489" s="9" t="s">
        <v>530</v>
      </c>
      <c r="K1489">
        <v>27.98</v>
      </c>
      <c r="L1489" t="s">
        <v>39</v>
      </c>
      <c r="M1489" t="s">
        <v>532</v>
      </c>
      <c r="P1489">
        <v>48</v>
      </c>
      <c r="Q1489" t="s">
        <v>533</v>
      </c>
      <c r="R1489" t="s">
        <v>355</v>
      </c>
      <c r="U1489" t="s">
        <v>527</v>
      </c>
      <c r="V1489" s="6" t="s">
        <v>684</v>
      </c>
      <c r="W1489" t="s">
        <v>532</v>
      </c>
      <c r="X1489" t="s">
        <v>822</v>
      </c>
      <c r="Y1489" s="6" t="s">
        <v>530</v>
      </c>
    </row>
    <row r="1490" spans="2:25" x14ac:dyDescent="0.3">
      <c r="B1490" s="5" t="s">
        <v>595</v>
      </c>
      <c r="C1490" s="5" t="str">
        <f>VLOOKUP(B1490,[1]물질정보!B:C,2,0)</f>
        <v>140-88-5</v>
      </c>
      <c r="D1490" t="str">
        <f>VLOOKUP(B1490,[1]물질정보!B:D,3,0)</f>
        <v>ethyl acrylate</v>
      </c>
      <c r="E1490" t="str">
        <f>VLOOKUP(B1490,[1]물질정보!B:E,4,0)</f>
        <v>C5H8O2</v>
      </c>
      <c r="F1490" t="str">
        <f>VLOOKUP(B1490,[1]물질정보!B:F,5,0)</f>
        <v>100.12 g/mol</v>
      </c>
      <c r="G1490" s="5" t="str">
        <f>VLOOKUP(B1490,[1]물질정보!B:G,6,0)</f>
        <v>CCOC(=O)C=C</v>
      </c>
      <c r="I1490" t="s">
        <v>529</v>
      </c>
      <c r="J1490" s="9" t="s">
        <v>530</v>
      </c>
      <c r="K1490">
        <v>29.62</v>
      </c>
      <c r="L1490" t="s">
        <v>39</v>
      </c>
      <c r="M1490" t="s">
        <v>532</v>
      </c>
      <c r="P1490">
        <v>48</v>
      </c>
      <c r="Q1490" t="s">
        <v>533</v>
      </c>
      <c r="R1490" t="s">
        <v>355</v>
      </c>
      <c r="U1490" t="s">
        <v>528</v>
      </c>
      <c r="V1490" s="6" t="s">
        <v>684</v>
      </c>
      <c r="W1490" t="s">
        <v>532</v>
      </c>
      <c r="X1490" t="s">
        <v>822</v>
      </c>
      <c r="Y1490" s="6" t="s">
        <v>530</v>
      </c>
    </row>
    <row r="1491" spans="2:25" x14ac:dyDescent="0.3">
      <c r="B1491" s="5" t="s">
        <v>595</v>
      </c>
      <c r="C1491" s="5" t="str">
        <f>VLOOKUP(B1491,[1]물질정보!B:C,2,0)</f>
        <v>140-88-5</v>
      </c>
      <c r="D1491" t="str">
        <f>VLOOKUP(B1491,[1]물질정보!B:D,3,0)</f>
        <v>ethyl acrylate</v>
      </c>
      <c r="E1491" t="str">
        <f>VLOOKUP(B1491,[1]물질정보!B:E,4,0)</f>
        <v>C5H8O2</v>
      </c>
      <c r="F1491" t="str">
        <f>VLOOKUP(B1491,[1]물질정보!B:F,5,0)</f>
        <v>100.12 g/mol</v>
      </c>
      <c r="G1491" s="5" t="str">
        <f>VLOOKUP(B1491,[1]물질정보!B:G,6,0)</f>
        <v>CCOC(=O)C=C</v>
      </c>
      <c r="I1491" t="s">
        <v>534</v>
      </c>
      <c r="J1491" t="s">
        <v>535</v>
      </c>
      <c r="K1491">
        <v>3.73</v>
      </c>
      <c r="L1491" t="s">
        <v>39</v>
      </c>
      <c r="M1491" t="s">
        <v>536</v>
      </c>
      <c r="P1491">
        <v>96</v>
      </c>
      <c r="Q1491" t="s">
        <v>533</v>
      </c>
      <c r="R1491" t="s">
        <v>355</v>
      </c>
      <c r="U1491" t="s">
        <v>523</v>
      </c>
      <c r="V1491" s="6" t="s">
        <v>684</v>
      </c>
      <c r="W1491" t="s">
        <v>536</v>
      </c>
      <c r="X1491" t="s">
        <v>823</v>
      </c>
      <c r="Y1491" s="6" t="s">
        <v>49</v>
      </c>
    </row>
    <row r="1492" spans="2:25" x14ac:dyDescent="0.3">
      <c r="B1492" s="5" t="s">
        <v>595</v>
      </c>
      <c r="C1492" s="5" t="str">
        <f>VLOOKUP(B1492,[1]물질정보!B:C,2,0)</f>
        <v>140-88-5</v>
      </c>
      <c r="D1492" t="str">
        <f>VLOOKUP(B1492,[1]물질정보!B:D,3,0)</f>
        <v>ethyl acrylate</v>
      </c>
      <c r="E1492" t="str">
        <f>VLOOKUP(B1492,[1]물질정보!B:E,4,0)</f>
        <v>C5H8O2</v>
      </c>
      <c r="F1492" t="str">
        <f>VLOOKUP(B1492,[1]물질정보!B:F,5,0)</f>
        <v>100.12 g/mol</v>
      </c>
      <c r="G1492" s="5" t="str">
        <f>VLOOKUP(B1492,[1]물질정보!B:G,6,0)</f>
        <v>CCOC(=O)C=C</v>
      </c>
      <c r="I1492" t="s">
        <v>534</v>
      </c>
      <c r="J1492" t="s">
        <v>535</v>
      </c>
      <c r="K1492">
        <v>4.1500000000000004</v>
      </c>
      <c r="L1492" t="s">
        <v>39</v>
      </c>
      <c r="M1492" t="s">
        <v>536</v>
      </c>
      <c r="P1492">
        <v>96</v>
      </c>
      <c r="Q1492" t="s">
        <v>533</v>
      </c>
      <c r="R1492" t="s">
        <v>355</v>
      </c>
      <c r="U1492" t="s">
        <v>525</v>
      </c>
      <c r="V1492" s="6" t="s">
        <v>684</v>
      </c>
      <c r="W1492" t="s">
        <v>536</v>
      </c>
      <c r="X1492" t="s">
        <v>823</v>
      </c>
      <c r="Y1492" s="6" t="s">
        <v>49</v>
      </c>
    </row>
    <row r="1493" spans="2:25" x14ac:dyDescent="0.3">
      <c r="B1493" s="5" t="s">
        <v>595</v>
      </c>
      <c r="C1493" s="5" t="str">
        <f>VLOOKUP(B1493,[1]물질정보!B:C,2,0)</f>
        <v>140-88-5</v>
      </c>
      <c r="D1493" t="str">
        <f>VLOOKUP(B1493,[1]물질정보!B:D,3,0)</f>
        <v>ethyl acrylate</v>
      </c>
      <c r="E1493" t="str">
        <f>VLOOKUP(B1493,[1]물질정보!B:E,4,0)</f>
        <v>C5H8O2</v>
      </c>
      <c r="F1493" t="str">
        <f>VLOOKUP(B1493,[1]물질정보!B:F,5,0)</f>
        <v>100.12 g/mol</v>
      </c>
      <c r="G1493" s="5" t="str">
        <f>VLOOKUP(B1493,[1]물질정보!B:G,6,0)</f>
        <v>CCOC(=O)C=C</v>
      </c>
      <c r="I1493" t="s">
        <v>534</v>
      </c>
      <c r="J1493" t="s">
        <v>535</v>
      </c>
      <c r="K1493">
        <v>4.9400000000000004</v>
      </c>
      <c r="L1493" t="s">
        <v>39</v>
      </c>
      <c r="M1493" t="s">
        <v>536</v>
      </c>
      <c r="P1493">
        <v>96</v>
      </c>
      <c r="Q1493" t="s">
        <v>533</v>
      </c>
      <c r="R1493" t="s">
        <v>355</v>
      </c>
      <c r="U1493" t="s">
        <v>527</v>
      </c>
      <c r="V1493" s="6" t="s">
        <v>684</v>
      </c>
      <c r="W1493" t="s">
        <v>536</v>
      </c>
      <c r="X1493" t="s">
        <v>823</v>
      </c>
      <c r="Y1493" s="6" t="s">
        <v>49</v>
      </c>
    </row>
    <row r="1494" spans="2:25" x14ac:dyDescent="0.3">
      <c r="B1494" s="5" t="s">
        <v>595</v>
      </c>
      <c r="C1494" s="5" t="str">
        <f>VLOOKUP(B1494,[1]물질정보!B:C,2,0)</f>
        <v>140-88-5</v>
      </c>
      <c r="D1494" t="str">
        <f>VLOOKUP(B1494,[1]물질정보!B:D,3,0)</f>
        <v>ethyl acrylate</v>
      </c>
      <c r="E1494" t="str">
        <f>VLOOKUP(B1494,[1]물질정보!B:E,4,0)</f>
        <v>C5H8O2</v>
      </c>
      <c r="F1494" t="str">
        <f>VLOOKUP(B1494,[1]물질정보!B:F,5,0)</f>
        <v>100.12 g/mol</v>
      </c>
      <c r="G1494" s="5" t="str">
        <f>VLOOKUP(B1494,[1]물질정보!B:G,6,0)</f>
        <v>CCOC(=O)C=C</v>
      </c>
      <c r="I1494" t="s">
        <v>534</v>
      </c>
      <c r="J1494" t="s">
        <v>535</v>
      </c>
      <c r="K1494">
        <v>2.5299999999999998</v>
      </c>
      <c r="L1494" t="s">
        <v>39</v>
      </c>
      <c r="M1494" t="s">
        <v>536</v>
      </c>
      <c r="P1494">
        <v>96</v>
      </c>
      <c r="Q1494" t="s">
        <v>533</v>
      </c>
      <c r="R1494" t="s">
        <v>355</v>
      </c>
      <c r="U1494" t="s">
        <v>528</v>
      </c>
      <c r="V1494" s="6" t="s">
        <v>684</v>
      </c>
      <c r="W1494" t="s">
        <v>536</v>
      </c>
      <c r="X1494" t="s">
        <v>823</v>
      </c>
      <c r="Y1494" s="6" t="s">
        <v>49</v>
      </c>
    </row>
    <row r="1495" spans="2:25" x14ac:dyDescent="0.3">
      <c r="B1495" s="5" t="s">
        <v>595</v>
      </c>
      <c r="C1495" s="5" t="str">
        <f>VLOOKUP(B1495,[1]물질정보!B:C,2,0)</f>
        <v>140-88-5</v>
      </c>
      <c r="D1495" t="str">
        <f>VLOOKUP(B1495,[1]물질정보!B:D,3,0)</f>
        <v>ethyl acrylate</v>
      </c>
      <c r="E1495" t="str">
        <f>VLOOKUP(B1495,[1]물질정보!B:E,4,0)</f>
        <v>C5H8O2</v>
      </c>
      <c r="F1495" t="str">
        <f>VLOOKUP(B1495,[1]물질정보!B:F,5,0)</f>
        <v>100.12 g/mol</v>
      </c>
      <c r="G1495" s="5" t="str">
        <f>VLOOKUP(B1495,[1]물질정보!B:G,6,0)</f>
        <v>CCOC(=O)C=C</v>
      </c>
      <c r="I1495" t="s">
        <v>537</v>
      </c>
      <c r="J1495" t="s">
        <v>535</v>
      </c>
      <c r="K1495">
        <v>48.53</v>
      </c>
      <c r="L1495" t="s">
        <v>39</v>
      </c>
      <c r="M1495" t="s">
        <v>47</v>
      </c>
      <c r="P1495">
        <v>48</v>
      </c>
      <c r="Q1495" t="s">
        <v>533</v>
      </c>
      <c r="R1495" t="s">
        <v>355</v>
      </c>
      <c r="U1495" t="s">
        <v>523</v>
      </c>
      <c r="V1495" s="6" t="s">
        <v>684</v>
      </c>
      <c r="W1495" t="s">
        <v>47</v>
      </c>
      <c r="X1495" t="s">
        <v>822</v>
      </c>
      <c r="Y1495" s="6" t="s">
        <v>49</v>
      </c>
    </row>
    <row r="1496" spans="2:25" x14ac:dyDescent="0.3">
      <c r="B1496" s="5" t="s">
        <v>595</v>
      </c>
      <c r="C1496" s="5" t="str">
        <f>VLOOKUP(B1496,[1]물질정보!B:C,2,0)</f>
        <v>140-88-5</v>
      </c>
      <c r="D1496" t="str">
        <f>VLOOKUP(B1496,[1]물질정보!B:D,3,0)</f>
        <v>ethyl acrylate</v>
      </c>
      <c r="E1496" t="str">
        <f>VLOOKUP(B1496,[1]물질정보!B:E,4,0)</f>
        <v>C5H8O2</v>
      </c>
      <c r="F1496" t="str">
        <f>VLOOKUP(B1496,[1]물질정보!B:F,5,0)</f>
        <v>100.12 g/mol</v>
      </c>
      <c r="G1496" s="5" t="str">
        <f>VLOOKUP(B1496,[1]물질정보!B:G,6,0)</f>
        <v>CCOC(=O)C=C</v>
      </c>
      <c r="I1496" t="s">
        <v>537</v>
      </c>
      <c r="J1496" t="s">
        <v>535</v>
      </c>
      <c r="K1496">
        <v>62.3</v>
      </c>
      <c r="L1496" t="s">
        <v>39</v>
      </c>
      <c r="M1496" t="s">
        <v>47</v>
      </c>
      <c r="P1496">
        <v>48</v>
      </c>
      <c r="Q1496" t="s">
        <v>533</v>
      </c>
      <c r="R1496" t="s">
        <v>355</v>
      </c>
      <c r="U1496" t="s">
        <v>525</v>
      </c>
      <c r="V1496" s="6" t="s">
        <v>684</v>
      </c>
      <c r="W1496" t="s">
        <v>47</v>
      </c>
      <c r="X1496" t="s">
        <v>822</v>
      </c>
      <c r="Y1496" s="6" t="s">
        <v>49</v>
      </c>
    </row>
    <row r="1497" spans="2:25" x14ac:dyDescent="0.3">
      <c r="B1497" s="5" t="s">
        <v>595</v>
      </c>
      <c r="C1497" s="5" t="str">
        <f>VLOOKUP(B1497,[1]물질정보!B:C,2,0)</f>
        <v>140-88-5</v>
      </c>
      <c r="D1497" t="str">
        <f>VLOOKUP(B1497,[1]물질정보!B:D,3,0)</f>
        <v>ethyl acrylate</v>
      </c>
      <c r="E1497" t="str">
        <f>VLOOKUP(B1497,[1]물질정보!B:E,4,0)</f>
        <v>C5H8O2</v>
      </c>
      <c r="F1497" t="str">
        <f>VLOOKUP(B1497,[1]물질정보!B:F,5,0)</f>
        <v>100.12 g/mol</v>
      </c>
      <c r="G1497" s="5" t="str">
        <f>VLOOKUP(B1497,[1]물질정보!B:G,6,0)</f>
        <v>CCOC(=O)C=C</v>
      </c>
      <c r="I1497" t="s">
        <v>537</v>
      </c>
      <c r="J1497" t="s">
        <v>535</v>
      </c>
      <c r="K1497">
        <v>87.22</v>
      </c>
      <c r="L1497" t="s">
        <v>39</v>
      </c>
      <c r="M1497" t="s">
        <v>47</v>
      </c>
      <c r="P1497">
        <v>48</v>
      </c>
      <c r="Q1497" t="s">
        <v>533</v>
      </c>
      <c r="R1497" t="s">
        <v>355</v>
      </c>
      <c r="U1497" t="s">
        <v>527</v>
      </c>
      <c r="V1497" s="6" t="s">
        <v>684</v>
      </c>
      <c r="W1497" t="s">
        <v>47</v>
      </c>
      <c r="X1497" t="s">
        <v>822</v>
      </c>
      <c r="Y1497" s="6" t="s">
        <v>49</v>
      </c>
    </row>
    <row r="1498" spans="2:25" x14ac:dyDescent="0.3">
      <c r="B1498" s="5" t="s">
        <v>595</v>
      </c>
      <c r="C1498" s="5" t="str">
        <f>VLOOKUP(B1498,[1]물질정보!B:C,2,0)</f>
        <v>140-88-5</v>
      </c>
      <c r="D1498" t="str">
        <f>VLOOKUP(B1498,[1]물질정보!B:D,3,0)</f>
        <v>ethyl acrylate</v>
      </c>
      <c r="E1498" t="str">
        <f>VLOOKUP(B1498,[1]물질정보!B:E,4,0)</f>
        <v>C5H8O2</v>
      </c>
      <c r="F1498" t="str">
        <f>VLOOKUP(B1498,[1]물질정보!B:F,5,0)</f>
        <v>100.12 g/mol</v>
      </c>
      <c r="G1498" s="5" t="str">
        <f>VLOOKUP(B1498,[1]물질정보!B:G,6,0)</f>
        <v>CCOC(=O)C=C</v>
      </c>
      <c r="I1498" t="s">
        <v>537</v>
      </c>
      <c r="J1498" t="s">
        <v>535</v>
      </c>
      <c r="K1498">
        <v>21.04</v>
      </c>
      <c r="L1498" t="s">
        <v>39</v>
      </c>
      <c r="M1498" t="s">
        <v>47</v>
      </c>
      <c r="P1498">
        <v>48</v>
      </c>
      <c r="Q1498" t="s">
        <v>533</v>
      </c>
      <c r="R1498" t="s">
        <v>355</v>
      </c>
      <c r="U1498" t="s">
        <v>528</v>
      </c>
      <c r="V1498" s="6" t="s">
        <v>684</v>
      </c>
      <c r="W1498" t="s">
        <v>47</v>
      </c>
      <c r="X1498" t="s">
        <v>822</v>
      </c>
      <c r="Y1498" s="6" t="s">
        <v>49</v>
      </c>
    </row>
    <row r="1499" spans="2:25" x14ac:dyDescent="0.3">
      <c r="B1499" s="5" t="s">
        <v>595</v>
      </c>
      <c r="C1499" s="5" t="str">
        <f>VLOOKUP(B1499,[1]물질정보!B:C,2,0)</f>
        <v>140-88-5</v>
      </c>
      <c r="D1499" t="str">
        <f>VLOOKUP(B1499,[1]물질정보!B:D,3,0)</f>
        <v>ethyl acrylate</v>
      </c>
      <c r="E1499" t="str">
        <f>VLOOKUP(B1499,[1]물질정보!B:E,4,0)</f>
        <v>C5H8O2</v>
      </c>
      <c r="F1499" t="str">
        <f>VLOOKUP(B1499,[1]물질정보!B:F,5,0)</f>
        <v>100.12 g/mol</v>
      </c>
      <c r="G1499" s="5" t="str">
        <f>VLOOKUP(B1499,[1]물질정보!B:G,6,0)</f>
        <v>CCOC(=O)C=C</v>
      </c>
      <c r="I1499" t="s">
        <v>494</v>
      </c>
      <c r="J1499" t="s">
        <v>538</v>
      </c>
      <c r="K1499">
        <v>1085.74</v>
      </c>
      <c r="L1499" t="s">
        <v>161</v>
      </c>
      <c r="M1499" t="s">
        <v>495</v>
      </c>
      <c r="R1499" t="s">
        <v>355</v>
      </c>
      <c r="U1499" t="s">
        <v>523</v>
      </c>
      <c r="V1499" s="6" t="s">
        <v>684</v>
      </c>
      <c r="W1499" t="s">
        <v>86</v>
      </c>
      <c r="X1499" t="s">
        <v>825</v>
      </c>
      <c r="Y1499" s="6" t="s">
        <v>81</v>
      </c>
    </row>
    <row r="1500" spans="2:25" x14ac:dyDescent="0.3">
      <c r="B1500" s="5" t="s">
        <v>595</v>
      </c>
      <c r="C1500" s="5" t="str">
        <f>VLOOKUP(B1500,[1]물질정보!B:C,2,0)</f>
        <v>140-88-5</v>
      </c>
      <c r="D1500" t="str">
        <f>VLOOKUP(B1500,[1]물질정보!B:D,3,0)</f>
        <v>ethyl acrylate</v>
      </c>
      <c r="E1500" t="str">
        <f>VLOOKUP(B1500,[1]물질정보!B:E,4,0)</f>
        <v>C5H8O2</v>
      </c>
      <c r="F1500" t="str">
        <f>VLOOKUP(B1500,[1]물질정보!B:F,5,0)</f>
        <v>100.12 g/mol</v>
      </c>
      <c r="G1500" s="5" t="str">
        <f>VLOOKUP(B1500,[1]물질정보!B:G,6,0)</f>
        <v>CCOC(=O)C=C</v>
      </c>
      <c r="I1500" t="s">
        <v>494</v>
      </c>
      <c r="J1500" t="s">
        <v>538</v>
      </c>
      <c r="K1500">
        <v>1144.93</v>
      </c>
      <c r="L1500" t="s">
        <v>161</v>
      </c>
      <c r="M1500" t="s">
        <v>495</v>
      </c>
      <c r="R1500" t="s">
        <v>355</v>
      </c>
      <c r="U1500" t="s">
        <v>525</v>
      </c>
      <c r="V1500" s="6" t="s">
        <v>684</v>
      </c>
      <c r="W1500" t="s">
        <v>86</v>
      </c>
      <c r="X1500" t="s">
        <v>825</v>
      </c>
      <c r="Y1500" s="6" t="s">
        <v>81</v>
      </c>
    </row>
    <row r="1501" spans="2:25" x14ac:dyDescent="0.3">
      <c r="B1501" s="5" t="s">
        <v>595</v>
      </c>
      <c r="C1501" s="5" t="str">
        <f>VLOOKUP(B1501,[1]물질정보!B:C,2,0)</f>
        <v>140-88-5</v>
      </c>
      <c r="D1501" t="str">
        <f>VLOOKUP(B1501,[1]물질정보!B:D,3,0)</f>
        <v>ethyl acrylate</v>
      </c>
      <c r="E1501" t="str">
        <f>VLOOKUP(B1501,[1]물질정보!B:E,4,0)</f>
        <v>C5H8O2</v>
      </c>
      <c r="F1501" t="str">
        <f>VLOOKUP(B1501,[1]물질정보!B:F,5,0)</f>
        <v>100.12 g/mol</v>
      </c>
      <c r="G1501" s="5" t="str">
        <f>VLOOKUP(B1501,[1]물질정보!B:G,6,0)</f>
        <v>CCOC(=O)C=C</v>
      </c>
      <c r="I1501" t="s">
        <v>494</v>
      </c>
      <c r="J1501" t="s">
        <v>538</v>
      </c>
      <c r="K1501">
        <v>808.7</v>
      </c>
      <c r="L1501" t="s">
        <v>161</v>
      </c>
      <c r="M1501" t="s">
        <v>495</v>
      </c>
      <c r="R1501" t="s">
        <v>355</v>
      </c>
      <c r="U1501" t="s">
        <v>527</v>
      </c>
      <c r="V1501" s="6" t="s">
        <v>684</v>
      </c>
      <c r="W1501" t="s">
        <v>86</v>
      </c>
      <c r="X1501" t="s">
        <v>825</v>
      </c>
      <c r="Y1501" s="6" t="s">
        <v>81</v>
      </c>
    </row>
    <row r="1502" spans="2:25" x14ac:dyDescent="0.3">
      <c r="B1502" s="5" t="s">
        <v>595</v>
      </c>
      <c r="C1502" s="5" t="str">
        <f>VLOOKUP(B1502,[1]물질정보!B:C,2,0)</f>
        <v>140-88-5</v>
      </c>
      <c r="D1502" t="str">
        <f>VLOOKUP(B1502,[1]물질정보!B:D,3,0)</f>
        <v>ethyl acrylate</v>
      </c>
      <c r="E1502" t="str">
        <f>VLOOKUP(B1502,[1]물질정보!B:E,4,0)</f>
        <v>C5H8O2</v>
      </c>
      <c r="F1502" t="str">
        <f>VLOOKUP(B1502,[1]물질정보!B:F,5,0)</f>
        <v>100.12 g/mol</v>
      </c>
      <c r="G1502" s="5" t="str">
        <f>VLOOKUP(B1502,[1]물질정보!B:G,6,0)</f>
        <v>CCOC(=O)C=C</v>
      </c>
      <c r="I1502" t="s">
        <v>494</v>
      </c>
      <c r="J1502" t="s">
        <v>538</v>
      </c>
      <c r="K1502">
        <v>1382.33</v>
      </c>
      <c r="L1502" t="s">
        <v>161</v>
      </c>
      <c r="M1502" t="s">
        <v>495</v>
      </c>
      <c r="R1502" t="s">
        <v>355</v>
      </c>
      <c r="U1502" t="s">
        <v>528</v>
      </c>
      <c r="V1502" s="6" t="s">
        <v>684</v>
      </c>
      <c r="W1502" t="s">
        <v>86</v>
      </c>
      <c r="X1502" t="s">
        <v>825</v>
      </c>
      <c r="Y1502" s="6" t="s">
        <v>81</v>
      </c>
    </row>
    <row r="1503" spans="2:25" x14ac:dyDescent="0.3">
      <c r="B1503" s="5" t="s">
        <v>595</v>
      </c>
      <c r="C1503" s="5" t="str">
        <f>VLOOKUP(B1503,[1]물질정보!B:C,2,0)</f>
        <v>140-88-5</v>
      </c>
      <c r="D1503" t="str">
        <f>VLOOKUP(B1503,[1]물질정보!B:D,3,0)</f>
        <v>ethyl acrylate</v>
      </c>
      <c r="E1503" t="str">
        <f>VLOOKUP(B1503,[1]물질정보!B:E,4,0)</f>
        <v>C5H8O2</v>
      </c>
      <c r="F1503" t="str">
        <f>VLOOKUP(B1503,[1]물질정보!B:F,5,0)</f>
        <v>100.12 g/mol</v>
      </c>
      <c r="G1503" s="5" t="str">
        <f>VLOOKUP(B1503,[1]물질정보!B:G,6,0)</f>
        <v>CCOC(=O)C=C</v>
      </c>
      <c r="I1503" t="s">
        <v>540</v>
      </c>
      <c r="J1503" t="s">
        <v>541</v>
      </c>
      <c r="K1503" t="s">
        <v>587</v>
      </c>
      <c r="M1503" t="s">
        <v>543</v>
      </c>
      <c r="N1503" t="s">
        <v>544</v>
      </c>
      <c r="R1503" t="s">
        <v>355</v>
      </c>
      <c r="U1503" t="s">
        <v>523</v>
      </c>
      <c r="V1503" s="6" t="s">
        <v>684</v>
      </c>
      <c r="W1503" t="s">
        <v>83</v>
      </c>
      <c r="X1503" t="s">
        <v>825</v>
      </c>
      <c r="Y1503" s="6" t="s">
        <v>827</v>
      </c>
    </row>
    <row r="1504" spans="2:25" x14ac:dyDescent="0.3">
      <c r="B1504" s="5" t="s">
        <v>595</v>
      </c>
      <c r="C1504" s="5" t="str">
        <f>VLOOKUP(B1504,[1]물질정보!B:C,2,0)</f>
        <v>140-88-5</v>
      </c>
      <c r="D1504" t="str">
        <f>VLOOKUP(B1504,[1]물질정보!B:D,3,0)</f>
        <v>ethyl acrylate</v>
      </c>
      <c r="E1504" t="str">
        <f>VLOOKUP(B1504,[1]물질정보!B:E,4,0)</f>
        <v>C5H8O2</v>
      </c>
      <c r="F1504" t="str">
        <f>VLOOKUP(B1504,[1]물질정보!B:F,5,0)</f>
        <v>100.12 g/mol</v>
      </c>
      <c r="G1504" s="5" t="str">
        <f>VLOOKUP(B1504,[1]물질정보!B:G,6,0)</f>
        <v>CCOC(=O)C=C</v>
      </c>
      <c r="I1504" t="s">
        <v>540</v>
      </c>
      <c r="J1504" t="s">
        <v>541</v>
      </c>
      <c r="K1504" t="s">
        <v>598</v>
      </c>
      <c r="M1504" t="s">
        <v>543</v>
      </c>
      <c r="N1504" t="s">
        <v>544</v>
      </c>
      <c r="R1504" t="s">
        <v>355</v>
      </c>
      <c r="U1504" t="s">
        <v>525</v>
      </c>
      <c r="V1504" s="6" t="s">
        <v>684</v>
      </c>
      <c r="W1504" t="s">
        <v>83</v>
      </c>
      <c r="X1504" t="s">
        <v>825</v>
      </c>
      <c r="Y1504" s="6" t="s">
        <v>827</v>
      </c>
    </row>
    <row r="1505" spans="2:25" x14ac:dyDescent="0.3">
      <c r="B1505" s="5" t="s">
        <v>595</v>
      </c>
      <c r="C1505" s="5" t="str">
        <f>VLOOKUP(B1505,[1]물질정보!B:C,2,0)</f>
        <v>140-88-5</v>
      </c>
      <c r="D1505" t="str">
        <f>VLOOKUP(B1505,[1]물질정보!B:D,3,0)</f>
        <v>ethyl acrylate</v>
      </c>
      <c r="E1505" t="str">
        <f>VLOOKUP(B1505,[1]물질정보!B:E,4,0)</f>
        <v>C5H8O2</v>
      </c>
      <c r="F1505" t="str">
        <f>VLOOKUP(B1505,[1]물질정보!B:F,5,0)</f>
        <v>100.12 g/mol</v>
      </c>
      <c r="G1505" s="5" t="str">
        <f>VLOOKUP(B1505,[1]물질정보!B:G,6,0)</f>
        <v>CCOC(=O)C=C</v>
      </c>
      <c r="I1505" t="s">
        <v>540</v>
      </c>
      <c r="J1505" t="s">
        <v>541</v>
      </c>
      <c r="K1505" t="s">
        <v>599</v>
      </c>
      <c r="M1505" t="s">
        <v>543</v>
      </c>
      <c r="N1505" t="s">
        <v>544</v>
      </c>
      <c r="R1505" t="s">
        <v>355</v>
      </c>
      <c r="U1505" t="s">
        <v>527</v>
      </c>
      <c r="V1505" s="6" t="s">
        <v>684</v>
      </c>
      <c r="W1505" t="s">
        <v>83</v>
      </c>
      <c r="X1505" t="s">
        <v>825</v>
      </c>
      <c r="Y1505" s="6" t="s">
        <v>827</v>
      </c>
    </row>
    <row r="1506" spans="2:25" x14ac:dyDescent="0.3">
      <c r="B1506" s="5" t="s">
        <v>595</v>
      </c>
      <c r="C1506" s="5" t="str">
        <f>VLOOKUP(B1506,[1]물질정보!B:C,2,0)</f>
        <v>140-88-5</v>
      </c>
      <c r="D1506" t="str">
        <f>VLOOKUP(B1506,[1]물질정보!B:D,3,0)</f>
        <v>ethyl acrylate</v>
      </c>
      <c r="E1506" t="str">
        <f>VLOOKUP(B1506,[1]물질정보!B:E,4,0)</f>
        <v>C5H8O2</v>
      </c>
      <c r="F1506" t="str">
        <f>VLOOKUP(B1506,[1]물질정보!B:F,5,0)</f>
        <v>100.12 g/mol</v>
      </c>
      <c r="G1506" s="5" t="str">
        <f>VLOOKUP(B1506,[1]물질정보!B:G,6,0)</f>
        <v>CCOC(=O)C=C</v>
      </c>
      <c r="I1506" t="s">
        <v>540</v>
      </c>
      <c r="J1506" t="s">
        <v>541</v>
      </c>
      <c r="K1506" t="s">
        <v>600</v>
      </c>
      <c r="M1506" t="s">
        <v>543</v>
      </c>
      <c r="N1506" t="s">
        <v>544</v>
      </c>
      <c r="R1506" t="s">
        <v>355</v>
      </c>
      <c r="U1506" t="s">
        <v>528</v>
      </c>
      <c r="V1506" s="6" t="s">
        <v>684</v>
      </c>
      <c r="W1506" t="s">
        <v>83</v>
      </c>
      <c r="X1506" t="s">
        <v>825</v>
      </c>
      <c r="Y1506" s="6" t="s">
        <v>827</v>
      </c>
    </row>
    <row r="1507" spans="2:25" x14ac:dyDescent="0.3">
      <c r="B1507" s="5" t="s">
        <v>595</v>
      </c>
      <c r="C1507" s="5" t="str">
        <f>VLOOKUP(B1507,[1]물질정보!B:C,2,0)</f>
        <v>140-88-5</v>
      </c>
      <c r="D1507" t="str">
        <f>VLOOKUP(B1507,[1]물질정보!B:D,3,0)</f>
        <v>ethyl acrylate</v>
      </c>
      <c r="E1507" t="str">
        <f>VLOOKUP(B1507,[1]물질정보!B:E,4,0)</f>
        <v>C5H8O2</v>
      </c>
      <c r="F1507" t="str">
        <f>VLOOKUP(B1507,[1]물질정보!B:F,5,0)</f>
        <v>100.12 g/mol</v>
      </c>
      <c r="G1507" s="5" t="str">
        <f>VLOOKUP(B1507,[1]물질정보!B:G,6,0)</f>
        <v>CCOC(=O)C=C</v>
      </c>
      <c r="I1507" t="s">
        <v>137</v>
      </c>
      <c r="J1507" t="s">
        <v>498</v>
      </c>
      <c r="K1507" t="s">
        <v>580</v>
      </c>
      <c r="R1507" t="s">
        <v>355</v>
      </c>
      <c r="U1507" t="s">
        <v>523</v>
      </c>
      <c r="V1507" s="6" t="s">
        <v>684</v>
      </c>
      <c r="X1507" t="s">
        <v>825</v>
      </c>
      <c r="Y1507" s="6" t="s">
        <v>89</v>
      </c>
    </row>
    <row r="1508" spans="2:25" x14ac:dyDescent="0.3">
      <c r="B1508" s="5" t="s">
        <v>595</v>
      </c>
      <c r="C1508" s="5" t="str">
        <f>VLOOKUP(B1508,[1]물질정보!B:C,2,0)</f>
        <v>140-88-5</v>
      </c>
      <c r="D1508" t="str">
        <f>VLOOKUP(B1508,[1]물질정보!B:D,3,0)</f>
        <v>ethyl acrylate</v>
      </c>
      <c r="E1508" t="str">
        <f>VLOOKUP(B1508,[1]물질정보!B:E,4,0)</f>
        <v>C5H8O2</v>
      </c>
      <c r="F1508" t="str">
        <f>VLOOKUP(B1508,[1]물질정보!B:F,5,0)</f>
        <v>100.12 g/mol</v>
      </c>
      <c r="G1508" s="5" t="str">
        <f>VLOOKUP(B1508,[1]물질정보!B:G,6,0)</f>
        <v>CCOC(=O)C=C</v>
      </c>
      <c r="I1508" t="s">
        <v>137</v>
      </c>
      <c r="J1508" t="s">
        <v>498</v>
      </c>
      <c r="K1508" t="s">
        <v>601</v>
      </c>
      <c r="R1508" t="s">
        <v>355</v>
      </c>
      <c r="U1508" t="s">
        <v>525</v>
      </c>
      <c r="V1508" s="6" t="s">
        <v>684</v>
      </c>
      <c r="X1508" t="s">
        <v>825</v>
      </c>
      <c r="Y1508" s="6" t="s">
        <v>89</v>
      </c>
    </row>
    <row r="1509" spans="2:25" x14ac:dyDescent="0.3">
      <c r="B1509" s="5" t="s">
        <v>595</v>
      </c>
      <c r="C1509" s="5" t="str">
        <f>VLOOKUP(B1509,[1]물질정보!B:C,2,0)</f>
        <v>140-88-5</v>
      </c>
      <c r="D1509" t="str">
        <f>VLOOKUP(B1509,[1]물질정보!B:D,3,0)</f>
        <v>ethyl acrylate</v>
      </c>
      <c r="E1509" t="str">
        <f>VLOOKUP(B1509,[1]물질정보!B:E,4,0)</f>
        <v>C5H8O2</v>
      </c>
      <c r="F1509" t="str">
        <f>VLOOKUP(B1509,[1]물질정보!B:F,5,0)</f>
        <v>100.12 g/mol</v>
      </c>
      <c r="G1509" s="5" t="str">
        <f>VLOOKUP(B1509,[1]물질정보!B:G,6,0)</f>
        <v>CCOC(=O)C=C</v>
      </c>
      <c r="I1509" t="s">
        <v>137</v>
      </c>
      <c r="J1509" t="s">
        <v>498</v>
      </c>
      <c r="K1509" t="s">
        <v>602</v>
      </c>
      <c r="R1509" t="s">
        <v>355</v>
      </c>
      <c r="U1509" t="s">
        <v>527</v>
      </c>
      <c r="V1509" s="6" t="s">
        <v>684</v>
      </c>
      <c r="X1509" t="s">
        <v>825</v>
      </c>
      <c r="Y1509" s="6" t="s">
        <v>89</v>
      </c>
    </row>
    <row r="1510" spans="2:25" x14ac:dyDescent="0.3">
      <c r="B1510" s="5" t="s">
        <v>595</v>
      </c>
      <c r="C1510" s="5" t="str">
        <f>VLOOKUP(B1510,[1]물질정보!B:C,2,0)</f>
        <v>140-88-5</v>
      </c>
      <c r="D1510" t="str">
        <f>VLOOKUP(B1510,[1]물질정보!B:D,3,0)</f>
        <v>ethyl acrylate</v>
      </c>
      <c r="E1510" t="str">
        <f>VLOOKUP(B1510,[1]물질정보!B:E,4,0)</f>
        <v>C5H8O2</v>
      </c>
      <c r="F1510" t="str">
        <f>VLOOKUP(B1510,[1]물질정보!B:F,5,0)</f>
        <v>100.12 g/mol</v>
      </c>
      <c r="G1510" s="5" t="str">
        <f>VLOOKUP(B1510,[1]물질정보!B:G,6,0)</f>
        <v>CCOC(=O)C=C</v>
      </c>
      <c r="I1510" t="s">
        <v>137</v>
      </c>
      <c r="J1510" t="s">
        <v>498</v>
      </c>
      <c r="K1510" t="s">
        <v>558</v>
      </c>
      <c r="R1510" t="s">
        <v>355</v>
      </c>
      <c r="U1510" t="s">
        <v>528</v>
      </c>
      <c r="V1510" s="6" t="s">
        <v>684</v>
      </c>
      <c r="X1510" t="s">
        <v>825</v>
      </c>
      <c r="Y1510" s="6" t="s">
        <v>89</v>
      </c>
    </row>
    <row r="1511" spans="2:25" x14ac:dyDescent="0.3">
      <c r="B1511" s="5" t="s">
        <v>67</v>
      </c>
      <c r="C1511" s="5" t="str">
        <f>VLOOKUP(B1511,[1]물질정보!B:C,2,0)</f>
        <v>818-61-1</v>
      </c>
      <c r="D1511" t="str">
        <f>VLOOKUP(B1511,[1]물질정보!B:D,3,0)</f>
        <v>2-hydroxyethyl acrylate</v>
      </c>
      <c r="E1511" t="str">
        <f>VLOOKUP(B1511,[1]물질정보!B:E,4,0)</f>
        <v>C5H8O3</v>
      </c>
      <c r="F1511" t="str">
        <f>VLOOKUP(B1511,[1]물질정보!B:F,5,0)</f>
        <v>116.11 g/mol</v>
      </c>
      <c r="G1511" s="5" t="str">
        <f>VLOOKUP(B1511,[1]물질정보!B:G,6,0)</f>
        <v>C=CC(=O)OCCO</v>
      </c>
      <c r="I1511" t="s">
        <v>520</v>
      </c>
      <c r="J1511" t="s">
        <v>521</v>
      </c>
      <c r="K1511" t="s">
        <v>564</v>
      </c>
      <c r="R1511" t="s">
        <v>355</v>
      </c>
      <c r="U1511" t="s">
        <v>523</v>
      </c>
      <c r="V1511" s="6" t="s">
        <v>684</v>
      </c>
      <c r="X1511" t="s">
        <v>825</v>
      </c>
      <c r="Y1511" s="6" t="s">
        <v>826</v>
      </c>
    </row>
    <row r="1512" spans="2:25" x14ac:dyDescent="0.3">
      <c r="B1512" s="5" t="s">
        <v>67</v>
      </c>
      <c r="C1512" s="5" t="str">
        <f>VLOOKUP(B1512,[1]물질정보!B:C,2,0)</f>
        <v>818-61-1</v>
      </c>
      <c r="D1512" t="str">
        <f>VLOOKUP(B1512,[1]물질정보!B:D,3,0)</f>
        <v>2-hydroxyethyl acrylate</v>
      </c>
      <c r="E1512" t="str">
        <f>VLOOKUP(B1512,[1]물질정보!B:E,4,0)</f>
        <v>C5H8O3</v>
      </c>
      <c r="F1512" t="str">
        <f>VLOOKUP(B1512,[1]물질정보!B:F,5,0)</f>
        <v>116.11 g/mol</v>
      </c>
      <c r="G1512" s="5" t="str">
        <f>VLOOKUP(B1512,[1]물질정보!B:G,6,0)</f>
        <v>C=CC(=O)OCCO</v>
      </c>
      <c r="I1512" t="s">
        <v>520</v>
      </c>
      <c r="J1512" t="s">
        <v>521</v>
      </c>
      <c r="K1512" t="s">
        <v>603</v>
      </c>
      <c r="R1512" t="s">
        <v>355</v>
      </c>
      <c r="U1512" t="s">
        <v>525</v>
      </c>
      <c r="V1512" s="6" t="s">
        <v>684</v>
      </c>
      <c r="X1512" t="s">
        <v>825</v>
      </c>
      <c r="Y1512" s="6" t="s">
        <v>826</v>
      </c>
    </row>
    <row r="1513" spans="2:25" x14ac:dyDescent="0.3">
      <c r="B1513" s="5" t="s">
        <v>67</v>
      </c>
      <c r="C1513" s="5" t="str">
        <f>VLOOKUP(B1513,[1]물질정보!B:C,2,0)</f>
        <v>818-61-1</v>
      </c>
      <c r="D1513" t="str">
        <f>VLOOKUP(B1513,[1]물질정보!B:D,3,0)</f>
        <v>2-hydroxyethyl acrylate</v>
      </c>
      <c r="E1513" t="str">
        <f>VLOOKUP(B1513,[1]물질정보!B:E,4,0)</f>
        <v>C5H8O3</v>
      </c>
      <c r="F1513" t="str">
        <f>VLOOKUP(B1513,[1]물질정보!B:F,5,0)</f>
        <v>116.11 g/mol</v>
      </c>
      <c r="G1513" s="5" t="str">
        <f>VLOOKUP(B1513,[1]물질정보!B:G,6,0)</f>
        <v>C=CC(=O)OCCO</v>
      </c>
      <c r="I1513" t="s">
        <v>520</v>
      </c>
      <c r="J1513" t="s">
        <v>521</v>
      </c>
      <c r="K1513" t="s">
        <v>588</v>
      </c>
      <c r="R1513" t="s">
        <v>355</v>
      </c>
      <c r="U1513" t="s">
        <v>527</v>
      </c>
      <c r="V1513" s="6" t="s">
        <v>684</v>
      </c>
      <c r="X1513" t="s">
        <v>825</v>
      </c>
      <c r="Y1513" s="6" t="s">
        <v>826</v>
      </c>
    </row>
    <row r="1514" spans="2:25" x14ac:dyDescent="0.3">
      <c r="B1514" s="5" t="s">
        <v>67</v>
      </c>
      <c r="C1514" s="5" t="str">
        <f>VLOOKUP(B1514,[1]물질정보!B:C,2,0)</f>
        <v>818-61-1</v>
      </c>
      <c r="D1514" t="str">
        <f>VLOOKUP(B1514,[1]물질정보!B:D,3,0)</f>
        <v>2-hydroxyethyl acrylate</v>
      </c>
      <c r="E1514" t="str">
        <f>VLOOKUP(B1514,[1]물질정보!B:E,4,0)</f>
        <v>C5H8O3</v>
      </c>
      <c r="F1514" t="str">
        <f>VLOOKUP(B1514,[1]물질정보!B:F,5,0)</f>
        <v>116.11 g/mol</v>
      </c>
      <c r="G1514" s="5" t="str">
        <f>VLOOKUP(B1514,[1]물질정보!B:G,6,0)</f>
        <v>C=CC(=O)OCCO</v>
      </c>
      <c r="I1514" t="s">
        <v>520</v>
      </c>
      <c r="J1514" t="s">
        <v>521</v>
      </c>
      <c r="K1514" t="s">
        <v>586</v>
      </c>
      <c r="R1514" t="s">
        <v>355</v>
      </c>
      <c r="U1514" t="s">
        <v>528</v>
      </c>
      <c r="V1514" s="6" t="s">
        <v>684</v>
      </c>
      <c r="X1514" t="s">
        <v>825</v>
      </c>
      <c r="Y1514" s="6" t="s">
        <v>826</v>
      </c>
    </row>
    <row r="1515" spans="2:25" x14ac:dyDescent="0.3">
      <c r="B1515" s="5" t="s">
        <v>67</v>
      </c>
      <c r="C1515" s="5" t="str">
        <f>VLOOKUP(B1515,[1]물질정보!B:C,2,0)</f>
        <v>818-61-1</v>
      </c>
      <c r="D1515" t="str">
        <f>VLOOKUP(B1515,[1]물질정보!B:D,3,0)</f>
        <v>2-hydroxyethyl acrylate</v>
      </c>
      <c r="E1515" t="str">
        <f>VLOOKUP(B1515,[1]물질정보!B:E,4,0)</f>
        <v>C5H8O3</v>
      </c>
      <c r="F1515" t="str">
        <f>VLOOKUP(B1515,[1]물질정보!B:F,5,0)</f>
        <v>116.11 g/mol</v>
      </c>
      <c r="G1515" s="5" t="str">
        <f>VLOOKUP(B1515,[1]물질정보!B:G,6,0)</f>
        <v>C=CC(=O)OCCO</v>
      </c>
      <c r="I1515" t="s">
        <v>529</v>
      </c>
      <c r="J1515" s="9" t="s">
        <v>530</v>
      </c>
      <c r="K1515">
        <v>42.65</v>
      </c>
      <c r="L1515" t="s">
        <v>39</v>
      </c>
      <c r="M1515" t="s">
        <v>532</v>
      </c>
      <c r="P1515">
        <v>48</v>
      </c>
      <c r="Q1515" t="s">
        <v>533</v>
      </c>
      <c r="R1515" t="s">
        <v>355</v>
      </c>
      <c r="U1515" t="s">
        <v>523</v>
      </c>
      <c r="V1515" s="6" t="s">
        <v>684</v>
      </c>
      <c r="W1515" t="s">
        <v>532</v>
      </c>
      <c r="X1515" t="s">
        <v>822</v>
      </c>
      <c r="Y1515" s="6" t="s">
        <v>530</v>
      </c>
    </row>
    <row r="1516" spans="2:25" x14ac:dyDescent="0.3">
      <c r="B1516" s="5" t="s">
        <v>67</v>
      </c>
      <c r="C1516" s="5" t="str">
        <f>VLOOKUP(B1516,[1]물질정보!B:C,2,0)</f>
        <v>818-61-1</v>
      </c>
      <c r="D1516" t="str">
        <f>VLOOKUP(B1516,[1]물질정보!B:D,3,0)</f>
        <v>2-hydroxyethyl acrylate</v>
      </c>
      <c r="E1516" t="str">
        <f>VLOOKUP(B1516,[1]물질정보!B:E,4,0)</f>
        <v>C5H8O3</v>
      </c>
      <c r="F1516" t="str">
        <f>VLOOKUP(B1516,[1]물질정보!B:F,5,0)</f>
        <v>116.11 g/mol</v>
      </c>
      <c r="G1516" s="5" t="str">
        <f>VLOOKUP(B1516,[1]물질정보!B:G,6,0)</f>
        <v>C=CC(=O)OCCO</v>
      </c>
      <c r="I1516" t="s">
        <v>529</v>
      </c>
      <c r="J1516" s="9" t="s">
        <v>530</v>
      </c>
      <c r="K1516">
        <v>71.77</v>
      </c>
      <c r="L1516" t="s">
        <v>39</v>
      </c>
      <c r="M1516" t="s">
        <v>532</v>
      </c>
      <c r="P1516">
        <v>48</v>
      </c>
      <c r="Q1516" t="s">
        <v>533</v>
      </c>
      <c r="R1516" t="s">
        <v>355</v>
      </c>
      <c r="U1516" t="s">
        <v>525</v>
      </c>
      <c r="V1516" s="6" t="s">
        <v>684</v>
      </c>
      <c r="W1516" t="s">
        <v>532</v>
      </c>
      <c r="X1516" t="s">
        <v>822</v>
      </c>
      <c r="Y1516" s="6" t="s">
        <v>530</v>
      </c>
    </row>
    <row r="1517" spans="2:25" x14ac:dyDescent="0.3">
      <c r="B1517" s="5" t="s">
        <v>67</v>
      </c>
      <c r="C1517" s="5" t="str">
        <f>VLOOKUP(B1517,[1]물질정보!B:C,2,0)</f>
        <v>818-61-1</v>
      </c>
      <c r="D1517" t="str">
        <f>VLOOKUP(B1517,[1]물질정보!B:D,3,0)</f>
        <v>2-hydroxyethyl acrylate</v>
      </c>
      <c r="E1517" t="str">
        <f>VLOOKUP(B1517,[1]물질정보!B:E,4,0)</f>
        <v>C5H8O3</v>
      </c>
      <c r="F1517" t="str">
        <f>VLOOKUP(B1517,[1]물질정보!B:F,5,0)</f>
        <v>116.11 g/mol</v>
      </c>
      <c r="G1517" s="5" t="str">
        <f>VLOOKUP(B1517,[1]물질정보!B:G,6,0)</f>
        <v>C=CC(=O)OCCO</v>
      </c>
      <c r="I1517" t="s">
        <v>529</v>
      </c>
      <c r="J1517" s="9" t="s">
        <v>530</v>
      </c>
      <c r="K1517">
        <v>45.74</v>
      </c>
      <c r="L1517" t="s">
        <v>39</v>
      </c>
      <c r="M1517" t="s">
        <v>532</v>
      </c>
      <c r="P1517">
        <v>48</v>
      </c>
      <c r="Q1517" t="s">
        <v>533</v>
      </c>
      <c r="R1517" t="s">
        <v>355</v>
      </c>
      <c r="U1517" t="s">
        <v>527</v>
      </c>
      <c r="V1517" s="6" t="s">
        <v>684</v>
      </c>
      <c r="W1517" t="s">
        <v>532</v>
      </c>
      <c r="X1517" t="s">
        <v>822</v>
      </c>
      <c r="Y1517" s="6" t="s">
        <v>530</v>
      </c>
    </row>
    <row r="1518" spans="2:25" x14ac:dyDescent="0.3">
      <c r="B1518" s="5" t="s">
        <v>67</v>
      </c>
      <c r="C1518" s="5" t="str">
        <f>VLOOKUP(B1518,[1]물질정보!B:C,2,0)</f>
        <v>818-61-1</v>
      </c>
      <c r="D1518" t="str">
        <f>VLOOKUP(B1518,[1]물질정보!B:D,3,0)</f>
        <v>2-hydroxyethyl acrylate</v>
      </c>
      <c r="E1518" t="str">
        <f>VLOOKUP(B1518,[1]물질정보!B:E,4,0)</f>
        <v>C5H8O3</v>
      </c>
      <c r="F1518" t="str">
        <f>VLOOKUP(B1518,[1]물질정보!B:F,5,0)</f>
        <v>116.11 g/mol</v>
      </c>
      <c r="G1518" s="5" t="str">
        <f>VLOOKUP(B1518,[1]물질정보!B:G,6,0)</f>
        <v>C=CC(=O)OCCO</v>
      </c>
      <c r="I1518" t="s">
        <v>529</v>
      </c>
      <c r="J1518" s="9" t="s">
        <v>530</v>
      </c>
      <c r="K1518">
        <v>23.64</v>
      </c>
      <c r="L1518" t="s">
        <v>39</v>
      </c>
      <c r="M1518" t="s">
        <v>532</v>
      </c>
      <c r="P1518">
        <v>48</v>
      </c>
      <c r="Q1518" t="s">
        <v>533</v>
      </c>
      <c r="R1518" t="s">
        <v>355</v>
      </c>
      <c r="U1518" t="s">
        <v>528</v>
      </c>
      <c r="V1518" s="6" t="s">
        <v>684</v>
      </c>
      <c r="W1518" t="s">
        <v>532</v>
      </c>
      <c r="X1518" t="s">
        <v>822</v>
      </c>
      <c r="Y1518" s="6" t="s">
        <v>530</v>
      </c>
    </row>
    <row r="1519" spans="2:25" x14ac:dyDescent="0.3">
      <c r="B1519" s="5" t="s">
        <v>67</v>
      </c>
      <c r="C1519" s="5" t="str">
        <f>VLOOKUP(B1519,[1]물질정보!B:C,2,0)</f>
        <v>818-61-1</v>
      </c>
      <c r="D1519" t="str">
        <f>VLOOKUP(B1519,[1]물질정보!B:D,3,0)</f>
        <v>2-hydroxyethyl acrylate</v>
      </c>
      <c r="E1519" t="str">
        <f>VLOOKUP(B1519,[1]물질정보!B:E,4,0)</f>
        <v>C5H8O3</v>
      </c>
      <c r="F1519" t="str">
        <f>VLOOKUP(B1519,[1]물질정보!B:F,5,0)</f>
        <v>116.11 g/mol</v>
      </c>
      <c r="G1519" s="5" t="str">
        <f>VLOOKUP(B1519,[1]물질정보!B:G,6,0)</f>
        <v>C=CC(=O)OCCO</v>
      </c>
      <c r="I1519" t="s">
        <v>534</v>
      </c>
      <c r="J1519" t="s">
        <v>535</v>
      </c>
      <c r="K1519">
        <v>8.34</v>
      </c>
      <c r="L1519" t="s">
        <v>39</v>
      </c>
      <c r="M1519" t="s">
        <v>536</v>
      </c>
      <c r="P1519">
        <v>96</v>
      </c>
      <c r="Q1519" t="s">
        <v>533</v>
      </c>
      <c r="R1519" t="s">
        <v>355</v>
      </c>
      <c r="U1519" t="s">
        <v>523</v>
      </c>
      <c r="V1519" s="6" t="s">
        <v>684</v>
      </c>
      <c r="W1519" t="s">
        <v>536</v>
      </c>
      <c r="X1519" t="s">
        <v>823</v>
      </c>
      <c r="Y1519" s="6" t="s">
        <v>49</v>
      </c>
    </row>
    <row r="1520" spans="2:25" x14ac:dyDescent="0.3">
      <c r="B1520" s="5" t="s">
        <v>67</v>
      </c>
      <c r="C1520" s="5" t="str">
        <f>VLOOKUP(B1520,[1]물질정보!B:C,2,0)</f>
        <v>818-61-1</v>
      </c>
      <c r="D1520" t="str">
        <f>VLOOKUP(B1520,[1]물질정보!B:D,3,0)</f>
        <v>2-hydroxyethyl acrylate</v>
      </c>
      <c r="E1520" t="str">
        <f>VLOOKUP(B1520,[1]물질정보!B:E,4,0)</f>
        <v>C5H8O3</v>
      </c>
      <c r="F1520" t="str">
        <f>VLOOKUP(B1520,[1]물질정보!B:F,5,0)</f>
        <v>116.11 g/mol</v>
      </c>
      <c r="G1520" s="5" t="str">
        <f>VLOOKUP(B1520,[1]물질정보!B:G,6,0)</f>
        <v>C=CC(=O)OCCO</v>
      </c>
      <c r="I1520" t="s">
        <v>534</v>
      </c>
      <c r="J1520" t="s">
        <v>535</v>
      </c>
      <c r="K1520">
        <v>9.16</v>
      </c>
      <c r="L1520" t="s">
        <v>39</v>
      </c>
      <c r="M1520" t="s">
        <v>536</v>
      </c>
      <c r="P1520">
        <v>96</v>
      </c>
      <c r="Q1520" t="s">
        <v>533</v>
      </c>
      <c r="R1520" t="s">
        <v>355</v>
      </c>
      <c r="U1520" t="s">
        <v>525</v>
      </c>
      <c r="V1520" s="6" t="s">
        <v>684</v>
      </c>
      <c r="W1520" t="s">
        <v>536</v>
      </c>
      <c r="X1520" t="s">
        <v>823</v>
      </c>
      <c r="Y1520" s="6" t="s">
        <v>49</v>
      </c>
    </row>
    <row r="1521" spans="2:25" x14ac:dyDescent="0.3">
      <c r="B1521" s="5" t="s">
        <v>67</v>
      </c>
      <c r="C1521" s="5" t="str">
        <f>VLOOKUP(B1521,[1]물질정보!B:C,2,0)</f>
        <v>818-61-1</v>
      </c>
      <c r="D1521" t="str">
        <f>VLOOKUP(B1521,[1]물질정보!B:D,3,0)</f>
        <v>2-hydroxyethyl acrylate</v>
      </c>
      <c r="E1521" t="str">
        <f>VLOOKUP(B1521,[1]물질정보!B:E,4,0)</f>
        <v>C5H8O3</v>
      </c>
      <c r="F1521" t="str">
        <f>VLOOKUP(B1521,[1]물질정보!B:F,5,0)</f>
        <v>116.11 g/mol</v>
      </c>
      <c r="G1521" s="5" t="str">
        <f>VLOOKUP(B1521,[1]물질정보!B:G,6,0)</f>
        <v>C=CC(=O)OCCO</v>
      </c>
      <c r="I1521" t="s">
        <v>534</v>
      </c>
      <c r="J1521" t="s">
        <v>535</v>
      </c>
      <c r="K1521">
        <v>13.25</v>
      </c>
      <c r="L1521" t="s">
        <v>39</v>
      </c>
      <c r="M1521" t="s">
        <v>536</v>
      </c>
      <c r="P1521">
        <v>96</v>
      </c>
      <c r="Q1521" t="s">
        <v>533</v>
      </c>
      <c r="R1521" t="s">
        <v>355</v>
      </c>
      <c r="U1521" t="s">
        <v>527</v>
      </c>
      <c r="V1521" s="6" t="s">
        <v>684</v>
      </c>
      <c r="W1521" t="s">
        <v>536</v>
      </c>
      <c r="X1521" t="s">
        <v>823</v>
      </c>
      <c r="Y1521" s="6" t="s">
        <v>49</v>
      </c>
    </row>
    <row r="1522" spans="2:25" x14ac:dyDescent="0.3">
      <c r="B1522" s="5" t="s">
        <v>67</v>
      </c>
      <c r="C1522" s="5" t="str">
        <f>VLOOKUP(B1522,[1]물질정보!B:C,2,0)</f>
        <v>818-61-1</v>
      </c>
      <c r="D1522" t="str">
        <f>VLOOKUP(B1522,[1]물질정보!B:D,3,0)</f>
        <v>2-hydroxyethyl acrylate</v>
      </c>
      <c r="E1522" t="str">
        <f>VLOOKUP(B1522,[1]물질정보!B:E,4,0)</f>
        <v>C5H8O3</v>
      </c>
      <c r="F1522" t="str">
        <f>VLOOKUP(B1522,[1]물질정보!B:F,5,0)</f>
        <v>116.11 g/mol</v>
      </c>
      <c r="G1522" s="5" t="str">
        <f>VLOOKUP(B1522,[1]물질정보!B:G,6,0)</f>
        <v>C=CC(=O)OCCO</v>
      </c>
      <c r="I1522" t="s">
        <v>534</v>
      </c>
      <c r="J1522" t="s">
        <v>535</v>
      </c>
      <c r="K1522">
        <v>4.78</v>
      </c>
      <c r="L1522" t="s">
        <v>39</v>
      </c>
      <c r="M1522" t="s">
        <v>536</v>
      </c>
      <c r="P1522">
        <v>96</v>
      </c>
      <c r="Q1522" t="s">
        <v>533</v>
      </c>
      <c r="R1522" t="s">
        <v>355</v>
      </c>
      <c r="U1522" t="s">
        <v>528</v>
      </c>
      <c r="V1522" s="6" t="s">
        <v>684</v>
      </c>
      <c r="W1522" t="s">
        <v>536</v>
      </c>
      <c r="X1522" t="s">
        <v>823</v>
      </c>
      <c r="Y1522" s="6" t="s">
        <v>49</v>
      </c>
    </row>
    <row r="1523" spans="2:25" x14ac:dyDescent="0.3">
      <c r="B1523" s="5" t="s">
        <v>67</v>
      </c>
      <c r="C1523" s="5" t="str">
        <f>VLOOKUP(B1523,[1]물질정보!B:C,2,0)</f>
        <v>818-61-1</v>
      </c>
      <c r="D1523" t="str">
        <f>VLOOKUP(B1523,[1]물질정보!B:D,3,0)</f>
        <v>2-hydroxyethyl acrylate</v>
      </c>
      <c r="E1523" t="str">
        <f>VLOOKUP(B1523,[1]물질정보!B:E,4,0)</f>
        <v>C5H8O3</v>
      </c>
      <c r="F1523" t="str">
        <f>VLOOKUP(B1523,[1]물질정보!B:F,5,0)</f>
        <v>116.11 g/mol</v>
      </c>
      <c r="G1523" s="5" t="str">
        <f>VLOOKUP(B1523,[1]물질정보!B:G,6,0)</f>
        <v>C=CC(=O)OCCO</v>
      </c>
      <c r="I1523" t="s">
        <v>537</v>
      </c>
      <c r="J1523" t="s">
        <v>535</v>
      </c>
      <c r="K1523">
        <v>144.91</v>
      </c>
      <c r="L1523" t="s">
        <v>39</v>
      </c>
      <c r="M1523" t="s">
        <v>47</v>
      </c>
      <c r="P1523">
        <v>48</v>
      </c>
      <c r="Q1523" t="s">
        <v>533</v>
      </c>
      <c r="R1523" t="s">
        <v>355</v>
      </c>
      <c r="U1523" t="s">
        <v>523</v>
      </c>
      <c r="V1523" s="6" t="s">
        <v>684</v>
      </c>
      <c r="W1523" t="s">
        <v>47</v>
      </c>
      <c r="X1523" t="s">
        <v>822</v>
      </c>
      <c r="Y1523" s="6" t="s">
        <v>49</v>
      </c>
    </row>
    <row r="1524" spans="2:25" x14ac:dyDescent="0.3">
      <c r="B1524" s="5" t="s">
        <v>67</v>
      </c>
      <c r="C1524" s="5" t="str">
        <f>VLOOKUP(B1524,[1]물질정보!B:C,2,0)</f>
        <v>818-61-1</v>
      </c>
      <c r="D1524" t="str">
        <f>VLOOKUP(B1524,[1]물질정보!B:D,3,0)</f>
        <v>2-hydroxyethyl acrylate</v>
      </c>
      <c r="E1524" t="str">
        <f>VLOOKUP(B1524,[1]물질정보!B:E,4,0)</f>
        <v>C5H8O3</v>
      </c>
      <c r="F1524" t="str">
        <f>VLOOKUP(B1524,[1]물질정보!B:F,5,0)</f>
        <v>116.11 g/mol</v>
      </c>
      <c r="G1524" s="5" t="str">
        <f>VLOOKUP(B1524,[1]물질정보!B:G,6,0)</f>
        <v>C=CC(=O)OCCO</v>
      </c>
      <c r="I1524" t="s">
        <v>537</v>
      </c>
      <c r="J1524" t="s">
        <v>535</v>
      </c>
      <c r="K1524">
        <v>143.37</v>
      </c>
      <c r="L1524" t="s">
        <v>39</v>
      </c>
      <c r="M1524" t="s">
        <v>47</v>
      </c>
      <c r="P1524">
        <v>48</v>
      </c>
      <c r="Q1524" t="s">
        <v>533</v>
      </c>
      <c r="R1524" t="s">
        <v>355</v>
      </c>
      <c r="U1524" t="s">
        <v>525</v>
      </c>
      <c r="V1524" s="6" t="s">
        <v>684</v>
      </c>
      <c r="W1524" t="s">
        <v>47</v>
      </c>
      <c r="X1524" t="s">
        <v>822</v>
      </c>
      <c r="Y1524" s="6" t="s">
        <v>49</v>
      </c>
    </row>
    <row r="1525" spans="2:25" x14ac:dyDescent="0.3">
      <c r="B1525" s="5" t="s">
        <v>67</v>
      </c>
      <c r="C1525" s="5" t="str">
        <f>VLOOKUP(B1525,[1]물질정보!B:C,2,0)</f>
        <v>818-61-1</v>
      </c>
      <c r="D1525" t="str">
        <f>VLOOKUP(B1525,[1]물질정보!B:D,3,0)</f>
        <v>2-hydroxyethyl acrylate</v>
      </c>
      <c r="E1525" t="str">
        <f>VLOOKUP(B1525,[1]물질정보!B:E,4,0)</f>
        <v>C5H8O3</v>
      </c>
      <c r="F1525" t="str">
        <f>VLOOKUP(B1525,[1]물질정보!B:F,5,0)</f>
        <v>116.11 g/mol</v>
      </c>
      <c r="G1525" s="5" t="str">
        <f>VLOOKUP(B1525,[1]물질정보!B:G,6,0)</f>
        <v>C=CC(=O)OCCO</v>
      </c>
      <c r="I1525" t="s">
        <v>537</v>
      </c>
      <c r="J1525" t="s">
        <v>535</v>
      </c>
      <c r="K1525">
        <v>193.23</v>
      </c>
      <c r="L1525" t="s">
        <v>39</v>
      </c>
      <c r="M1525" t="s">
        <v>47</v>
      </c>
      <c r="P1525">
        <v>48</v>
      </c>
      <c r="Q1525" t="s">
        <v>533</v>
      </c>
      <c r="R1525" t="s">
        <v>355</v>
      </c>
      <c r="U1525" t="s">
        <v>527</v>
      </c>
      <c r="V1525" s="6" t="s">
        <v>684</v>
      </c>
      <c r="W1525" t="s">
        <v>47</v>
      </c>
      <c r="X1525" t="s">
        <v>822</v>
      </c>
      <c r="Y1525" s="6" t="s">
        <v>49</v>
      </c>
    </row>
    <row r="1526" spans="2:25" x14ac:dyDescent="0.3">
      <c r="B1526" s="5" t="s">
        <v>67</v>
      </c>
      <c r="C1526" s="5" t="str">
        <f>VLOOKUP(B1526,[1]물질정보!B:C,2,0)</f>
        <v>818-61-1</v>
      </c>
      <c r="D1526" t="str">
        <f>VLOOKUP(B1526,[1]물질정보!B:D,3,0)</f>
        <v>2-hydroxyethyl acrylate</v>
      </c>
      <c r="E1526" t="str">
        <f>VLOOKUP(B1526,[1]물질정보!B:E,4,0)</f>
        <v>C5H8O3</v>
      </c>
      <c r="F1526" t="str">
        <f>VLOOKUP(B1526,[1]물질정보!B:F,5,0)</f>
        <v>116.11 g/mol</v>
      </c>
      <c r="G1526" s="5" t="str">
        <f>VLOOKUP(B1526,[1]물질정보!B:G,6,0)</f>
        <v>C=CC(=O)OCCO</v>
      </c>
      <c r="I1526" t="s">
        <v>537</v>
      </c>
      <c r="J1526" t="s">
        <v>535</v>
      </c>
      <c r="K1526">
        <v>109.85</v>
      </c>
      <c r="L1526" t="s">
        <v>39</v>
      </c>
      <c r="M1526" t="s">
        <v>47</v>
      </c>
      <c r="P1526">
        <v>48</v>
      </c>
      <c r="Q1526" t="s">
        <v>533</v>
      </c>
      <c r="R1526" t="s">
        <v>355</v>
      </c>
      <c r="U1526" t="s">
        <v>528</v>
      </c>
      <c r="V1526" s="6" t="s">
        <v>684</v>
      </c>
      <c r="W1526" t="s">
        <v>47</v>
      </c>
      <c r="X1526" t="s">
        <v>822</v>
      </c>
      <c r="Y1526" s="6" t="s">
        <v>49</v>
      </c>
    </row>
    <row r="1527" spans="2:25" x14ac:dyDescent="0.3">
      <c r="B1527" s="5" t="s">
        <v>67</v>
      </c>
      <c r="C1527" s="5" t="str">
        <f>VLOOKUP(B1527,[1]물질정보!B:C,2,0)</f>
        <v>818-61-1</v>
      </c>
      <c r="D1527" t="str">
        <f>VLOOKUP(B1527,[1]물질정보!B:D,3,0)</f>
        <v>2-hydroxyethyl acrylate</v>
      </c>
      <c r="E1527" t="str">
        <f>VLOOKUP(B1527,[1]물질정보!B:E,4,0)</f>
        <v>C5H8O3</v>
      </c>
      <c r="F1527" t="str">
        <f>VLOOKUP(B1527,[1]물질정보!B:F,5,0)</f>
        <v>116.11 g/mol</v>
      </c>
      <c r="G1527" s="5" t="str">
        <f>VLOOKUP(B1527,[1]물질정보!B:G,6,0)</f>
        <v>C=CC(=O)OCCO</v>
      </c>
      <c r="I1527" t="s">
        <v>494</v>
      </c>
      <c r="J1527" t="s">
        <v>538</v>
      </c>
      <c r="K1527">
        <v>610.94000000000005</v>
      </c>
      <c r="L1527" t="s">
        <v>161</v>
      </c>
      <c r="M1527" t="s">
        <v>495</v>
      </c>
      <c r="R1527" t="s">
        <v>355</v>
      </c>
      <c r="U1527" t="s">
        <v>523</v>
      </c>
      <c r="V1527" s="6" t="s">
        <v>684</v>
      </c>
      <c r="W1527" t="s">
        <v>86</v>
      </c>
      <c r="X1527" t="s">
        <v>825</v>
      </c>
      <c r="Y1527" s="6" t="s">
        <v>81</v>
      </c>
    </row>
    <row r="1528" spans="2:25" x14ac:dyDescent="0.3">
      <c r="B1528" s="5" t="s">
        <v>67</v>
      </c>
      <c r="C1528" s="5" t="str">
        <f>VLOOKUP(B1528,[1]물질정보!B:C,2,0)</f>
        <v>818-61-1</v>
      </c>
      <c r="D1528" t="str">
        <f>VLOOKUP(B1528,[1]물질정보!B:D,3,0)</f>
        <v>2-hydroxyethyl acrylate</v>
      </c>
      <c r="E1528" t="str">
        <f>VLOOKUP(B1528,[1]물질정보!B:E,4,0)</f>
        <v>C5H8O3</v>
      </c>
      <c r="F1528" t="str">
        <f>VLOOKUP(B1528,[1]물질정보!B:F,5,0)</f>
        <v>116.11 g/mol</v>
      </c>
      <c r="G1528" s="5" t="str">
        <f>VLOOKUP(B1528,[1]물질정보!B:G,6,0)</f>
        <v>C=CC(=O)OCCO</v>
      </c>
      <c r="I1528" t="s">
        <v>494</v>
      </c>
      <c r="J1528" t="s">
        <v>538</v>
      </c>
      <c r="K1528">
        <v>667.77</v>
      </c>
      <c r="L1528" t="s">
        <v>161</v>
      </c>
      <c r="M1528" t="s">
        <v>495</v>
      </c>
      <c r="R1528" t="s">
        <v>355</v>
      </c>
      <c r="U1528" t="s">
        <v>525</v>
      </c>
      <c r="V1528" s="6" t="s">
        <v>684</v>
      </c>
      <c r="W1528" t="s">
        <v>86</v>
      </c>
      <c r="X1528" t="s">
        <v>825</v>
      </c>
      <c r="Y1528" s="6" t="s">
        <v>81</v>
      </c>
    </row>
    <row r="1529" spans="2:25" x14ac:dyDescent="0.3">
      <c r="B1529" s="5" t="s">
        <v>67</v>
      </c>
      <c r="C1529" s="5" t="str">
        <f>VLOOKUP(B1529,[1]물질정보!B:C,2,0)</f>
        <v>818-61-1</v>
      </c>
      <c r="D1529" t="str">
        <f>VLOOKUP(B1529,[1]물질정보!B:D,3,0)</f>
        <v>2-hydroxyethyl acrylate</v>
      </c>
      <c r="E1529" t="str">
        <f>VLOOKUP(B1529,[1]물질정보!B:E,4,0)</f>
        <v>C5H8O3</v>
      </c>
      <c r="F1529" t="str">
        <f>VLOOKUP(B1529,[1]물질정보!B:F,5,0)</f>
        <v>116.11 g/mol</v>
      </c>
      <c r="G1529" s="5" t="str">
        <f>VLOOKUP(B1529,[1]물질정보!B:G,6,0)</f>
        <v>C=CC(=O)OCCO</v>
      </c>
      <c r="I1529" t="s">
        <v>494</v>
      </c>
      <c r="J1529" t="s">
        <v>538</v>
      </c>
      <c r="K1529">
        <v>555.79999999999995</v>
      </c>
      <c r="L1529" t="s">
        <v>161</v>
      </c>
      <c r="M1529" t="s">
        <v>495</v>
      </c>
      <c r="R1529" t="s">
        <v>355</v>
      </c>
      <c r="U1529" t="s">
        <v>527</v>
      </c>
      <c r="V1529" s="6" t="s">
        <v>684</v>
      </c>
      <c r="W1529" t="s">
        <v>86</v>
      </c>
      <c r="X1529" t="s">
        <v>825</v>
      </c>
      <c r="Y1529" s="6" t="s">
        <v>81</v>
      </c>
    </row>
    <row r="1530" spans="2:25" x14ac:dyDescent="0.3">
      <c r="B1530" s="5" t="s">
        <v>67</v>
      </c>
      <c r="C1530" s="5" t="str">
        <f>VLOOKUP(B1530,[1]물질정보!B:C,2,0)</f>
        <v>818-61-1</v>
      </c>
      <c r="D1530" t="str">
        <f>VLOOKUP(B1530,[1]물질정보!B:D,3,0)</f>
        <v>2-hydroxyethyl acrylate</v>
      </c>
      <c r="E1530" t="str">
        <f>VLOOKUP(B1530,[1]물질정보!B:E,4,0)</f>
        <v>C5H8O3</v>
      </c>
      <c r="F1530" t="str">
        <f>VLOOKUP(B1530,[1]물질정보!B:F,5,0)</f>
        <v>116.11 g/mol</v>
      </c>
      <c r="G1530" s="5" t="str">
        <f>VLOOKUP(B1530,[1]물질정보!B:G,6,0)</f>
        <v>C=CC(=O)OCCO</v>
      </c>
      <c r="I1530" t="s">
        <v>494</v>
      </c>
      <c r="J1530" t="s">
        <v>538</v>
      </c>
      <c r="K1530">
        <v>614.4</v>
      </c>
      <c r="L1530" t="s">
        <v>161</v>
      </c>
      <c r="M1530" t="s">
        <v>495</v>
      </c>
      <c r="R1530" t="s">
        <v>355</v>
      </c>
      <c r="U1530" t="s">
        <v>528</v>
      </c>
      <c r="V1530" s="6" t="s">
        <v>684</v>
      </c>
      <c r="W1530" t="s">
        <v>86</v>
      </c>
      <c r="X1530" t="s">
        <v>825</v>
      </c>
      <c r="Y1530" s="6" t="s">
        <v>81</v>
      </c>
    </row>
    <row r="1531" spans="2:25" x14ac:dyDescent="0.3">
      <c r="B1531" s="5" t="s">
        <v>67</v>
      </c>
      <c r="C1531" s="5" t="str">
        <f>VLOOKUP(B1531,[1]물질정보!B:C,2,0)</f>
        <v>818-61-1</v>
      </c>
      <c r="D1531" t="str">
        <f>VLOOKUP(B1531,[1]물질정보!B:D,3,0)</f>
        <v>2-hydroxyethyl acrylate</v>
      </c>
      <c r="E1531" t="str">
        <f>VLOOKUP(B1531,[1]물질정보!B:E,4,0)</f>
        <v>C5H8O3</v>
      </c>
      <c r="F1531" t="str">
        <f>VLOOKUP(B1531,[1]물질정보!B:F,5,0)</f>
        <v>116.11 g/mol</v>
      </c>
      <c r="G1531" s="5" t="str">
        <f>VLOOKUP(B1531,[1]물질정보!B:G,6,0)</f>
        <v>C=CC(=O)OCCO</v>
      </c>
      <c r="I1531" t="s">
        <v>540</v>
      </c>
      <c r="J1531" t="s">
        <v>541</v>
      </c>
      <c r="K1531" t="s">
        <v>604</v>
      </c>
      <c r="M1531" t="s">
        <v>543</v>
      </c>
      <c r="N1531" t="s">
        <v>544</v>
      </c>
      <c r="R1531" t="s">
        <v>355</v>
      </c>
      <c r="U1531" t="s">
        <v>523</v>
      </c>
      <c r="V1531" s="6" t="s">
        <v>684</v>
      </c>
      <c r="W1531" t="s">
        <v>83</v>
      </c>
      <c r="X1531" t="s">
        <v>825</v>
      </c>
      <c r="Y1531" s="6" t="s">
        <v>827</v>
      </c>
    </row>
    <row r="1532" spans="2:25" x14ac:dyDescent="0.3">
      <c r="B1532" s="5" t="s">
        <v>67</v>
      </c>
      <c r="C1532" s="5" t="str">
        <f>VLOOKUP(B1532,[1]물질정보!B:C,2,0)</f>
        <v>818-61-1</v>
      </c>
      <c r="D1532" t="str">
        <f>VLOOKUP(B1532,[1]물질정보!B:D,3,0)</f>
        <v>2-hydroxyethyl acrylate</v>
      </c>
      <c r="E1532" t="str">
        <f>VLOOKUP(B1532,[1]물질정보!B:E,4,0)</f>
        <v>C5H8O3</v>
      </c>
      <c r="F1532" t="str">
        <f>VLOOKUP(B1532,[1]물질정보!B:F,5,0)</f>
        <v>116.11 g/mol</v>
      </c>
      <c r="G1532" s="5" t="str">
        <f>VLOOKUP(B1532,[1]물질정보!B:G,6,0)</f>
        <v>C=CC(=O)OCCO</v>
      </c>
      <c r="I1532" t="s">
        <v>540</v>
      </c>
      <c r="J1532" t="s">
        <v>541</v>
      </c>
      <c r="K1532" t="s">
        <v>546</v>
      </c>
      <c r="M1532" t="s">
        <v>543</v>
      </c>
      <c r="N1532" t="s">
        <v>544</v>
      </c>
      <c r="R1532" t="s">
        <v>355</v>
      </c>
      <c r="U1532" t="s">
        <v>525</v>
      </c>
      <c r="V1532" s="6" t="s">
        <v>684</v>
      </c>
      <c r="W1532" t="s">
        <v>83</v>
      </c>
      <c r="X1532" t="s">
        <v>825</v>
      </c>
      <c r="Y1532" s="6" t="s">
        <v>827</v>
      </c>
    </row>
    <row r="1533" spans="2:25" x14ac:dyDescent="0.3">
      <c r="B1533" s="5" t="s">
        <v>67</v>
      </c>
      <c r="C1533" s="5" t="str">
        <f>VLOOKUP(B1533,[1]물질정보!B:C,2,0)</f>
        <v>818-61-1</v>
      </c>
      <c r="D1533" t="str">
        <f>VLOOKUP(B1533,[1]물질정보!B:D,3,0)</f>
        <v>2-hydroxyethyl acrylate</v>
      </c>
      <c r="E1533" t="str">
        <f>VLOOKUP(B1533,[1]물질정보!B:E,4,0)</f>
        <v>C5H8O3</v>
      </c>
      <c r="F1533" t="str">
        <f>VLOOKUP(B1533,[1]물질정보!B:F,5,0)</f>
        <v>116.11 g/mol</v>
      </c>
      <c r="G1533" s="5" t="str">
        <f>VLOOKUP(B1533,[1]물질정보!B:G,6,0)</f>
        <v>C=CC(=O)OCCO</v>
      </c>
      <c r="I1533" t="s">
        <v>540</v>
      </c>
      <c r="J1533" t="s">
        <v>541</v>
      </c>
      <c r="K1533" t="s">
        <v>579</v>
      </c>
      <c r="M1533" t="s">
        <v>543</v>
      </c>
      <c r="N1533" t="s">
        <v>544</v>
      </c>
      <c r="R1533" t="s">
        <v>355</v>
      </c>
      <c r="U1533" t="s">
        <v>527</v>
      </c>
      <c r="V1533" s="6" t="s">
        <v>684</v>
      </c>
      <c r="W1533" t="s">
        <v>83</v>
      </c>
      <c r="X1533" t="s">
        <v>825</v>
      </c>
      <c r="Y1533" s="6" t="s">
        <v>827</v>
      </c>
    </row>
    <row r="1534" spans="2:25" x14ac:dyDescent="0.3">
      <c r="B1534" s="5" t="s">
        <v>67</v>
      </c>
      <c r="C1534" s="5" t="str">
        <f>VLOOKUP(B1534,[1]물질정보!B:C,2,0)</f>
        <v>818-61-1</v>
      </c>
      <c r="D1534" t="str">
        <f>VLOOKUP(B1534,[1]물질정보!B:D,3,0)</f>
        <v>2-hydroxyethyl acrylate</v>
      </c>
      <c r="E1534" t="str">
        <f>VLOOKUP(B1534,[1]물질정보!B:E,4,0)</f>
        <v>C5H8O3</v>
      </c>
      <c r="F1534" t="str">
        <f>VLOOKUP(B1534,[1]물질정보!B:F,5,0)</f>
        <v>116.11 g/mol</v>
      </c>
      <c r="G1534" s="5" t="str">
        <f>VLOOKUP(B1534,[1]물질정보!B:G,6,0)</f>
        <v>C=CC(=O)OCCO</v>
      </c>
      <c r="I1534" t="s">
        <v>540</v>
      </c>
      <c r="J1534" t="s">
        <v>541</v>
      </c>
      <c r="K1534" t="s">
        <v>547</v>
      </c>
      <c r="M1534" t="s">
        <v>543</v>
      </c>
      <c r="N1534" t="s">
        <v>544</v>
      </c>
      <c r="R1534" t="s">
        <v>355</v>
      </c>
      <c r="U1534" t="s">
        <v>528</v>
      </c>
      <c r="V1534" s="6" t="s">
        <v>684</v>
      </c>
      <c r="W1534" t="s">
        <v>83</v>
      </c>
      <c r="X1534" t="s">
        <v>825</v>
      </c>
      <c r="Y1534" s="6" t="s">
        <v>827</v>
      </c>
    </row>
    <row r="1535" spans="2:25" x14ac:dyDescent="0.3">
      <c r="B1535" s="5" t="s">
        <v>67</v>
      </c>
      <c r="C1535" s="5" t="str">
        <f>VLOOKUP(B1535,[1]물질정보!B:C,2,0)</f>
        <v>818-61-1</v>
      </c>
      <c r="D1535" t="str">
        <f>VLOOKUP(B1535,[1]물질정보!B:D,3,0)</f>
        <v>2-hydroxyethyl acrylate</v>
      </c>
      <c r="E1535" t="str">
        <f>VLOOKUP(B1535,[1]물질정보!B:E,4,0)</f>
        <v>C5H8O3</v>
      </c>
      <c r="F1535" t="str">
        <f>VLOOKUP(B1535,[1]물질정보!B:F,5,0)</f>
        <v>116.11 g/mol</v>
      </c>
      <c r="G1535" s="5" t="str">
        <f>VLOOKUP(B1535,[1]물질정보!B:G,6,0)</f>
        <v>C=CC(=O)OCCO</v>
      </c>
      <c r="I1535" t="s">
        <v>137</v>
      </c>
      <c r="J1535" t="s">
        <v>498</v>
      </c>
      <c r="K1535" t="s">
        <v>602</v>
      </c>
      <c r="R1535" t="s">
        <v>355</v>
      </c>
      <c r="U1535" t="s">
        <v>523</v>
      </c>
      <c r="V1535" s="6" t="s">
        <v>684</v>
      </c>
      <c r="X1535" t="s">
        <v>825</v>
      </c>
      <c r="Y1535" s="6" t="s">
        <v>89</v>
      </c>
    </row>
    <row r="1536" spans="2:25" x14ac:dyDescent="0.3">
      <c r="B1536" s="5" t="s">
        <v>67</v>
      </c>
      <c r="C1536" s="5" t="str">
        <f>VLOOKUP(B1536,[1]물질정보!B:C,2,0)</f>
        <v>818-61-1</v>
      </c>
      <c r="D1536" t="str">
        <f>VLOOKUP(B1536,[1]물질정보!B:D,3,0)</f>
        <v>2-hydroxyethyl acrylate</v>
      </c>
      <c r="E1536" t="str">
        <f>VLOOKUP(B1536,[1]물질정보!B:E,4,0)</f>
        <v>C5H8O3</v>
      </c>
      <c r="F1536" t="str">
        <f>VLOOKUP(B1536,[1]물질정보!B:F,5,0)</f>
        <v>116.11 g/mol</v>
      </c>
      <c r="G1536" s="5" t="str">
        <f>VLOOKUP(B1536,[1]물질정보!B:G,6,0)</f>
        <v>C=CC(=O)OCCO</v>
      </c>
      <c r="I1536" t="s">
        <v>137</v>
      </c>
      <c r="J1536" t="s">
        <v>498</v>
      </c>
      <c r="K1536" t="s">
        <v>601</v>
      </c>
      <c r="R1536" t="s">
        <v>355</v>
      </c>
      <c r="U1536" t="s">
        <v>525</v>
      </c>
      <c r="V1536" s="6" t="s">
        <v>684</v>
      </c>
      <c r="X1536" t="s">
        <v>825</v>
      </c>
      <c r="Y1536" s="6" t="s">
        <v>89</v>
      </c>
    </row>
    <row r="1537" spans="2:25" x14ac:dyDescent="0.3">
      <c r="B1537" s="5" t="s">
        <v>67</v>
      </c>
      <c r="C1537" s="5" t="str">
        <f>VLOOKUP(B1537,[1]물질정보!B:C,2,0)</f>
        <v>818-61-1</v>
      </c>
      <c r="D1537" t="str">
        <f>VLOOKUP(B1537,[1]물질정보!B:D,3,0)</f>
        <v>2-hydroxyethyl acrylate</v>
      </c>
      <c r="E1537" t="str">
        <f>VLOOKUP(B1537,[1]물질정보!B:E,4,0)</f>
        <v>C5H8O3</v>
      </c>
      <c r="F1537" t="str">
        <f>VLOOKUP(B1537,[1]물질정보!B:F,5,0)</f>
        <v>116.11 g/mol</v>
      </c>
      <c r="G1537" s="5" t="str">
        <f>VLOOKUP(B1537,[1]물질정보!B:G,6,0)</f>
        <v>C=CC(=O)OCCO</v>
      </c>
      <c r="I1537" t="s">
        <v>137</v>
      </c>
      <c r="J1537" t="s">
        <v>498</v>
      </c>
      <c r="K1537" t="s">
        <v>547</v>
      </c>
      <c r="R1537" t="s">
        <v>355</v>
      </c>
      <c r="U1537" t="s">
        <v>527</v>
      </c>
      <c r="V1537" s="6" t="s">
        <v>684</v>
      </c>
      <c r="X1537" t="s">
        <v>825</v>
      </c>
      <c r="Y1537" s="6" t="s">
        <v>89</v>
      </c>
    </row>
    <row r="1538" spans="2:25" x14ac:dyDescent="0.3">
      <c r="B1538" s="5" t="s">
        <v>67</v>
      </c>
      <c r="C1538" s="5" t="str">
        <f>VLOOKUP(B1538,[1]물질정보!B:C,2,0)</f>
        <v>818-61-1</v>
      </c>
      <c r="D1538" t="str">
        <f>VLOOKUP(B1538,[1]물질정보!B:D,3,0)</f>
        <v>2-hydroxyethyl acrylate</v>
      </c>
      <c r="E1538" t="str">
        <f>VLOOKUP(B1538,[1]물질정보!B:E,4,0)</f>
        <v>C5H8O3</v>
      </c>
      <c r="F1538" t="str">
        <f>VLOOKUP(B1538,[1]물질정보!B:F,5,0)</f>
        <v>116.11 g/mol</v>
      </c>
      <c r="G1538" s="5" t="str">
        <f>VLOOKUP(B1538,[1]물질정보!B:G,6,0)</f>
        <v>C=CC(=O)OCCO</v>
      </c>
      <c r="I1538" t="s">
        <v>137</v>
      </c>
      <c r="J1538" t="s">
        <v>498</v>
      </c>
      <c r="K1538" t="s">
        <v>591</v>
      </c>
      <c r="R1538" t="s">
        <v>355</v>
      </c>
      <c r="U1538" t="s">
        <v>528</v>
      </c>
      <c r="V1538" s="6" t="s">
        <v>684</v>
      </c>
      <c r="X1538" t="s">
        <v>825</v>
      </c>
      <c r="Y1538" s="6" t="s">
        <v>89</v>
      </c>
    </row>
    <row r="1539" spans="2:25" x14ac:dyDescent="0.3">
      <c r="B1539" s="5" t="s">
        <v>65</v>
      </c>
      <c r="C1539" s="5" t="str">
        <f>VLOOKUP(B1539,[1]물질정보!B:C,2,0)</f>
        <v>141-32-2</v>
      </c>
      <c r="D1539" t="str">
        <f>VLOOKUP(B1539,[1]물질정보!B:D,3,0)</f>
        <v>butyl acrylate</v>
      </c>
      <c r="E1539" t="str">
        <f>VLOOKUP(B1539,[1]물질정보!B:E,4,0)</f>
        <v>C7H12O2</v>
      </c>
      <c r="F1539" t="str">
        <f>VLOOKUP(B1539,[1]물질정보!B:F,5,0)</f>
        <v>128.169 g/mol</v>
      </c>
      <c r="G1539" s="5" t="str">
        <f>VLOOKUP(B1539,[1]물질정보!B:G,6,0)</f>
        <v>CCCCOC(=O)C=C</v>
      </c>
      <c r="I1539" t="s">
        <v>520</v>
      </c>
      <c r="J1539" t="s">
        <v>521</v>
      </c>
      <c r="K1539" t="s">
        <v>584</v>
      </c>
      <c r="R1539" t="s">
        <v>355</v>
      </c>
      <c r="U1539" t="s">
        <v>523</v>
      </c>
      <c r="V1539" s="6" t="s">
        <v>684</v>
      </c>
      <c r="X1539" t="s">
        <v>825</v>
      </c>
      <c r="Y1539" s="6" t="s">
        <v>826</v>
      </c>
    </row>
    <row r="1540" spans="2:25" x14ac:dyDescent="0.3">
      <c r="B1540" s="5" t="s">
        <v>65</v>
      </c>
      <c r="C1540" s="5" t="str">
        <f>VLOOKUP(B1540,[1]물질정보!B:C,2,0)</f>
        <v>141-32-2</v>
      </c>
      <c r="D1540" t="str">
        <f>VLOOKUP(B1540,[1]물질정보!B:D,3,0)</f>
        <v>butyl acrylate</v>
      </c>
      <c r="E1540" t="str">
        <f>VLOOKUP(B1540,[1]물질정보!B:E,4,0)</f>
        <v>C7H12O2</v>
      </c>
      <c r="F1540" t="str">
        <f>VLOOKUP(B1540,[1]물질정보!B:F,5,0)</f>
        <v>128.169 g/mol</v>
      </c>
      <c r="G1540" s="5" t="str">
        <f>VLOOKUP(B1540,[1]물질정보!B:G,6,0)</f>
        <v>CCCCOC(=O)C=C</v>
      </c>
      <c r="I1540" t="s">
        <v>520</v>
      </c>
      <c r="J1540" t="s">
        <v>521</v>
      </c>
      <c r="K1540" t="s">
        <v>546</v>
      </c>
      <c r="R1540" t="s">
        <v>355</v>
      </c>
      <c r="U1540" t="s">
        <v>525</v>
      </c>
      <c r="V1540" s="6" t="s">
        <v>684</v>
      </c>
      <c r="X1540" t="s">
        <v>825</v>
      </c>
      <c r="Y1540" s="6" t="s">
        <v>826</v>
      </c>
    </row>
    <row r="1541" spans="2:25" x14ac:dyDescent="0.3">
      <c r="B1541" s="5" t="s">
        <v>65</v>
      </c>
      <c r="C1541" s="5" t="str">
        <f>VLOOKUP(B1541,[1]물질정보!B:C,2,0)</f>
        <v>141-32-2</v>
      </c>
      <c r="D1541" t="str">
        <f>VLOOKUP(B1541,[1]물질정보!B:D,3,0)</f>
        <v>butyl acrylate</v>
      </c>
      <c r="E1541" t="str">
        <f>VLOOKUP(B1541,[1]물질정보!B:E,4,0)</f>
        <v>C7H12O2</v>
      </c>
      <c r="F1541" t="str">
        <f>VLOOKUP(B1541,[1]물질정보!B:F,5,0)</f>
        <v>128.169 g/mol</v>
      </c>
      <c r="G1541" s="5" t="str">
        <f>VLOOKUP(B1541,[1]물질정보!B:G,6,0)</f>
        <v>CCCCOC(=O)C=C</v>
      </c>
      <c r="I1541" t="s">
        <v>520</v>
      </c>
      <c r="J1541" t="s">
        <v>521</v>
      </c>
      <c r="K1541" t="s">
        <v>605</v>
      </c>
      <c r="R1541" t="s">
        <v>355</v>
      </c>
      <c r="U1541" t="s">
        <v>527</v>
      </c>
      <c r="V1541" s="6" t="s">
        <v>684</v>
      </c>
      <c r="X1541" t="s">
        <v>825</v>
      </c>
      <c r="Y1541" s="6" t="s">
        <v>826</v>
      </c>
    </row>
    <row r="1542" spans="2:25" x14ac:dyDescent="0.3">
      <c r="B1542" s="5" t="s">
        <v>65</v>
      </c>
      <c r="C1542" s="5" t="str">
        <f>VLOOKUP(B1542,[1]물질정보!B:C,2,0)</f>
        <v>141-32-2</v>
      </c>
      <c r="D1542" t="str">
        <f>VLOOKUP(B1542,[1]물질정보!B:D,3,0)</f>
        <v>butyl acrylate</v>
      </c>
      <c r="E1542" t="str">
        <f>VLOOKUP(B1542,[1]물질정보!B:E,4,0)</f>
        <v>C7H12O2</v>
      </c>
      <c r="F1542" t="str">
        <f>VLOOKUP(B1542,[1]물질정보!B:F,5,0)</f>
        <v>128.169 g/mol</v>
      </c>
      <c r="G1542" s="5" t="str">
        <f>VLOOKUP(B1542,[1]물질정보!B:G,6,0)</f>
        <v>CCCCOC(=O)C=C</v>
      </c>
      <c r="I1542" t="s">
        <v>520</v>
      </c>
      <c r="J1542" t="s">
        <v>521</v>
      </c>
      <c r="K1542" t="s">
        <v>562</v>
      </c>
      <c r="R1542" t="s">
        <v>355</v>
      </c>
      <c r="U1542" t="s">
        <v>528</v>
      </c>
      <c r="V1542" s="6" t="s">
        <v>684</v>
      </c>
      <c r="X1542" t="s">
        <v>825</v>
      </c>
      <c r="Y1542" s="6" t="s">
        <v>826</v>
      </c>
    </row>
    <row r="1543" spans="2:25" x14ac:dyDescent="0.3">
      <c r="B1543" s="5" t="s">
        <v>65</v>
      </c>
      <c r="C1543" s="5" t="str">
        <f>VLOOKUP(B1543,[1]물질정보!B:C,2,0)</f>
        <v>141-32-2</v>
      </c>
      <c r="D1543" t="str">
        <f>VLOOKUP(B1543,[1]물질정보!B:D,3,0)</f>
        <v>butyl acrylate</v>
      </c>
      <c r="E1543" t="str">
        <f>VLOOKUP(B1543,[1]물질정보!B:E,4,0)</f>
        <v>C7H12O2</v>
      </c>
      <c r="F1543" t="str">
        <f>VLOOKUP(B1543,[1]물질정보!B:F,5,0)</f>
        <v>128.169 g/mol</v>
      </c>
      <c r="G1543" s="5" t="str">
        <f>VLOOKUP(B1543,[1]물질정보!B:G,6,0)</f>
        <v>CCCCOC(=O)C=C</v>
      </c>
      <c r="I1543" t="s">
        <v>529</v>
      </c>
      <c r="J1543" s="9" t="s">
        <v>530</v>
      </c>
      <c r="K1543">
        <v>40.46</v>
      </c>
      <c r="L1543" t="s">
        <v>39</v>
      </c>
      <c r="M1543" t="s">
        <v>532</v>
      </c>
      <c r="P1543">
        <v>48</v>
      </c>
      <c r="Q1543" t="s">
        <v>533</v>
      </c>
      <c r="R1543" t="s">
        <v>355</v>
      </c>
      <c r="U1543" t="s">
        <v>523</v>
      </c>
      <c r="V1543" s="6" t="s">
        <v>684</v>
      </c>
      <c r="W1543" t="s">
        <v>532</v>
      </c>
      <c r="X1543" t="s">
        <v>822</v>
      </c>
      <c r="Y1543" s="6" t="s">
        <v>530</v>
      </c>
    </row>
    <row r="1544" spans="2:25" x14ac:dyDescent="0.3">
      <c r="B1544" s="5" t="s">
        <v>65</v>
      </c>
      <c r="C1544" s="5" t="str">
        <f>VLOOKUP(B1544,[1]물질정보!B:C,2,0)</f>
        <v>141-32-2</v>
      </c>
      <c r="D1544" t="str">
        <f>VLOOKUP(B1544,[1]물질정보!B:D,3,0)</f>
        <v>butyl acrylate</v>
      </c>
      <c r="E1544" t="str">
        <f>VLOOKUP(B1544,[1]물질정보!B:E,4,0)</f>
        <v>C7H12O2</v>
      </c>
      <c r="F1544" t="str">
        <f>VLOOKUP(B1544,[1]물질정보!B:F,5,0)</f>
        <v>128.169 g/mol</v>
      </c>
      <c r="G1544" s="5" t="str">
        <f>VLOOKUP(B1544,[1]물질정보!B:G,6,0)</f>
        <v>CCCCOC(=O)C=C</v>
      </c>
      <c r="I1544" t="s">
        <v>529</v>
      </c>
      <c r="J1544" s="9" t="s">
        <v>530</v>
      </c>
      <c r="K1544">
        <v>54.53</v>
      </c>
      <c r="L1544" t="s">
        <v>39</v>
      </c>
      <c r="M1544" t="s">
        <v>532</v>
      </c>
      <c r="P1544">
        <v>48</v>
      </c>
      <c r="Q1544" t="s">
        <v>533</v>
      </c>
      <c r="R1544" t="s">
        <v>355</v>
      </c>
      <c r="U1544" t="s">
        <v>525</v>
      </c>
      <c r="V1544" s="6" t="s">
        <v>684</v>
      </c>
      <c r="W1544" t="s">
        <v>532</v>
      </c>
      <c r="X1544" t="s">
        <v>822</v>
      </c>
      <c r="Y1544" s="6" t="s">
        <v>530</v>
      </c>
    </row>
    <row r="1545" spans="2:25" x14ac:dyDescent="0.3">
      <c r="B1545" s="5" t="s">
        <v>65</v>
      </c>
      <c r="C1545" s="5" t="str">
        <f>VLOOKUP(B1545,[1]물질정보!B:C,2,0)</f>
        <v>141-32-2</v>
      </c>
      <c r="D1545" t="str">
        <f>VLOOKUP(B1545,[1]물질정보!B:D,3,0)</f>
        <v>butyl acrylate</v>
      </c>
      <c r="E1545" t="str">
        <f>VLOOKUP(B1545,[1]물질정보!B:E,4,0)</f>
        <v>C7H12O2</v>
      </c>
      <c r="F1545" t="str">
        <f>VLOOKUP(B1545,[1]물질정보!B:F,5,0)</f>
        <v>128.169 g/mol</v>
      </c>
      <c r="G1545" s="5" t="str">
        <f>VLOOKUP(B1545,[1]물질정보!B:G,6,0)</f>
        <v>CCCCOC(=O)C=C</v>
      </c>
      <c r="I1545" t="s">
        <v>529</v>
      </c>
      <c r="J1545" s="9" t="s">
        <v>530</v>
      </c>
      <c r="K1545">
        <v>30.49</v>
      </c>
      <c r="L1545" t="s">
        <v>39</v>
      </c>
      <c r="M1545" t="s">
        <v>532</v>
      </c>
      <c r="P1545">
        <v>48</v>
      </c>
      <c r="Q1545" t="s">
        <v>533</v>
      </c>
      <c r="R1545" t="s">
        <v>355</v>
      </c>
      <c r="U1545" t="s">
        <v>527</v>
      </c>
      <c r="V1545" s="6" t="s">
        <v>684</v>
      </c>
      <c r="W1545" t="s">
        <v>532</v>
      </c>
      <c r="X1545" t="s">
        <v>822</v>
      </c>
      <c r="Y1545" s="6" t="s">
        <v>530</v>
      </c>
    </row>
    <row r="1546" spans="2:25" x14ac:dyDescent="0.3">
      <c r="B1546" s="5" t="s">
        <v>65</v>
      </c>
      <c r="C1546" s="5" t="str">
        <f>VLOOKUP(B1546,[1]물질정보!B:C,2,0)</f>
        <v>141-32-2</v>
      </c>
      <c r="D1546" t="str">
        <f>VLOOKUP(B1546,[1]물질정보!B:D,3,0)</f>
        <v>butyl acrylate</v>
      </c>
      <c r="E1546" t="str">
        <f>VLOOKUP(B1546,[1]물질정보!B:E,4,0)</f>
        <v>C7H12O2</v>
      </c>
      <c r="F1546" t="str">
        <f>VLOOKUP(B1546,[1]물질정보!B:F,5,0)</f>
        <v>128.169 g/mol</v>
      </c>
      <c r="G1546" s="5" t="str">
        <f>VLOOKUP(B1546,[1]물질정보!B:G,6,0)</f>
        <v>CCCCOC(=O)C=C</v>
      </c>
      <c r="I1546" t="s">
        <v>529</v>
      </c>
      <c r="J1546" s="9" t="s">
        <v>530</v>
      </c>
      <c r="K1546">
        <v>39.840000000000003</v>
      </c>
      <c r="L1546" t="s">
        <v>39</v>
      </c>
      <c r="M1546" t="s">
        <v>532</v>
      </c>
      <c r="P1546">
        <v>48</v>
      </c>
      <c r="Q1546" t="s">
        <v>533</v>
      </c>
      <c r="R1546" t="s">
        <v>355</v>
      </c>
      <c r="U1546" t="s">
        <v>528</v>
      </c>
      <c r="V1546" s="6" t="s">
        <v>684</v>
      </c>
      <c r="W1546" t="s">
        <v>532</v>
      </c>
      <c r="X1546" t="s">
        <v>822</v>
      </c>
      <c r="Y1546" s="6" t="s">
        <v>530</v>
      </c>
    </row>
    <row r="1547" spans="2:25" x14ac:dyDescent="0.3">
      <c r="B1547" s="5" t="s">
        <v>65</v>
      </c>
      <c r="C1547" s="5" t="str">
        <f>VLOOKUP(B1547,[1]물질정보!B:C,2,0)</f>
        <v>141-32-2</v>
      </c>
      <c r="D1547" t="str">
        <f>VLOOKUP(B1547,[1]물질정보!B:D,3,0)</f>
        <v>butyl acrylate</v>
      </c>
      <c r="E1547" t="str">
        <f>VLOOKUP(B1547,[1]물질정보!B:E,4,0)</f>
        <v>C7H12O2</v>
      </c>
      <c r="F1547" t="str">
        <f>VLOOKUP(B1547,[1]물질정보!B:F,5,0)</f>
        <v>128.169 g/mol</v>
      </c>
      <c r="G1547" s="5" t="str">
        <f>VLOOKUP(B1547,[1]물질정보!B:G,6,0)</f>
        <v>CCCCOC(=O)C=C</v>
      </c>
      <c r="I1547" t="s">
        <v>534</v>
      </c>
      <c r="J1547" t="s">
        <v>535</v>
      </c>
      <c r="K1547">
        <v>4.32</v>
      </c>
      <c r="L1547" t="s">
        <v>39</v>
      </c>
      <c r="M1547" t="s">
        <v>536</v>
      </c>
      <c r="P1547">
        <v>96</v>
      </c>
      <c r="Q1547" t="s">
        <v>533</v>
      </c>
      <c r="R1547" t="s">
        <v>355</v>
      </c>
      <c r="U1547" t="s">
        <v>523</v>
      </c>
      <c r="V1547" s="6" t="s">
        <v>684</v>
      </c>
      <c r="W1547" t="s">
        <v>536</v>
      </c>
      <c r="X1547" t="s">
        <v>823</v>
      </c>
      <c r="Y1547" s="6" t="s">
        <v>49</v>
      </c>
    </row>
    <row r="1548" spans="2:25" x14ac:dyDescent="0.3">
      <c r="B1548" s="5" t="s">
        <v>65</v>
      </c>
      <c r="C1548" s="5" t="str">
        <f>VLOOKUP(B1548,[1]물질정보!B:C,2,0)</f>
        <v>141-32-2</v>
      </c>
      <c r="D1548" t="str">
        <f>VLOOKUP(B1548,[1]물질정보!B:D,3,0)</f>
        <v>butyl acrylate</v>
      </c>
      <c r="E1548" t="str">
        <f>VLOOKUP(B1548,[1]물질정보!B:E,4,0)</f>
        <v>C7H12O2</v>
      </c>
      <c r="F1548" t="str">
        <f>VLOOKUP(B1548,[1]물질정보!B:F,5,0)</f>
        <v>128.169 g/mol</v>
      </c>
      <c r="G1548" s="5" t="str">
        <f>VLOOKUP(B1548,[1]물질정보!B:G,6,0)</f>
        <v>CCCCOC(=O)C=C</v>
      </c>
      <c r="I1548" t="s">
        <v>534</v>
      </c>
      <c r="J1548" t="s">
        <v>535</v>
      </c>
      <c r="K1548">
        <v>7.91</v>
      </c>
      <c r="L1548" t="s">
        <v>39</v>
      </c>
      <c r="M1548" t="s">
        <v>536</v>
      </c>
      <c r="P1548">
        <v>96</v>
      </c>
      <c r="Q1548" t="s">
        <v>533</v>
      </c>
      <c r="R1548" t="s">
        <v>355</v>
      </c>
      <c r="U1548" t="s">
        <v>525</v>
      </c>
      <c r="V1548" s="6" t="s">
        <v>684</v>
      </c>
      <c r="W1548" t="s">
        <v>536</v>
      </c>
      <c r="X1548" t="s">
        <v>823</v>
      </c>
      <c r="Y1548" s="6" t="s">
        <v>49</v>
      </c>
    </row>
    <row r="1549" spans="2:25" x14ac:dyDescent="0.3">
      <c r="B1549" s="5" t="s">
        <v>65</v>
      </c>
      <c r="C1549" s="5" t="str">
        <f>VLOOKUP(B1549,[1]물질정보!B:C,2,0)</f>
        <v>141-32-2</v>
      </c>
      <c r="D1549" t="str">
        <f>VLOOKUP(B1549,[1]물질정보!B:D,3,0)</f>
        <v>butyl acrylate</v>
      </c>
      <c r="E1549" t="str">
        <f>VLOOKUP(B1549,[1]물질정보!B:E,4,0)</f>
        <v>C7H12O2</v>
      </c>
      <c r="F1549" t="str">
        <f>VLOOKUP(B1549,[1]물질정보!B:F,5,0)</f>
        <v>128.169 g/mol</v>
      </c>
      <c r="G1549" s="5" t="str">
        <f>VLOOKUP(B1549,[1]물질정보!B:G,6,0)</f>
        <v>CCCCOC(=O)C=C</v>
      </c>
      <c r="I1549" t="s">
        <v>534</v>
      </c>
      <c r="J1549" t="s">
        <v>535</v>
      </c>
      <c r="K1549">
        <v>1.81</v>
      </c>
      <c r="L1549" t="s">
        <v>39</v>
      </c>
      <c r="M1549" t="s">
        <v>536</v>
      </c>
      <c r="P1549">
        <v>96</v>
      </c>
      <c r="Q1549" t="s">
        <v>533</v>
      </c>
      <c r="R1549" t="s">
        <v>355</v>
      </c>
      <c r="U1549" t="s">
        <v>527</v>
      </c>
      <c r="V1549" s="6" t="s">
        <v>684</v>
      </c>
      <c r="W1549" t="s">
        <v>536</v>
      </c>
      <c r="X1549" t="s">
        <v>823</v>
      </c>
      <c r="Y1549" s="6" t="s">
        <v>49</v>
      </c>
    </row>
    <row r="1550" spans="2:25" x14ac:dyDescent="0.3">
      <c r="B1550" s="5" t="s">
        <v>65</v>
      </c>
      <c r="C1550" s="5" t="str">
        <f>VLOOKUP(B1550,[1]물질정보!B:C,2,0)</f>
        <v>141-32-2</v>
      </c>
      <c r="D1550" t="str">
        <f>VLOOKUP(B1550,[1]물질정보!B:D,3,0)</f>
        <v>butyl acrylate</v>
      </c>
      <c r="E1550" t="str">
        <f>VLOOKUP(B1550,[1]물질정보!B:E,4,0)</f>
        <v>C7H12O2</v>
      </c>
      <c r="F1550" t="str">
        <f>VLOOKUP(B1550,[1]물질정보!B:F,5,0)</f>
        <v>128.169 g/mol</v>
      </c>
      <c r="G1550" s="5" t="str">
        <f>VLOOKUP(B1550,[1]물질정보!B:G,6,0)</f>
        <v>CCCCOC(=O)C=C</v>
      </c>
      <c r="I1550" t="s">
        <v>534</v>
      </c>
      <c r="J1550" t="s">
        <v>535</v>
      </c>
      <c r="K1550">
        <v>5.63</v>
      </c>
      <c r="L1550" t="s">
        <v>39</v>
      </c>
      <c r="M1550" t="s">
        <v>536</v>
      </c>
      <c r="P1550">
        <v>96</v>
      </c>
      <c r="Q1550" t="s">
        <v>533</v>
      </c>
      <c r="R1550" t="s">
        <v>355</v>
      </c>
      <c r="U1550" t="s">
        <v>528</v>
      </c>
      <c r="V1550" s="6" t="s">
        <v>684</v>
      </c>
      <c r="W1550" t="s">
        <v>536</v>
      </c>
      <c r="X1550" t="s">
        <v>823</v>
      </c>
      <c r="Y1550" s="6" t="s">
        <v>49</v>
      </c>
    </row>
    <row r="1551" spans="2:25" x14ac:dyDescent="0.3">
      <c r="B1551" s="5" t="s">
        <v>65</v>
      </c>
      <c r="C1551" s="5" t="str">
        <f>VLOOKUP(B1551,[1]물질정보!B:C,2,0)</f>
        <v>141-32-2</v>
      </c>
      <c r="D1551" t="str">
        <f>VLOOKUP(B1551,[1]물질정보!B:D,3,0)</f>
        <v>butyl acrylate</v>
      </c>
      <c r="E1551" t="str">
        <f>VLOOKUP(B1551,[1]물질정보!B:E,4,0)</f>
        <v>C7H12O2</v>
      </c>
      <c r="F1551" t="str">
        <f>VLOOKUP(B1551,[1]물질정보!B:F,5,0)</f>
        <v>128.169 g/mol</v>
      </c>
      <c r="G1551" s="5" t="str">
        <f>VLOOKUP(B1551,[1]물질정보!B:G,6,0)</f>
        <v>CCCCOC(=O)C=C</v>
      </c>
      <c r="I1551" t="s">
        <v>537</v>
      </c>
      <c r="J1551" t="s">
        <v>535</v>
      </c>
      <c r="K1551">
        <v>16.63</v>
      </c>
      <c r="L1551" t="s">
        <v>39</v>
      </c>
      <c r="M1551" t="s">
        <v>47</v>
      </c>
      <c r="P1551">
        <v>48</v>
      </c>
      <c r="Q1551" t="s">
        <v>533</v>
      </c>
      <c r="R1551" t="s">
        <v>355</v>
      </c>
      <c r="U1551" t="s">
        <v>523</v>
      </c>
      <c r="V1551" s="6" t="s">
        <v>684</v>
      </c>
      <c r="W1551" t="s">
        <v>47</v>
      </c>
      <c r="X1551" t="s">
        <v>822</v>
      </c>
      <c r="Y1551" s="6" t="s">
        <v>49</v>
      </c>
    </row>
    <row r="1552" spans="2:25" x14ac:dyDescent="0.3">
      <c r="B1552" s="5" t="s">
        <v>65</v>
      </c>
      <c r="C1552" s="5" t="str">
        <f>VLOOKUP(B1552,[1]물질정보!B:C,2,0)</f>
        <v>141-32-2</v>
      </c>
      <c r="D1552" t="str">
        <f>VLOOKUP(B1552,[1]물질정보!B:D,3,0)</f>
        <v>butyl acrylate</v>
      </c>
      <c r="E1552" t="str">
        <f>VLOOKUP(B1552,[1]물질정보!B:E,4,0)</f>
        <v>C7H12O2</v>
      </c>
      <c r="F1552" t="str">
        <f>VLOOKUP(B1552,[1]물질정보!B:F,5,0)</f>
        <v>128.169 g/mol</v>
      </c>
      <c r="G1552" s="5" t="str">
        <f>VLOOKUP(B1552,[1]물질정보!B:G,6,0)</f>
        <v>CCCCOC(=O)C=C</v>
      </c>
      <c r="I1552" t="s">
        <v>537</v>
      </c>
      <c r="J1552" t="s">
        <v>535</v>
      </c>
      <c r="K1552">
        <v>19.64</v>
      </c>
      <c r="L1552" t="s">
        <v>39</v>
      </c>
      <c r="M1552" t="s">
        <v>47</v>
      </c>
      <c r="P1552">
        <v>48</v>
      </c>
      <c r="Q1552" t="s">
        <v>533</v>
      </c>
      <c r="R1552" t="s">
        <v>355</v>
      </c>
      <c r="U1552" t="s">
        <v>525</v>
      </c>
      <c r="V1552" s="6" t="s">
        <v>684</v>
      </c>
      <c r="W1552" t="s">
        <v>47</v>
      </c>
      <c r="X1552" t="s">
        <v>822</v>
      </c>
      <c r="Y1552" s="6" t="s">
        <v>49</v>
      </c>
    </row>
    <row r="1553" spans="2:25" x14ac:dyDescent="0.3">
      <c r="B1553" s="5" t="s">
        <v>65</v>
      </c>
      <c r="C1553" s="5" t="str">
        <f>VLOOKUP(B1553,[1]물질정보!B:C,2,0)</f>
        <v>141-32-2</v>
      </c>
      <c r="D1553" t="str">
        <f>VLOOKUP(B1553,[1]물질정보!B:D,3,0)</f>
        <v>butyl acrylate</v>
      </c>
      <c r="E1553" t="str">
        <f>VLOOKUP(B1553,[1]물질정보!B:E,4,0)</f>
        <v>C7H12O2</v>
      </c>
      <c r="F1553" t="str">
        <f>VLOOKUP(B1553,[1]물질정보!B:F,5,0)</f>
        <v>128.169 g/mol</v>
      </c>
      <c r="G1553" s="5" t="str">
        <f>VLOOKUP(B1553,[1]물질정보!B:G,6,0)</f>
        <v>CCCCOC(=O)C=C</v>
      </c>
      <c r="I1553" t="s">
        <v>537</v>
      </c>
      <c r="J1553" t="s">
        <v>535</v>
      </c>
      <c r="K1553">
        <v>26.96</v>
      </c>
      <c r="L1553" t="s">
        <v>39</v>
      </c>
      <c r="M1553" t="s">
        <v>47</v>
      </c>
      <c r="P1553">
        <v>48</v>
      </c>
      <c r="Q1553" t="s">
        <v>533</v>
      </c>
      <c r="R1553" t="s">
        <v>355</v>
      </c>
      <c r="U1553" t="s">
        <v>527</v>
      </c>
      <c r="V1553" s="6" t="s">
        <v>684</v>
      </c>
      <c r="W1553" t="s">
        <v>47</v>
      </c>
      <c r="X1553" t="s">
        <v>822</v>
      </c>
      <c r="Y1553" s="6" t="s">
        <v>49</v>
      </c>
    </row>
    <row r="1554" spans="2:25" x14ac:dyDescent="0.3">
      <c r="B1554" s="5" t="s">
        <v>65</v>
      </c>
      <c r="C1554" s="5" t="str">
        <f>VLOOKUP(B1554,[1]물질정보!B:C,2,0)</f>
        <v>141-32-2</v>
      </c>
      <c r="D1554" t="str">
        <f>VLOOKUP(B1554,[1]물질정보!B:D,3,0)</f>
        <v>butyl acrylate</v>
      </c>
      <c r="E1554" t="str">
        <f>VLOOKUP(B1554,[1]물질정보!B:E,4,0)</f>
        <v>C7H12O2</v>
      </c>
      <c r="F1554" t="str">
        <f>VLOOKUP(B1554,[1]물질정보!B:F,5,0)</f>
        <v>128.169 g/mol</v>
      </c>
      <c r="G1554" s="5" t="str">
        <f>VLOOKUP(B1554,[1]물질정보!B:G,6,0)</f>
        <v>CCCCOC(=O)C=C</v>
      </c>
      <c r="I1554" t="s">
        <v>537</v>
      </c>
      <c r="J1554" t="s">
        <v>535</v>
      </c>
      <c r="K1554">
        <v>8.68</v>
      </c>
      <c r="L1554" t="s">
        <v>39</v>
      </c>
      <c r="M1554" t="s">
        <v>47</v>
      </c>
      <c r="P1554">
        <v>48</v>
      </c>
      <c r="Q1554" t="s">
        <v>533</v>
      </c>
      <c r="R1554" t="s">
        <v>355</v>
      </c>
      <c r="U1554" t="s">
        <v>528</v>
      </c>
      <c r="V1554" s="6" t="s">
        <v>684</v>
      </c>
      <c r="W1554" t="s">
        <v>47</v>
      </c>
      <c r="X1554" t="s">
        <v>822</v>
      </c>
      <c r="Y1554" s="6" t="s">
        <v>49</v>
      </c>
    </row>
    <row r="1555" spans="2:25" x14ac:dyDescent="0.3">
      <c r="B1555" s="5" t="s">
        <v>65</v>
      </c>
      <c r="C1555" s="5" t="str">
        <f>VLOOKUP(B1555,[1]물질정보!B:C,2,0)</f>
        <v>141-32-2</v>
      </c>
      <c r="D1555" t="str">
        <f>VLOOKUP(B1555,[1]물질정보!B:D,3,0)</f>
        <v>butyl acrylate</v>
      </c>
      <c r="E1555" t="str">
        <f>VLOOKUP(B1555,[1]물질정보!B:E,4,0)</f>
        <v>C7H12O2</v>
      </c>
      <c r="F1555" t="str">
        <f>VLOOKUP(B1555,[1]물질정보!B:F,5,0)</f>
        <v>128.169 g/mol</v>
      </c>
      <c r="G1555" s="5" t="str">
        <f>VLOOKUP(B1555,[1]물질정보!B:G,6,0)</f>
        <v>CCCCOC(=O)C=C</v>
      </c>
      <c r="I1555" t="s">
        <v>494</v>
      </c>
      <c r="J1555" t="s">
        <v>538</v>
      </c>
      <c r="K1555">
        <v>2729.54</v>
      </c>
      <c r="L1555" t="s">
        <v>161</v>
      </c>
      <c r="M1555" t="s">
        <v>495</v>
      </c>
      <c r="R1555" t="s">
        <v>355</v>
      </c>
      <c r="U1555" t="s">
        <v>523</v>
      </c>
      <c r="V1555" s="6" t="s">
        <v>684</v>
      </c>
      <c r="W1555" t="s">
        <v>86</v>
      </c>
      <c r="X1555" t="s">
        <v>825</v>
      </c>
      <c r="Y1555" s="6" t="s">
        <v>81</v>
      </c>
    </row>
    <row r="1556" spans="2:25" x14ac:dyDescent="0.3">
      <c r="B1556" s="5" t="s">
        <v>65</v>
      </c>
      <c r="C1556" s="5" t="str">
        <f>VLOOKUP(B1556,[1]물질정보!B:C,2,0)</f>
        <v>141-32-2</v>
      </c>
      <c r="D1556" t="str">
        <f>VLOOKUP(B1556,[1]물질정보!B:D,3,0)</f>
        <v>butyl acrylate</v>
      </c>
      <c r="E1556" t="str">
        <f>VLOOKUP(B1556,[1]물질정보!B:E,4,0)</f>
        <v>C7H12O2</v>
      </c>
      <c r="F1556" t="str">
        <f>VLOOKUP(B1556,[1]물질정보!B:F,5,0)</f>
        <v>128.169 g/mol</v>
      </c>
      <c r="G1556" s="5" t="str">
        <f>VLOOKUP(B1556,[1]물질정보!B:G,6,0)</f>
        <v>CCCCOC(=O)C=C</v>
      </c>
      <c r="I1556" t="s">
        <v>494</v>
      </c>
      <c r="J1556" t="s">
        <v>538</v>
      </c>
      <c r="K1556">
        <v>2906.38</v>
      </c>
      <c r="L1556" t="s">
        <v>161</v>
      </c>
      <c r="M1556" t="s">
        <v>495</v>
      </c>
      <c r="R1556" t="s">
        <v>355</v>
      </c>
      <c r="U1556" t="s">
        <v>525</v>
      </c>
      <c r="V1556" s="6" t="s">
        <v>684</v>
      </c>
      <c r="W1556" t="s">
        <v>86</v>
      </c>
      <c r="X1556" t="s">
        <v>825</v>
      </c>
      <c r="Y1556" s="6" t="s">
        <v>81</v>
      </c>
    </row>
    <row r="1557" spans="2:25" x14ac:dyDescent="0.3">
      <c r="B1557" s="5" t="s">
        <v>65</v>
      </c>
      <c r="C1557" s="5" t="str">
        <f>VLOOKUP(B1557,[1]물질정보!B:C,2,0)</f>
        <v>141-32-2</v>
      </c>
      <c r="D1557" t="str">
        <f>VLOOKUP(B1557,[1]물질정보!B:D,3,0)</f>
        <v>butyl acrylate</v>
      </c>
      <c r="E1557" t="str">
        <f>VLOOKUP(B1557,[1]물질정보!B:E,4,0)</f>
        <v>C7H12O2</v>
      </c>
      <c r="F1557" t="str">
        <f>VLOOKUP(B1557,[1]물질정보!B:F,5,0)</f>
        <v>128.169 g/mol</v>
      </c>
      <c r="G1557" s="5" t="str">
        <f>VLOOKUP(B1557,[1]물질정보!B:G,6,0)</f>
        <v>CCCCOC(=O)C=C</v>
      </c>
      <c r="I1557" t="s">
        <v>494</v>
      </c>
      <c r="J1557" t="s">
        <v>538</v>
      </c>
      <c r="K1557">
        <v>2258.62</v>
      </c>
      <c r="L1557" t="s">
        <v>161</v>
      </c>
      <c r="M1557" t="s">
        <v>495</v>
      </c>
      <c r="R1557" t="s">
        <v>355</v>
      </c>
      <c r="U1557" t="s">
        <v>527</v>
      </c>
      <c r="V1557" s="6" t="s">
        <v>684</v>
      </c>
      <c r="W1557" t="s">
        <v>86</v>
      </c>
      <c r="X1557" t="s">
        <v>825</v>
      </c>
      <c r="Y1557" s="6" t="s">
        <v>81</v>
      </c>
    </row>
    <row r="1558" spans="2:25" x14ac:dyDescent="0.3">
      <c r="B1558" s="5" t="s">
        <v>65</v>
      </c>
      <c r="C1558" s="5" t="str">
        <f>VLOOKUP(B1558,[1]물질정보!B:C,2,0)</f>
        <v>141-32-2</v>
      </c>
      <c r="D1558" t="str">
        <f>VLOOKUP(B1558,[1]물질정보!B:D,3,0)</f>
        <v>butyl acrylate</v>
      </c>
      <c r="E1558" t="str">
        <f>VLOOKUP(B1558,[1]물질정보!B:E,4,0)</f>
        <v>C7H12O2</v>
      </c>
      <c r="F1558" t="str">
        <f>VLOOKUP(B1558,[1]물질정보!B:F,5,0)</f>
        <v>128.169 g/mol</v>
      </c>
      <c r="G1558" s="5" t="str">
        <f>VLOOKUP(B1558,[1]물질정보!B:G,6,0)</f>
        <v>CCCCOC(=O)C=C</v>
      </c>
      <c r="I1558" t="s">
        <v>494</v>
      </c>
      <c r="J1558" t="s">
        <v>538</v>
      </c>
      <c r="K1558">
        <v>3097.94</v>
      </c>
      <c r="L1558" t="s">
        <v>161</v>
      </c>
      <c r="M1558" t="s">
        <v>495</v>
      </c>
      <c r="R1558" t="s">
        <v>355</v>
      </c>
      <c r="U1558" t="s">
        <v>528</v>
      </c>
      <c r="V1558" s="6" t="s">
        <v>684</v>
      </c>
      <c r="W1558" t="s">
        <v>86</v>
      </c>
      <c r="X1558" t="s">
        <v>825</v>
      </c>
      <c r="Y1558" s="6" t="s">
        <v>81</v>
      </c>
    </row>
    <row r="1559" spans="2:25" x14ac:dyDescent="0.3">
      <c r="B1559" s="5" t="s">
        <v>65</v>
      </c>
      <c r="C1559" s="5" t="str">
        <f>VLOOKUP(B1559,[1]물질정보!B:C,2,0)</f>
        <v>141-32-2</v>
      </c>
      <c r="D1559" t="str">
        <f>VLOOKUP(B1559,[1]물질정보!B:D,3,0)</f>
        <v>butyl acrylate</v>
      </c>
      <c r="E1559" t="str">
        <f>VLOOKUP(B1559,[1]물질정보!B:E,4,0)</f>
        <v>C7H12O2</v>
      </c>
      <c r="F1559" t="str">
        <f>VLOOKUP(B1559,[1]물질정보!B:F,5,0)</f>
        <v>128.169 g/mol</v>
      </c>
      <c r="G1559" s="5" t="str">
        <f>VLOOKUP(B1559,[1]물질정보!B:G,6,0)</f>
        <v>CCCCOC(=O)C=C</v>
      </c>
      <c r="I1559" t="s">
        <v>540</v>
      </c>
      <c r="J1559" t="s">
        <v>541</v>
      </c>
      <c r="K1559" t="s">
        <v>606</v>
      </c>
      <c r="M1559" t="s">
        <v>543</v>
      </c>
      <c r="N1559" t="s">
        <v>544</v>
      </c>
      <c r="R1559" t="s">
        <v>355</v>
      </c>
      <c r="U1559" t="s">
        <v>523</v>
      </c>
      <c r="V1559" s="6" t="s">
        <v>684</v>
      </c>
      <c r="W1559" t="s">
        <v>83</v>
      </c>
      <c r="X1559" t="s">
        <v>825</v>
      </c>
      <c r="Y1559" s="6" t="s">
        <v>827</v>
      </c>
    </row>
    <row r="1560" spans="2:25" x14ac:dyDescent="0.3">
      <c r="B1560" s="5" t="s">
        <v>65</v>
      </c>
      <c r="C1560" s="5" t="str">
        <f>VLOOKUP(B1560,[1]물질정보!B:C,2,0)</f>
        <v>141-32-2</v>
      </c>
      <c r="D1560" t="str">
        <f>VLOOKUP(B1560,[1]물질정보!B:D,3,0)</f>
        <v>butyl acrylate</v>
      </c>
      <c r="E1560" t="str">
        <f>VLOOKUP(B1560,[1]물질정보!B:E,4,0)</f>
        <v>C7H12O2</v>
      </c>
      <c r="F1560" t="str">
        <f>VLOOKUP(B1560,[1]물질정보!B:F,5,0)</f>
        <v>128.169 g/mol</v>
      </c>
      <c r="G1560" s="5" t="str">
        <f>VLOOKUP(B1560,[1]물질정보!B:G,6,0)</f>
        <v>CCCCOC(=O)C=C</v>
      </c>
      <c r="I1560" t="s">
        <v>540</v>
      </c>
      <c r="J1560" t="s">
        <v>541</v>
      </c>
      <c r="K1560" t="s">
        <v>607</v>
      </c>
      <c r="M1560" t="s">
        <v>543</v>
      </c>
      <c r="N1560" t="s">
        <v>544</v>
      </c>
      <c r="R1560" t="s">
        <v>355</v>
      </c>
      <c r="U1560" t="s">
        <v>525</v>
      </c>
      <c r="V1560" s="6" t="s">
        <v>684</v>
      </c>
      <c r="W1560" t="s">
        <v>83</v>
      </c>
      <c r="X1560" t="s">
        <v>825</v>
      </c>
      <c r="Y1560" s="6" t="s">
        <v>827</v>
      </c>
    </row>
    <row r="1561" spans="2:25" x14ac:dyDescent="0.3">
      <c r="B1561" s="5" t="s">
        <v>65</v>
      </c>
      <c r="C1561" s="5" t="str">
        <f>VLOOKUP(B1561,[1]물질정보!B:C,2,0)</f>
        <v>141-32-2</v>
      </c>
      <c r="D1561" t="str">
        <f>VLOOKUP(B1561,[1]물질정보!B:D,3,0)</f>
        <v>butyl acrylate</v>
      </c>
      <c r="E1561" t="str">
        <f>VLOOKUP(B1561,[1]물질정보!B:E,4,0)</f>
        <v>C7H12O2</v>
      </c>
      <c r="F1561" t="str">
        <f>VLOOKUP(B1561,[1]물질정보!B:F,5,0)</f>
        <v>128.169 g/mol</v>
      </c>
      <c r="G1561" s="5" t="str">
        <f>VLOOKUP(B1561,[1]물질정보!B:G,6,0)</f>
        <v>CCCCOC(=O)C=C</v>
      </c>
      <c r="I1561" t="s">
        <v>540</v>
      </c>
      <c r="J1561" t="s">
        <v>541</v>
      </c>
      <c r="K1561" t="s">
        <v>608</v>
      </c>
      <c r="M1561" t="s">
        <v>543</v>
      </c>
      <c r="N1561" t="s">
        <v>544</v>
      </c>
      <c r="R1561" t="s">
        <v>355</v>
      </c>
      <c r="U1561" t="s">
        <v>527</v>
      </c>
      <c r="V1561" s="6" t="s">
        <v>684</v>
      </c>
      <c r="W1561" t="s">
        <v>83</v>
      </c>
      <c r="X1561" t="s">
        <v>825</v>
      </c>
      <c r="Y1561" s="6" t="s">
        <v>827</v>
      </c>
    </row>
    <row r="1562" spans="2:25" x14ac:dyDescent="0.3">
      <c r="B1562" s="5" t="s">
        <v>65</v>
      </c>
      <c r="C1562" s="5" t="str">
        <f>VLOOKUP(B1562,[1]물질정보!B:C,2,0)</f>
        <v>141-32-2</v>
      </c>
      <c r="D1562" t="str">
        <f>VLOOKUP(B1562,[1]물질정보!B:D,3,0)</f>
        <v>butyl acrylate</v>
      </c>
      <c r="E1562" t="str">
        <f>VLOOKUP(B1562,[1]물질정보!B:E,4,0)</f>
        <v>C7H12O2</v>
      </c>
      <c r="F1562" t="str">
        <f>VLOOKUP(B1562,[1]물질정보!B:F,5,0)</f>
        <v>128.169 g/mol</v>
      </c>
      <c r="G1562" s="5" t="str">
        <f>VLOOKUP(B1562,[1]물질정보!B:G,6,0)</f>
        <v>CCCCOC(=O)C=C</v>
      </c>
      <c r="I1562" t="s">
        <v>540</v>
      </c>
      <c r="J1562" t="s">
        <v>541</v>
      </c>
      <c r="K1562" t="s">
        <v>609</v>
      </c>
      <c r="M1562" t="s">
        <v>543</v>
      </c>
      <c r="N1562" t="s">
        <v>544</v>
      </c>
      <c r="R1562" t="s">
        <v>355</v>
      </c>
      <c r="U1562" t="s">
        <v>528</v>
      </c>
      <c r="V1562" s="6" t="s">
        <v>684</v>
      </c>
      <c r="W1562" t="s">
        <v>83</v>
      </c>
      <c r="X1562" t="s">
        <v>825</v>
      </c>
      <c r="Y1562" s="6" t="s">
        <v>827</v>
      </c>
    </row>
    <row r="1563" spans="2:25" x14ac:dyDescent="0.3">
      <c r="B1563" s="5" t="s">
        <v>65</v>
      </c>
      <c r="C1563" s="5" t="str">
        <f>VLOOKUP(B1563,[1]물질정보!B:C,2,0)</f>
        <v>141-32-2</v>
      </c>
      <c r="D1563" t="str">
        <f>VLOOKUP(B1563,[1]물질정보!B:D,3,0)</f>
        <v>butyl acrylate</v>
      </c>
      <c r="E1563" t="str">
        <f>VLOOKUP(B1563,[1]물질정보!B:E,4,0)</f>
        <v>C7H12O2</v>
      </c>
      <c r="F1563" t="str">
        <f>VLOOKUP(B1563,[1]물질정보!B:F,5,0)</f>
        <v>128.169 g/mol</v>
      </c>
      <c r="G1563" s="5" t="str">
        <f>VLOOKUP(B1563,[1]물질정보!B:G,6,0)</f>
        <v>CCCCOC(=O)C=C</v>
      </c>
      <c r="I1563" t="s">
        <v>137</v>
      </c>
      <c r="J1563" t="s">
        <v>498</v>
      </c>
      <c r="K1563" t="s">
        <v>591</v>
      </c>
      <c r="R1563" t="s">
        <v>355</v>
      </c>
      <c r="U1563" t="s">
        <v>523</v>
      </c>
      <c r="V1563" s="6" t="s">
        <v>684</v>
      </c>
      <c r="X1563" t="s">
        <v>825</v>
      </c>
      <c r="Y1563" s="6" t="s">
        <v>89</v>
      </c>
    </row>
    <row r="1564" spans="2:25" x14ac:dyDescent="0.3">
      <c r="B1564" s="5" t="s">
        <v>65</v>
      </c>
      <c r="C1564" s="5" t="str">
        <f>VLOOKUP(B1564,[1]물질정보!B:C,2,0)</f>
        <v>141-32-2</v>
      </c>
      <c r="D1564" t="str">
        <f>VLOOKUP(B1564,[1]물질정보!B:D,3,0)</f>
        <v>butyl acrylate</v>
      </c>
      <c r="E1564" t="str">
        <f>VLOOKUP(B1564,[1]물질정보!B:E,4,0)</f>
        <v>C7H12O2</v>
      </c>
      <c r="F1564" t="str">
        <f>VLOOKUP(B1564,[1]물질정보!B:F,5,0)</f>
        <v>128.169 g/mol</v>
      </c>
      <c r="G1564" s="5" t="str">
        <f>VLOOKUP(B1564,[1]물질정보!B:G,6,0)</f>
        <v>CCCCOC(=O)C=C</v>
      </c>
      <c r="I1564" t="s">
        <v>137</v>
      </c>
      <c r="J1564" t="s">
        <v>498</v>
      </c>
      <c r="K1564" t="s">
        <v>593</v>
      </c>
      <c r="R1564" t="s">
        <v>355</v>
      </c>
      <c r="U1564" t="s">
        <v>525</v>
      </c>
      <c r="V1564" s="6" t="s">
        <v>684</v>
      </c>
      <c r="X1564" t="s">
        <v>825</v>
      </c>
      <c r="Y1564" s="6" t="s">
        <v>89</v>
      </c>
    </row>
    <row r="1565" spans="2:25" x14ac:dyDescent="0.3">
      <c r="B1565" s="5" t="s">
        <v>65</v>
      </c>
      <c r="C1565" s="5" t="str">
        <f>VLOOKUP(B1565,[1]물질정보!B:C,2,0)</f>
        <v>141-32-2</v>
      </c>
      <c r="D1565" t="str">
        <f>VLOOKUP(B1565,[1]물질정보!B:D,3,0)</f>
        <v>butyl acrylate</v>
      </c>
      <c r="E1565" t="str">
        <f>VLOOKUP(B1565,[1]물질정보!B:E,4,0)</f>
        <v>C7H12O2</v>
      </c>
      <c r="F1565" t="str">
        <f>VLOOKUP(B1565,[1]물질정보!B:F,5,0)</f>
        <v>128.169 g/mol</v>
      </c>
      <c r="G1565" s="5" t="str">
        <f>VLOOKUP(B1565,[1]물질정보!B:G,6,0)</f>
        <v>CCCCOC(=O)C=C</v>
      </c>
      <c r="I1565" t="s">
        <v>137</v>
      </c>
      <c r="J1565" t="s">
        <v>498</v>
      </c>
      <c r="K1565" t="s">
        <v>601</v>
      </c>
      <c r="R1565" t="s">
        <v>355</v>
      </c>
      <c r="U1565" t="s">
        <v>527</v>
      </c>
      <c r="V1565" s="6" t="s">
        <v>684</v>
      </c>
      <c r="X1565" t="s">
        <v>825</v>
      </c>
      <c r="Y1565" s="6" t="s">
        <v>89</v>
      </c>
    </row>
    <row r="1566" spans="2:25" x14ac:dyDescent="0.3">
      <c r="B1566" s="5" t="s">
        <v>65</v>
      </c>
      <c r="C1566" s="5" t="str">
        <f>VLOOKUP(B1566,[1]물질정보!B:C,2,0)</f>
        <v>141-32-2</v>
      </c>
      <c r="D1566" t="str">
        <f>VLOOKUP(B1566,[1]물질정보!B:D,3,0)</f>
        <v>butyl acrylate</v>
      </c>
      <c r="E1566" t="str">
        <f>VLOOKUP(B1566,[1]물질정보!B:E,4,0)</f>
        <v>C7H12O2</v>
      </c>
      <c r="F1566" t="str">
        <f>VLOOKUP(B1566,[1]물질정보!B:F,5,0)</f>
        <v>128.169 g/mol</v>
      </c>
      <c r="G1566" s="5" t="str">
        <f>VLOOKUP(B1566,[1]물질정보!B:G,6,0)</f>
        <v>CCCCOC(=O)C=C</v>
      </c>
      <c r="I1566" t="s">
        <v>137</v>
      </c>
      <c r="J1566" t="s">
        <v>498</v>
      </c>
      <c r="K1566" t="s">
        <v>593</v>
      </c>
      <c r="R1566" t="s">
        <v>355</v>
      </c>
      <c r="U1566" t="s">
        <v>528</v>
      </c>
      <c r="V1566" s="6" t="s">
        <v>684</v>
      </c>
      <c r="X1566" t="s">
        <v>825</v>
      </c>
      <c r="Y1566" s="6" t="s">
        <v>89</v>
      </c>
    </row>
    <row r="1567" spans="2:25" x14ac:dyDescent="0.3">
      <c r="B1567" s="5" t="s">
        <v>64</v>
      </c>
      <c r="C1567" s="5" t="str">
        <f>VLOOKUP(B1567,[1]물질정보!B:C,2,0)</f>
        <v>2478-10-6</v>
      </c>
      <c r="D1567" t="str">
        <f>VLOOKUP(B1567,[1]물질정보!B:D,3,0)</f>
        <v>4-hydroxybutyl acrylate</v>
      </c>
      <c r="E1567" t="str">
        <f>VLOOKUP(B1567,[1]물질정보!B:E,4,0)</f>
        <v>C7H12O3</v>
      </c>
      <c r="F1567" t="str">
        <f>VLOOKUP(B1567,[1]물질정보!B:F,5,0)</f>
        <v>144.17 g/mol</v>
      </c>
      <c r="G1567" s="5" t="str">
        <f>VLOOKUP(B1567,[1]물질정보!B:G,6,0)</f>
        <v>C=CC(=O)OCCCCO</v>
      </c>
      <c r="I1567" t="s">
        <v>520</v>
      </c>
      <c r="J1567" t="s">
        <v>521</v>
      </c>
      <c r="K1567" t="s">
        <v>568</v>
      </c>
      <c r="R1567" t="s">
        <v>355</v>
      </c>
      <c r="U1567" t="s">
        <v>523</v>
      </c>
      <c r="V1567" s="6" t="s">
        <v>684</v>
      </c>
      <c r="X1567" t="s">
        <v>825</v>
      </c>
      <c r="Y1567" s="6" t="s">
        <v>826</v>
      </c>
    </row>
    <row r="1568" spans="2:25" x14ac:dyDescent="0.3">
      <c r="B1568" s="5" t="s">
        <v>64</v>
      </c>
      <c r="C1568" s="5" t="str">
        <f>VLOOKUP(B1568,[1]물질정보!B:C,2,0)</f>
        <v>2478-10-6</v>
      </c>
      <c r="D1568" t="str">
        <f>VLOOKUP(B1568,[1]물질정보!B:D,3,0)</f>
        <v>4-hydroxybutyl acrylate</v>
      </c>
      <c r="E1568" t="str">
        <f>VLOOKUP(B1568,[1]물질정보!B:E,4,0)</f>
        <v>C7H12O3</v>
      </c>
      <c r="F1568" t="str">
        <f>VLOOKUP(B1568,[1]물질정보!B:F,5,0)</f>
        <v>144.17 g/mol</v>
      </c>
      <c r="G1568" s="5" t="str">
        <f>VLOOKUP(B1568,[1]물질정보!B:G,6,0)</f>
        <v>C=CC(=O)OCCCCO</v>
      </c>
      <c r="I1568" t="s">
        <v>520</v>
      </c>
      <c r="J1568" t="s">
        <v>521</v>
      </c>
      <c r="K1568" t="s">
        <v>587</v>
      </c>
      <c r="R1568" t="s">
        <v>355</v>
      </c>
      <c r="U1568" t="s">
        <v>525</v>
      </c>
      <c r="V1568" s="6" t="s">
        <v>684</v>
      </c>
      <c r="X1568" t="s">
        <v>825</v>
      </c>
      <c r="Y1568" s="6" t="s">
        <v>826</v>
      </c>
    </row>
    <row r="1569" spans="2:25" x14ac:dyDescent="0.3">
      <c r="B1569" s="5" t="s">
        <v>64</v>
      </c>
      <c r="C1569" s="5" t="str">
        <f>VLOOKUP(B1569,[1]물질정보!B:C,2,0)</f>
        <v>2478-10-6</v>
      </c>
      <c r="D1569" t="str">
        <f>VLOOKUP(B1569,[1]물질정보!B:D,3,0)</f>
        <v>4-hydroxybutyl acrylate</v>
      </c>
      <c r="E1569" t="str">
        <f>VLOOKUP(B1569,[1]물질정보!B:E,4,0)</f>
        <v>C7H12O3</v>
      </c>
      <c r="F1569" t="str">
        <f>VLOOKUP(B1569,[1]물질정보!B:F,5,0)</f>
        <v>144.17 g/mol</v>
      </c>
      <c r="G1569" s="5" t="str">
        <f>VLOOKUP(B1569,[1]물질정보!B:G,6,0)</f>
        <v>C=CC(=O)OCCCCO</v>
      </c>
      <c r="I1569" t="s">
        <v>520</v>
      </c>
      <c r="J1569" t="s">
        <v>521</v>
      </c>
      <c r="K1569" t="s">
        <v>585</v>
      </c>
      <c r="R1569" t="s">
        <v>355</v>
      </c>
      <c r="U1569" t="s">
        <v>527</v>
      </c>
      <c r="V1569" s="6" t="s">
        <v>684</v>
      </c>
      <c r="X1569" t="s">
        <v>825</v>
      </c>
      <c r="Y1569" s="6" t="s">
        <v>826</v>
      </c>
    </row>
    <row r="1570" spans="2:25" x14ac:dyDescent="0.3">
      <c r="B1570" s="5" t="s">
        <v>64</v>
      </c>
      <c r="C1570" s="5" t="str">
        <f>VLOOKUP(B1570,[1]물질정보!B:C,2,0)</f>
        <v>2478-10-6</v>
      </c>
      <c r="D1570" t="str">
        <f>VLOOKUP(B1570,[1]물질정보!B:D,3,0)</f>
        <v>4-hydroxybutyl acrylate</v>
      </c>
      <c r="E1570" t="str">
        <f>VLOOKUP(B1570,[1]물질정보!B:E,4,0)</f>
        <v>C7H12O3</v>
      </c>
      <c r="F1570" t="str">
        <f>VLOOKUP(B1570,[1]물질정보!B:F,5,0)</f>
        <v>144.17 g/mol</v>
      </c>
      <c r="G1570" s="5" t="str">
        <f>VLOOKUP(B1570,[1]물질정보!B:G,6,0)</f>
        <v>C=CC(=O)OCCCCO</v>
      </c>
      <c r="I1570" t="s">
        <v>520</v>
      </c>
      <c r="J1570" t="s">
        <v>521</v>
      </c>
      <c r="K1570" t="s">
        <v>610</v>
      </c>
      <c r="R1570" t="s">
        <v>355</v>
      </c>
      <c r="U1570" t="s">
        <v>528</v>
      </c>
      <c r="V1570" s="6" t="s">
        <v>684</v>
      </c>
      <c r="X1570" t="s">
        <v>825</v>
      </c>
      <c r="Y1570" s="6" t="s">
        <v>826</v>
      </c>
    </row>
    <row r="1571" spans="2:25" x14ac:dyDescent="0.3">
      <c r="B1571" s="5" t="s">
        <v>64</v>
      </c>
      <c r="C1571" s="5" t="str">
        <f>VLOOKUP(B1571,[1]물질정보!B:C,2,0)</f>
        <v>2478-10-6</v>
      </c>
      <c r="D1571" t="str">
        <f>VLOOKUP(B1571,[1]물질정보!B:D,3,0)</f>
        <v>4-hydroxybutyl acrylate</v>
      </c>
      <c r="E1571" t="str">
        <f>VLOOKUP(B1571,[1]물질정보!B:E,4,0)</f>
        <v>C7H12O3</v>
      </c>
      <c r="F1571" t="str">
        <f>VLOOKUP(B1571,[1]물질정보!B:F,5,0)</f>
        <v>144.17 g/mol</v>
      </c>
      <c r="G1571" s="5" t="str">
        <f>VLOOKUP(B1571,[1]물질정보!B:G,6,0)</f>
        <v>C=CC(=O)OCCCCO</v>
      </c>
      <c r="I1571" t="s">
        <v>529</v>
      </c>
      <c r="J1571" s="9" t="s">
        <v>530</v>
      </c>
      <c r="K1571">
        <v>332.7</v>
      </c>
      <c r="L1571" t="s">
        <v>39</v>
      </c>
      <c r="M1571" t="s">
        <v>532</v>
      </c>
      <c r="P1571">
        <v>48</v>
      </c>
      <c r="Q1571" t="s">
        <v>533</v>
      </c>
      <c r="R1571" t="s">
        <v>355</v>
      </c>
      <c r="U1571" t="s">
        <v>523</v>
      </c>
      <c r="V1571" s="6" t="s">
        <v>684</v>
      </c>
      <c r="W1571" t="s">
        <v>532</v>
      </c>
      <c r="X1571" t="s">
        <v>822</v>
      </c>
      <c r="Y1571" s="6" t="s">
        <v>530</v>
      </c>
    </row>
    <row r="1572" spans="2:25" x14ac:dyDescent="0.3">
      <c r="B1572" s="5" t="s">
        <v>64</v>
      </c>
      <c r="C1572" s="5" t="str">
        <f>VLOOKUP(B1572,[1]물질정보!B:C,2,0)</f>
        <v>2478-10-6</v>
      </c>
      <c r="D1572" t="str">
        <f>VLOOKUP(B1572,[1]물질정보!B:D,3,0)</f>
        <v>4-hydroxybutyl acrylate</v>
      </c>
      <c r="E1572" t="str">
        <f>VLOOKUP(B1572,[1]물질정보!B:E,4,0)</f>
        <v>C7H12O3</v>
      </c>
      <c r="F1572" t="str">
        <f>VLOOKUP(B1572,[1]물질정보!B:F,5,0)</f>
        <v>144.17 g/mol</v>
      </c>
      <c r="G1572" s="5" t="str">
        <f>VLOOKUP(B1572,[1]물질정보!B:G,6,0)</f>
        <v>C=CC(=O)OCCCCO</v>
      </c>
      <c r="I1572" t="s">
        <v>529</v>
      </c>
      <c r="J1572" s="9" t="s">
        <v>530</v>
      </c>
      <c r="K1572">
        <v>577.71</v>
      </c>
      <c r="L1572" t="s">
        <v>39</v>
      </c>
      <c r="M1572" t="s">
        <v>532</v>
      </c>
      <c r="P1572">
        <v>48</v>
      </c>
      <c r="Q1572" t="s">
        <v>533</v>
      </c>
      <c r="R1572" t="s">
        <v>355</v>
      </c>
      <c r="U1572" t="s">
        <v>525</v>
      </c>
      <c r="V1572" s="6" t="s">
        <v>684</v>
      </c>
      <c r="W1572" t="s">
        <v>532</v>
      </c>
      <c r="X1572" t="s">
        <v>822</v>
      </c>
      <c r="Y1572" s="6" t="s">
        <v>530</v>
      </c>
    </row>
    <row r="1573" spans="2:25" x14ac:dyDescent="0.3">
      <c r="B1573" s="5" t="s">
        <v>64</v>
      </c>
      <c r="C1573" s="5" t="str">
        <f>VLOOKUP(B1573,[1]물질정보!B:C,2,0)</f>
        <v>2478-10-6</v>
      </c>
      <c r="D1573" t="str">
        <f>VLOOKUP(B1573,[1]물질정보!B:D,3,0)</f>
        <v>4-hydroxybutyl acrylate</v>
      </c>
      <c r="E1573" t="str">
        <f>VLOOKUP(B1573,[1]물질정보!B:E,4,0)</f>
        <v>C7H12O3</v>
      </c>
      <c r="F1573" t="str">
        <f>VLOOKUP(B1573,[1]물질정보!B:F,5,0)</f>
        <v>144.17 g/mol</v>
      </c>
      <c r="G1573" s="5" t="str">
        <f>VLOOKUP(B1573,[1]물질정보!B:G,6,0)</f>
        <v>C=CC(=O)OCCCCO</v>
      </c>
      <c r="I1573" t="s">
        <v>529</v>
      </c>
      <c r="J1573" s="9" t="s">
        <v>530</v>
      </c>
      <c r="K1573">
        <v>138.04</v>
      </c>
      <c r="L1573" t="s">
        <v>39</v>
      </c>
      <c r="M1573" t="s">
        <v>532</v>
      </c>
      <c r="P1573">
        <v>48</v>
      </c>
      <c r="Q1573" t="s">
        <v>533</v>
      </c>
      <c r="R1573" t="s">
        <v>355</v>
      </c>
      <c r="U1573" t="s">
        <v>527</v>
      </c>
      <c r="V1573" s="6" t="s">
        <v>684</v>
      </c>
      <c r="W1573" t="s">
        <v>532</v>
      </c>
      <c r="X1573" t="s">
        <v>822</v>
      </c>
      <c r="Y1573" s="6" t="s">
        <v>530</v>
      </c>
    </row>
    <row r="1574" spans="2:25" x14ac:dyDescent="0.3">
      <c r="B1574" s="5" t="s">
        <v>64</v>
      </c>
      <c r="C1574" s="5" t="str">
        <f>VLOOKUP(B1574,[1]물질정보!B:C,2,0)</f>
        <v>2478-10-6</v>
      </c>
      <c r="D1574" t="str">
        <f>VLOOKUP(B1574,[1]물질정보!B:D,3,0)</f>
        <v>4-hydroxybutyl acrylate</v>
      </c>
      <c r="E1574" t="str">
        <f>VLOOKUP(B1574,[1]물질정보!B:E,4,0)</f>
        <v>C7H12O3</v>
      </c>
      <c r="F1574" t="str">
        <f>VLOOKUP(B1574,[1]물질정보!B:F,5,0)</f>
        <v>144.17 g/mol</v>
      </c>
      <c r="G1574" s="5" t="str">
        <f>VLOOKUP(B1574,[1]물질정보!B:G,6,0)</f>
        <v>C=CC(=O)OCCCCO</v>
      </c>
      <c r="I1574" t="s">
        <v>529</v>
      </c>
      <c r="J1574" s="9" t="s">
        <v>530</v>
      </c>
      <c r="K1574">
        <v>461.79</v>
      </c>
      <c r="L1574" t="s">
        <v>39</v>
      </c>
      <c r="M1574" t="s">
        <v>532</v>
      </c>
      <c r="P1574">
        <v>48</v>
      </c>
      <c r="Q1574" t="s">
        <v>533</v>
      </c>
      <c r="R1574" t="s">
        <v>355</v>
      </c>
      <c r="U1574" t="s">
        <v>528</v>
      </c>
      <c r="V1574" s="6" t="s">
        <v>684</v>
      </c>
      <c r="W1574" t="s">
        <v>532</v>
      </c>
      <c r="X1574" t="s">
        <v>822</v>
      </c>
      <c r="Y1574" s="6" t="s">
        <v>530</v>
      </c>
    </row>
    <row r="1575" spans="2:25" x14ac:dyDescent="0.3">
      <c r="B1575" s="5" t="s">
        <v>64</v>
      </c>
      <c r="C1575" s="5" t="str">
        <f>VLOOKUP(B1575,[1]물질정보!B:C,2,0)</f>
        <v>2478-10-6</v>
      </c>
      <c r="D1575" t="str">
        <f>VLOOKUP(B1575,[1]물질정보!B:D,3,0)</f>
        <v>4-hydroxybutyl acrylate</v>
      </c>
      <c r="E1575" t="str">
        <f>VLOOKUP(B1575,[1]물질정보!B:E,4,0)</f>
        <v>C7H12O3</v>
      </c>
      <c r="F1575" t="str">
        <f>VLOOKUP(B1575,[1]물질정보!B:F,5,0)</f>
        <v>144.17 g/mol</v>
      </c>
      <c r="G1575" s="5" t="str">
        <f>VLOOKUP(B1575,[1]물질정보!B:G,6,0)</f>
        <v>C=CC(=O)OCCCCO</v>
      </c>
      <c r="I1575" t="s">
        <v>534</v>
      </c>
      <c r="J1575" t="s">
        <v>535</v>
      </c>
      <c r="K1575">
        <v>13.96</v>
      </c>
      <c r="L1575" t="s">
        <v>39</v>
      </c>
      <c r="M1575" t="s">
        <v>536</v>
      </c>
      <c r="P1575">
        <v>96</v>
      </c>
      <c r="Q1575" t="s">
        <v>533</v>
      </c>
      <c r="R1575" t="s">
        <v>355</v>
      </c>
      <c r="U1575" t="s">
        <v>523</v>
      </c>
      <c r="V1575" s="6" t="s">
        <v>684</v>
      </c>
      <c r="W1575" t="s">
        <v>536</v>
      </c>
      <c r="X1575" t="s">
        <v>823</v>
      </c>
      <c r="Y1575" s="6" t="s">
        <v>49</v>
      </c>
    </row>
    <row r="1576" spans="2:25" x14ac:dyDescent="0.3">
      <c r="B1576" s="5" t="s">
        <v>64</v>
      </c>
      <c r="C1576" s="5" t="str">
        <f>VLOOKUP(B1576,[1]물질정보!B:C,2,0)</f>
        <v>2478-10-6</v>
      </c>
      <c r="D1576" t="str">
        <f>VLOOKUP(B1576,[1]물질정보!B:D,3,0)</f>
        <v>4-hydroxybutyl acrylate</v>
      </c>
      <c r="E1576" t="str">
        <f>VLOOKUP(B1576,[1]물질정보!B:E,4,0)</f>
        <v>C7H12O3</v>
      </c>
      <c r="F1576" t="str">
        <f>VLOOKUP(B1576,[1]물질정보!B:F,5,0)</f>
        <v>144.17 g/mol</v>
      </c>
      <c r="G1576" s="5" t="str">
        <f>VLOOKUP(B1576,[1]물질정보!B:G,6,0)</f>
        <v>C=CC(=O)OCCCCO</v>
      </c>
      <c r="I1576" t="s">
        <v>534</v>
      </c>
      <c r="J1576" t="s">
        <v>535</v>
      </c>
      <c r="K1576">
        <v>24.78</v>
      </c>
      <c r="L1576" t="s">
        <v>39</v>
      </c>
      <c r="M1576" t="s">
        <v>536</v>
      </c>
      <c r="P1576">
        <v>96</v>
      </c>
      <c r="Q1576" t="s">
        <v>533</v>
      </c>
      <c r="R1576" t="s">
        <v>355</v>
      </c>
      <c r="U1576" t="s">
        <v>525</v>
      </c>
      <c r="V1576" s="6" t="s">
        <v>684</v>
      </c>
      <c r="W1576" t="s">
        <v>536</v>
      </c>
      <c r="X1576" t="s">
        <v>823</v>
      </c>
      <c r="Y1576" s="6" t="s">
        <v>49</v>
      </c>
    </row>
    <row r="1577" spans="2:25" x14ac:dyDescent="0.3">
      <c r="B1577" s="5" t="s">
        <v>64</v>
      </c>
      <c r="C1577" s="5" t="str">
        <f>VLOOKUP(B1577,[1]물질정보!B:C,2,0)</f>
        <v>2478-10-6</v>
      </c>
      <c r="D1577" t="str">
        <f>VLOOKUP(B1577,[1]물질정보!B:D,3,0)</f>
        <v>4-hydroxybutyl acrylate</v>
      </c>
      <c r="E1577" t="str">
        <f>VLOOKUP(B1577,[1]물질정보!B:E,4,0)</f>
        <v>C7H12O3</v>
      </c>
      <c r="F1577" t="str">
        <f>VLOOKUP(B1577,[1]물질정보!B:F,5,0)</f>
        <v>144.17 g/mol</v>
      </c>
      <c r="G1577" s="5" t="str">
        <f>VLOOKUP(B1577,[1]물질정보!B:G,6,0)</f>
        <v>C=CC(=O)OCCCCO</v>
      </c>
      <c r="I1577" t="s">
        <v>534</v>
      </c>
      <c r="J1577" t="s">
        <v>535</v>
      </c>
      <c r="K1577">
        <v>7.94</v>
      </c>
      <c r="L1577" t="s">
        <v>39</v>
      </c>
      <c r="M1577" t="s">
        <v>536</v>
      </c>
      <c r="P1577">
        <v>96</v>
      </c>
      <c r="Q1577" t="s">
        <v>533</v>
      </c>
      <c r="R1577" t="s">
        <v>355</v>
      </c>
      <c r="U1577" t="s">
        <v>527</v>
      </c>
      <c r="V1577" s="6" t="s">
        <v>684</v>
      </c>
      <c r="W1577" t="s">
        <v>536</v>
      </c>
      <c r="X1577" t="s">
        <v>823</v>
      </c>
      <c r="Y1577" s="6" t="s">
        <v>49</v>
      </c>
    </row>
    <row r="1578" spans="2:25" x14ac:dyDescent="0.3">
      <c r="B1578" s="5" t="s">
        <v>64</v>
      </c>
      <c r="C1578" s="5" t="str">
        <f>VLOOKUP(B1578,[1]물질정보!B:C,2,0)</f>
        <v>2478-10-6</v>
      </c>
      <c r="D1578" t="str">
        <f>VLOOKUP(B1578,[1]물질정보!B:D,3,0)</f>
        <v>4-hydroxybutyl acrylate</v>
      </c>
      <c r="E1578" t="str">
        <f>VLOOKUP(B1578,[1]물질정보!B:E,4,0)</f>
        <v>C7H12O3</v>
      </c>
      <c r="F1578" t="str">
        <f>VLOOKUP(B1578,[1]물질정보!B:F,5,0)</f>
        <v>144.17 g/mol</v>
      </c>
      <c r="G1578" s="5" t="str">
        <f>VLOOKUP(B1578,[1]물질정보!B:G,6,0)</f>
        <v>C=CC(=O)OCCCCO</v>
      </c>
      <c r="I1578" t="s">
        <v>534</v>
      </c>
      <c r="J1578" t="s">
        <v>535</v>
      </c>
      <c r="K1578">
        <v>13.84</v>
      </c>
      <c r="L1578" t="s">
        <v>39</v>
      </c>
      <c r="M1578" t="s">
        <v>536</v>
      </c>
      <c r="P1578">
        <v>96</v>
      </c>
      <c r="Q1578" t="s">
        <v>533</v>
      </c>
      <c r="R1578" t="s">
        <v>355</v>
      </c>
      <c r="U1578" t="s">
        <v>528</v>
      </c>
      <c r="V1578" s="6" t="s">
        <v>684</v>
      </c>
      <c r="W1578" t="s">
        <v>536</v>
      </c>
      <c r="X1578" t="s">
        <v>823</v>
      </c>
      <c r="Y1578" s="6" t="s">
        <v>49</v>
      </c>
    </row>
    <row r="1579" spans="2:25" x14ac:dyDescent="0.3">
      <c r="B1579" s="5" t="s">
        <v>64</v>
      </c>
      <c r="C1579" s="5" t="str">
        <f>VLOOKUP(B1579,[1]물질정보!B:C,2,0)</f>
        <v>2478-10-6</v>
      </c>
      <c r="D1579" t="str">
        <f>VLOOKUP(B1579,[1]물질정보!B:D,3,0)</f>
        <v>4-hydroxybutyl acrylate</v>
      </c>
      <c r="E1579" t="str">
        <f>VLOOKUP(B1579,[1]물질정보!B:E,4,0)</f>
        <v>C7H12O3</v>
      </c>
      <c r="F1579" t="str">
        <f>VLOOKUP(B1579,[1]물질정보!B:F,5,0)</f>
        <v>144.17 g/mol</v>
      </c>
      <c r="G1579" s="5" t="str">
        <f>VLOOKUP(B1579,[1]물질정보!B:G,6,0)</f>
        <v>C=CC(=O)OCCCCO</v>
      </c>
      <c r="I1579" t="s">
        <v>537</v>
      </c>
      <c r="J1579" t="s">
        <v>535</v>
      </c>
      <c r="K1579">
        <v>67.53</v>
      </c>
      <c r="L1579" t="s">
        <v>39</v>
      </c>
      <c r="M1579" t="s">
        <v>47</v>
      </c>
      <c r="P1579">
        <v>48</v>
      </c>
      <c r="Q1579" t="s">
        <v>533</v>
      </c>
      <c r="R1579" t="s">
        <v>355</v>
      </c>
      <c r="U1579" t="s">
        <v>523</v>
      </c>
      <c r="V1579" s="6" t="s">
        <v>684</v>
      </c>
      <c r="W1579" t="s">
        <v>47</v>
      </c>
      <c r="X1579" t="s">
        <v>822</v>
      </c>
      <c r="Y1579" s="6" t="s">
        <v>49</v>
      </c>
    </row>
    <row r="1580" spans="2:25" x14ac:dyDescent="0.3">
      <c r="B1580" s="5" t="s">
        <v>64</v>
      </c>
      <c r="C1580" s="5" t="str">
        <f>VLOOKUP(B1580,[1]물질정보!B:C,2,0)</f>
        <v>2478-10-6</v>
      </c>
      <c r="D1580" t="str">
        <f>VLOOKUP(B1580,[1]물질정보!B:D,3,0)</f>
        <v>4-hydroxybutyl acrylate</v>
      </c>
      <c r="E1580" t="str">
        <f>VLOOKUP(B1580,[1]물질정보!B:E,4,0)</f>
        <v>C7H12O3</v>
      </c>
      <c r="F1580" t="str">
        <f>VLOOKUP(B1580,[1]물질정보!B:F,5,0)</f>
        <v>144.17 g/mol</v>
      </c>
      <c r="G1580" s="5" t="str">
        <f>VLOOKUP(B1580,[1]물질정보!B:G,6,0)</f>
        <v>C=CC(=O)OCCCCO</v>
      </c>
      <c r="I1580" t="s">
        <v>537</v>
      </c>
      <c r="J1580" t="s">
        <v>535</v>
      </c>
      <c r="K1580">
        <v>84.87</v>
      </c>
      <c r="L1580" t="s">
        <v>39</v>
      </c>
      <c r="M1580" t="s">
        <v>47</v>
      </c>
      <c r="P1580">
        <v>48</v>
      </c>
      <c r="Q1580" t="s">
        <v>533</v>
      </c>
      <c r="R1580" t="s">
        <v>355</v>
      </c>
      <c r="U1580" t="s">
        <v>525</v>
      </c>
      <c r="V1580" s="6" t="s">
        <v>684</v>
      </c>
      <c r="W1580" t="s">
        <v>47</v>
      </c>
      <c r="X1580" t="s">
        <v>822</v>
      </c>
      <c r="Y1580" s="6" t="s">
        <v>49</v>
      </c>
    </row>
    <row r="1581" spans="2:25" x14ac:dyDescent="0.3">
      <c r="B1581" s="5" t="s">
        <v>64</v>
      </c>
      <c r="C1581" s="5" t="str">
        <f>VLOOKUP(B1581,[1]물질정보!B:C,2,0)</f>
        <v>2478-10-6</v>
      </c>
      <c r="D1581" t="str">
        <f>VLOOKUP(B1581,[1]물질정보!B:D,3,0)</f>
        <v>4-hydroxybutyl acrylate</v>
      </c>
      <c r="E1581" t="str">
        <f>VLOOKUP(B1581,[1]물질정보!B:E,4,0)</f>
        <v>C7H12O3</v>
      </c>
      <c r="F1581" t="str">
        <f>VLOOKUP(B1581,[1]물질정보!B:F,5,0)</f>
        <v>144.17 g/mol</v>
      </c>
      <c r="G1581" s="5" t="str">
        <f>VLOOKUP(B1581,[1]물질정보!B:G,6,0)</f>
        <v>C=CC(=O)OCCCCO</v>
      </c>
      <c r="I1581" t="s">
        <v>537</v>
      </c>
      <c r="J1581" t="s">
        <v>535</v>
      </c>
      <c r="K1581">
        <v>93.59</v>
      </c>
      <c r="L1581" t="s">
        <v>39</v>
      </c>
      <c r="M1581" t="s">
        <v>47</v>
      </c>
      <c r="P1581">
        <v>48</v>
      </c>
      <c r="Q1581" t="s">
        <v>533</v>
      </c>
      <c r="R1581" t="s">
        <v>355</v>
      </c>
      <c r="U1581" t="s">
        <v>527</v>
      </c>
      <c r="V1581" s="6" t="s">
        <v>684</v>
      </c>
      <c r="W1581" t="s">
        <v>47</v>
      </c>
      <c r="X1581" t="s">
        <v>822</v>
      </c>
      <c r="Y1581" s="6" t="s">
        <v>49</v>
      </c>
    </row>
    <row r="1582" spans="2:25" x14ac:dyDescent="0.3">
      <c r="B1582" s="5" t="s">
        <v>64</v>
      </c>
      <c r="C1582" s="5" t="str">
        <f>VLOOKUP(B1582,[1]물질정보!B:C,2,0)</f>
        <v>2478-10-6</v>
      </c>
      <c r="D1582" t="str">
        <f>VLOOKUP(B1582,[1]물질정보!B:D,3,0)</f>
        <v>4-hydroxybutyl acrylate</v>
      </c>
      <c r="E1582" t="str">
        <f>VLOOKUP(B1582,[1]물질정보!B:E,4,0)</f>
        <v>C7H12O3</v>
      </c>
      <c r="F1582" t="str">
        <f>VLOOKUP(B1582,[1]물질정보!B:F,5,0)</f>
        <v>144.17 g/mol</v>
      </c>
      <c r="G1582" s="5" t="str">
        <f>VLOOKUP(B1582,[1]물질정보!B:G,6,0)</f>
        <v>C=CC(=O)OCCCCO</v>
      </c>
      <c r="I1582" t="s">
        <v>537</v>
      </c>
      <c r="J1582" t="s">
        <v>535</v>
      </c>
      <c r="K1582">
        <v>38.770000000000003</v>
      </c>
      <c r="L1582" t="s">
        <v>39</v>
      </c>
      <c r="M1582" t="s">
        <v>47</v>
      </c>
      <c r="P1582">
        <v>48</v>
      </c>
      <c r="Q1582" t="s">
        <v>533</v>
      </c>
      <c r="R1582" t="s">
        <v>355</v>
      </c>
      <c r="U1582" t="s">
        <v>528</v>
      </c>
      <c r="V1582" s="6" t="s">
        <v>684</v>
      </c>
      <c r="W1582" t="s">
        <v>47</v>
      </c>
      <c r="X1582" t="s">
        <v>822</v>
      </c>
      <c r="Y1582" s="6" t="s">
        <v>49</v>
      </c>
    </row>
    <row r="1583" spans="2:25" x14ac:dyDescent="0.3">
      <c r="B1583" s="5" t="s">
        <v>64</v>
      </c>
      <c r="C1583" s="5" t="str">
        <f>VLOOKUP(B1583,[1]물질정보!B:C,2,0)</f>
        <v>2478-10-6</v>
      </c>
      <c r="D1583" t="str">
        <f>VLOOKUP(B1583,[1]물질정보!B:D,3,0)</f>
        <v>4-hydroxybutyl acrylate</v>
      </c>
      <c r="E1583" t="str">
        <f>VLOOKUP(B1583,[1]물질정보!B:E,4,0)</f>
        <v>C7H12O3</v>
      </c>
      <c r="F1583" t="str">
        <f>VLOOKUP(B1583,[1]물질정보!B:F,5,0)</f>
        <v>144.17 g/mol</v>
      </c>
      <c r="G1583" s="5" t="str">
        <f>VLOOKUP(B1583,[1]물질정보!B:G,6,0)</f>
        <v>C=CC(=O)OCCCCO</v>
      </c>
      <c r="I1583" t="s">
        <v>494</v>
      </c>
      <c r="J1583" t="s">
        <v>538</v>
      </c>
      <c r="K1583">
        <v>2649.73</v>
      </c>
      <c r="L1583" t="s">
        <v>161</v>
      </c>
      <c r="M1583" t="s">
        <v>495</v>
      </c>
      <c r="R1583" t="s">
        <v>355</v>
      </c>
      <c r="U1583" t="s">
        <v>523</v>
      </c>
      <c r="V1583" s="6" t="s">
        <v>684</v>
      </c>
      <c r="W1583" t="s">
        <v>86</v>
      </c>
      <c r="X1583" t="s">
        <v>825</v>
      </c>
      <c r="Y1583" s="6" t="s">
        <v>81</v>
      </c>
    </row>
    <row r="1584" spans="2:25" x14ac:dyDescent="0.3">
      <c r="B1584" s="5" t="s">
        <v>64</v>
      </c>
      <c r="C1584" s="5" t="str">
        <f>VLOOKUP(B1584,[1]물질정보!B:C,2,0)</f>
        <v>2478-10-6</v>
      </c>
      <c r="D1584" t="str">
        <f>VLOOKUP(B1584,[1]물질정보!B:D,3,0)</f>
        <v>4-hydroxybutyl acrylate</v>
      </c>
      <c r="E1584" t="str">
        <f>VLOOKUP(B1584,[1]물질정보!B:E,4,0)</f>
        <v>C7H12O3</v>
      </c>
      <c r="F1584" t="str">
        <f>VLOOKUP(B1584,[1]물질정보!B:F,5,0)</f>
        <v>144.17 g/mol</v>
      </c>
      <c r="G1584" s="5" t="str">
        <f>VLOOKUP(B1584,[1]물질정보!B:G,6,0)</f>
        <v>C=CC(=O)OCCCCO</v>
      </c>
      <c r="I1584" t="s">
        <v>494</v>
      </c>
      <c r="J1584" t="s">
        <v>538</v>
      </c>
      <c r="K1584">
        <v>2802.14</v>
      </c>
      <c r="L1584" t="s">
        <v>161</v>
      </c>
      <c r="M1584" t="s">
        <v>495</v>
      </c>
      <c r="R1584" t="s">
        <v>355</v>
      </c>
      <c r="U1584" t="s">
        <v>525</v>
      </c>
      <c r="V1584" s="6" t="s">
        <v>684</v>
      </c>
      <c r="W1584" t="s">
        <v>86</v>
      </c>
      <c r="X1584" t="s">
        <v>825</v>
      </c>
      <c r="Y1584" s="6" t="s">
        <v>81</v>
      </c>
    </row>
    <row r="1585" spans="2:25" x14ac:dyDescent="0.3">
      <c r="B1585" s="5" t="s">
        <v>64</v>
      </c>
      <c r="C1585" s="5" t="str">
        <f>VLOOKUP(B1585,[1]물질정보!B:C,2,0)</f>
        <v>2478-10-6</v>
      </c>
      <c r="D1585" t="str">
        <f>VLOOKUP(B1585,[1]물질정보!B:D,3,0)</f>
        <v>4-hydroxybutyl acrylate</v>
      </c>
      <c r="E1585" t="str">
        <f>VLOOKUP(B1585,[1]물질정보!B:E,4,0)</f>
        <v>C7H12O3</v>
      </c>
      <c r="F1585" t="str">
        <f>VLOOKUP(B1585,[1]물질정보!B:F,5,0)</f>
        <v>144.17 g/mol</v>
      </c>
      <c r="G1585" s="5" t="str">
        <f>VLOOKUP(B1585,[1]물질정보!B:G,6,0)</f>
        <v>C=CC(=O)OCCCCO</v>
      </c>
      <c r="I1585" t="s">
        <v>494</v>
      </c>
      <c r="J1585" t="s">
        <v>538</v>
      </c>
      <c r="K1585">
        <v>2829.14</v>
      </c>
      <c r="L1585" t="s">
        <v>161</v>
      </c>
      <c r="M1585" t="s">
        <v>495</v>
      </c>
      <c r="R1585" t="s">
        <v>355</v>
      </c>
      <c r="U1585" t="s">
        <v>527</v>
      </c>
      <c r="V1585" s="6" t="s">
        <v>684</v>
      </c>
      <c r="W1585" t="s">
        <v>86</v>
      </c>
      <c r="X1585" t="s">
        <v>825</v>
      </c>
      <c r="Y1585" s="6" t="s">
        <v>81</v>
      </c>
    </row>
    <row r="1586" spans="2:25" x14ac:dyDescent="0.3">
      <c r="B1586" s="5" t="s">
        <v>64</v>
      </c>
      <c r="C1586" s="5" t="str">
        <f>VLOOKUP(B1586,[1]물질정보!B:C,2,0)</f>
        <v>2478-10-6</v>
      </c>
      <c r="D1586" t="str">
        <f>VLOOKUP(B1586,[1]물질정보!B:D,3,0)</f>
        <v>4-hydroxybutyl acrylate</v>
      </c>
      <c r="E1586" t="str">
        <f>VLOOKUP(B1586,[1]물질정보!B:E,4,0)</f>
        <v>C7H12O3</v>
      </c>
      <c r="F1586" t="str">
        <f>VLOOKUP(B1586,[1]물질정보!B:F,5,0)</f>
        <v>144.17 g/mol</v>
      </c>
      <c r="G1586" s="5" t="str">
        <f>VLOOKUP(B1586,[1]물질정보!B:G,6,0)</f>
        <v>C=CC(=O)OCCCCO</v>
      </c>
      <c r="I1586" t="s">
        <v>494</v>
      </c>
      <c r="J1586" t="s">
        <v>538</v>
      </c>
      <c r="K1586">
        <v>2346.73</v>
      </c>
      <c r="L1586" t="s">
        <v>161</v>
      </c>
      <c r="M1586" t="s">
        <v>495</v>
      </c>
      <c r="R1586" t="s">
        <v>355</v>
      </c>
      <c r="U1586" t="s">
        <v>528</v>
      </c>
      <c r="V1586" s="6" t="s">
        <v>684</v>
      </c>
      <c r="W1586" t="s">
        <v>86</v>
      </c>
      <c r="X1586" t="s">
        <v>825</v>
      </c>
      <c r="Y1586" s="6" t="s">
        <v>81</v>
      </c>
    </row>
    <row r="1587" spans="2:25" x14ac:dyDescent="0.3">
      <c r="B1587" s="5" t="s">
        <v>64</v>
      </c>
      <c r="C1587" s="5" t="str">
        <f>VLOOKUP(B1587,[1]물질정보!B:C,2,0)</f>
        <v>2478-10-6</v>
      </c>
      <c r="D1587" t="str">
        <f>VLOOKUP(B1587,[1]물질정보!B:D,3,0)</f>
        <v>4-hydroxybutyl acrylate</v>
      </c>
      <c r="E1587" t="str">
        <f>VLOOKUP(B1587,[1]물질정보!B:E,4,0)</f>
        <v>C7H12O3</v>
      </c>
      <c r="F1587" t="str">
        <f>VLOOKUP(B1587,[1]물질정보!B:F,5,0)</f>
        <v>144.17 g/mol</v>
      </c>
      <c r="G1587" s="5" t="str">
        <f>VLOOKUP(B1587,[1]물질정보!B:G,6,0)</f>
        <v>C=CC(=O)OCCCCO</v>
      </c>
      <c r="I1587" t="s">
        <v>540</v>
      </c>
      <c r="J1587" t="s">
        <v>541</v>
      </c>
      <c r="K1587" t="s">
        <v>568</v>
      </c>
      <c r="M1587" t="s">
        <v>543</v>
      </c>
      <c r="N1587" t="s">
        <v>544</v>
      </c>
      <c r="R1587" t="s">
        <v>355</v>
      </c>
      <c r="U1587" t="s">
        <v>523</v>
      </c>
      <c r="V1587" s="6" t="s">
        <v>684</v>
      </c>
      <c r="W1587" t="s">
        <v>83</v>
      </c>
      <c r="X1587" t="s">
        <v>825</v>
      </c>
      <c r="Y1587" s="6" t="s">
        <v>827</v>
      </c>
    </row>
    <row r="1588" spans="2:25" x14ac:dyDescent="0.3">
      <c r="B1588" s="5" t="s">
        <v>64</v>
      </c>
      <c r="C1588" s="5" t="str">
        <f>VLOOKUP(B1588,[1]물질정보!B:C,2,0)</f>
        <v>2478-10-6</v>
      </c>
      <c r="D1588" t="str">
        <f>VLOOKUP(B1588,[1]물질정보!B:D,3,0)</f>
        <v>4-hydroxybutyl acrylate</v>
      </c>
      <c r="E1588" t="str">
        <f>VLOOKUP(B1588,[1]물질정보!B:E,4,0)</f>
        <v>C7H12O3</v>
      </c>
      <c r="F1588" t="str">
        <f>VLOOKUP(B1588,[1]물질정보!B:F,5,0)</f>
        <v>144.17 g/mol</v>
      </c>
      <c r="G1588" s="5" t="str">
        <f>VLOOKUP(B1588,[1]물질정보!B:G,6,0)</f>
        <v>C=CC(=O)OCCCCO</v>
      </c>
      <c r="I1588" t="s">
        <v>540</v>
      </c>
      <c r="J1588" t="s">
        <v>541</v>
      </c>
      <c r="K1588" t="s">
        <v>579</v>
      </c>
      <c r="M1588" t="s">
        <v>543</v>
      </c>
      <c r="N1588" t="s">
        <v>544</v>
      </c>
      <c r="R1588" t="s">
        <v>355</v>
      </c>
      <c r="U1588" t="s">
        <v>525</v>
      </c>
      <c r="V1588" s="6" t="s">
        <v>684</v>
      </c>
      <c r="W1588" t="s">
        <v>83</v>
      </c>
      <c r="X1588" t="s">
        <v>825</v>
      </c>
      <c r="Y1588" s="6" t="s">
        <v>827</v>
      </c>
    </row>
    <row r="1589" spans="2:25" x14ac:dyDescent="0.3">
      <c r="B1589" s="5" t="s">
        <v>64</v>
      </c>
      <c r="C1589" s="5" t="str">
        <f>VLOOKUP(B1589,[1]물질정보!B:C,2,0)</f>
        <v>2478-10-6</v>
      </c>
      <c r="D1589" t="str">
        <f>VLOOKUP(B1589,[1]물질정보!B:D,3,0)</f>
        <v>4-hydroxybutyl acrylate</v>
      </c>
      <c r="E1589" t="str">
        <f>VLOOKUP(B1589,[1]물질정보!B:E,4,0)</f>
        <v>C7H12O3</v>
      </c>
      <c r="F1589" t="str">
        <f>VLOOKUP(B1589,[1]물질정보!B:F,5,0)</f>
        <v>144.17 g/mol</v>
      </c>
      <c r="G1589" s="5" t="str">
        <f>VLOOKUP(B1589,[1]물질정보!B:G,6,0)</f>
        <v>C=CC(=O)OCCCCO</v>
      </c>
      <c r="I1589" t="s">
        <v>540</v>
      </c>
      <c r="J1589" t="s">
        <v>541</v>
      </c>
      <c r="K1589" t="s">
        <v>563</v>
      </c>
      <c r="M1589" t="s">
        <v>543</v>
      </c>
      <c r="N1589" t="s">
        <v>544</v>
      </c>
      <c r="R1589" t="s">
        <v>355</v>
      </c>
      <c r="U1589" t="s">
        <v>527</v>
      </c>
      <c r="V1589" s="6" t="s">
        <v>684</v>
      </c>
      <c r="W1589" t="s">
        <v>83</v>
      </c>
      <c r="X1589" t="s">
        <v>825</v>
      </c>
      <c r="Y1589" s="6" t="s">
        <v>827</v>
      </c>
    </row>
    <row r="1590" spans="2:25" x14ac:dyDescent="0.3">
      <c r="B1590" s="5" t="s">
        <v>64</v>
      </c>
      <c r="C1590" s="5" t="str">
        <f>VLOOKUP(B1590,[1]물질정보!B:C,2,0)</f>
        <v>2478-10-6</v>
      </c>
      <c r="D1590" t="str">
        <f>VLOOKUP(B1590,[1]물질정보!B:D,3,0)</f>
        <v>4-hydroxybutyl acrylate</v>
      </c>
      <c r="E1590" t="str">
        <f>VLOOKUP(B1590,[1]물질정보!B:E,4,0)</f>
        <v>C7H12O3</v>
      </c>
      <c r="F1590" t="str">
        <f>VLOOKUP(B1590,[1]물질정보!B:F,5,0)</f>
        <v>144.17 g/mol</v>
      </c>
      <c r="G1590" s="5" t="str">
        <f>VLOOKUP(B1590,[1]물질정보!B:G,6,0)</f>
        <v>C=CC(=O)OCCCCO</v>
      </c>
      <c r="I1590" t="s">
        <v>540</v>
      </c>
      <c r="J1590" t="s">
        <v>541</v>
      </c>
      <c r="K1590" t="s">
        <v>611</v>
      </c>
      <c r="M1590" t="s">
        <v>543</v>
      </c>
      <c r="N1590" t="s">
        <v>544</v>
      </c>
      <c r="R1590" t="s">
        <v>355</v>
      </c>
      <c r="U1590" t="s">
        <v>528</v>
      </c>
      <c r="V1590" s="6" t="s">
        <v>684</v>
      </c>
      <c r="W1590" t="s">
        <v>83</v>
      </c>
      <c r="X1590" t="s">
        <v>825</v>
      </c>
      <c r="Y1590" s="6" t="s">
        <v>827</v>
      </c>
    </row>
    <row r="1591" spans="2:25" x14ac:dyDescent="0.3">
      <c r="B1591" s="5" t="s">
        <v>64</v>
      </c>
      <c r="C1591" s="5" t="str">
        <f>VLOOKUP(B1591,[1]물질정보!B:C,2,0)</f>
        <v>2478-10-6</v>
      </c>
      <c r="D1591" t="str">
        <f>VLOOKUP(B1591,[1]물질정보!B:D,3,0)</f>
        <v>4-hydroxybutyl acrylate</v>
      </c>
      <c r="E1591" t="str">
        <f>VLOOKUP(B1591,[1]물질정보!B:E,4,0)</f>
        <v>C7H12O3</v>
      </c>
      <c r="F1591" t="str">
        <f>VLOOKUP(B1591,[1]물질정보!B:F,5,0)</f>
        <v>144.17 g/mol</v>
      </c>
      <c r="G1591" s="5" t="str">
        <f>VLOOKUP(B1591,[1]물질정보!B:G,6,0)</f>
        <v>C=CC(=O)OCCCCO</v>
      </c>
      <c r="I1591" t="s">
        <v>137</v>
      </c>
      <c r="J1591" t="s">
        <v>498</v>
      </c>
      <c r="K1591" t="s">
        <v>612</v>
      </c>
      <c r="R1591" t="s">
        <v>355</v>
      </c>
      <c r="U1591" t="s">
        <v>523</v>
      </c>
      <c r="V1591" s="6" t="s">
        <v>684</v>
      </c>
      <c r="X1591" t="s">
        <v>825</v>
      </c>
      <c r="Y1591" s="6" t="s">
        <v>89</v>
      </c>
    </row>
    <row r="1592" spans="2:25" x14ac:dyDescent="0.3">
      <c r="B1592" s="5" t="s">
        <v>64</v>
      </c>
      <c r="C1592" s="5" t="str">
        <f>VLOOKUP(B1592,[1]물질정보!B:C,2,0)</f>
        <v>2478-10-6</v>
      </c>
      <c r="D1592" t="str">
        <f>VLOOKUP(B1592,[1]물질정보!B:D,3,0)</f>
        <v>4-hydroxybutyl acrylate</v>
      </c>
      <c r="E1592" t="str">
        <f>VLOOKUP(B1592,[1]물질정보!B:E,4,0)</f>
        <v>C7H12O3</v>
      </c>
      <c r="F1592" t="str">
        <f>VLOOKUP(B1592,[1]물질정보!B:F,5,0)</f>
        <v>144.17 g/mol</v>
      </c>
      <c r="G1592" s="5" t="str">
        <f>VLOOKUP(B1592,[1]물질정보!B:G,6,0)</f>
        <v>C=CC(=O)OCCCCO</v>
      </c>
      <c r="I1592" t="s">
        <v>137</v>
      </c>
      <c r="J1592" t="s">
        <v>498</v>
      </c>
      <c r="K1592" t="s">
        <v>613</v>
      </c>
      <c r="R1592" t="s">
        <v>355</v>
      </c>
      <c r="U1592" t="s">
        <v>525</v>
      </c>
      <c r="V1592" s="6" t="s">
        <v>684</v>
      </c>
      <c r="X1592" t="s">
        <v>825</v>
      </c>
      <c r="Y1592" s="6" t="s">
        <v>89</v>
      </c>
    </row>
    <row r="1593" spans="2:25" x14ac:dyDescent="0.3">
      <c r="B1593" s="5" t="s">
        <v>64</v>
      </c>
      <c r="C1593" s="5" t="str">
        <f>VLOOKUP(B1593,[1]물질정보!B:C,2,0)</f>
        <v>2478-10-6</v>
      </c>
      <c r="D1593" t="str">
        <f>VLOOKUP(B1593,[1]물질정보!B:D,3,0)</f>
        <v>4-hydroxybutyl acrylate</v>
      </c>
      <c r="E1593" t="str">
        <f>VLOOKUP(B1593,[1]물질정보!B:E,4,0)</f>
        <v>C7H12O3</v>
      </c>
      <c r="F1593" t="str">
        <f>VLOOKUP(B1593,[1]물질정보!B:F,5,0)</f>
        <v>144.17 g/mol</v>
      </c>
      <c r="G1593" s="5" t="str">
        <f>VLOOKUP(B1593,[1]물질정보!B:G,6,0)</f>
        <v>C=CC(=O)OCCCCO</v>
      </c>
      <c r="I1593" t="s">
        <v>137</v>
      </c>
      <c r="J1593" t="s">
        <v>498</v>
      </c>
      <c r="K1593" t="s">
        <v>602</v>
      </c>
      <c r="R1593" t="s">
        <v>355</v>
      </c>
      <c r="U1593" t="s">
        <v>527</v>
      </c>
      <c r="V1593" s="6" t="s">
        <v>684</v>
      </c>
      <c r="X1593" t="s">
        <v>825</v>
      </c>
      <c r="Y1593" s="6" t="s">
        <v>89</v>
      </c>
    </row>
    <row r="1594" spans="2:25" x14ac:dyDescent="0.3">
      <c r="B1594" s="5" t="s">
        <v>64</v>
      </c>
      <c r="C1594" s="5" t="str">
        <f>VLOOKUP(B1594,[1]물질정보!B:C,2,0)</f>
        <v>2478-10-6</v>
      </c>
      <c r="D1594" t="str">
        <f>VLOOKUP(B1594,[1]물질정보!B:D,3,0)</f>
        <v>4-hydroxybutyl acrylate</v>
      </c>
      <c r="E1594" t="str">
        <f>VLOOKUP(B1594,[1]물질정보!B:E,4,0)</f>
        <v>C7H12O3</v>
      </c>
      <c r="F1594" t="str">
        <f>VLOOKUP(B1594,[1]물질정보!B:F,5,0)</f>
        <v>144.17 g/mol</v>
      </c>
      <c r="G1594" s="5" t="str">
        <f>VLOOKUP(B1594,[1]물질정보!B:G,6,0)</f>
        <v>C=CC(=O)OCCCCO</v>
      </c>
      <c r="I1594" t="s">
        <v>137</v>
      </c>
      <c r="J1594" t="s">
        <v>498</v>
      </c>
      <c r="K1594" t="s">
        <v>588</v>
      </c>
      <c r="R1594" t="s">
        <v>355</v>
      </c>
      <c r="U1594" t="s">
        <v>528</v>
      </c>
      <c r="V1594" s="6" t="s">
        <v>684</v>
      </c>
      <c r="X1594" t="s">
        <v>825</v>
      </c>
      <c r="Y1594" s="6" t="s">
        <v>89</v>
      </c>
    </row>
    <row r="1595" spans="2:25" x14ac:dyDescent="0.3">
      <c r="B1595" s="5" t="s">
        <v>59</v>
      </c>
      <c r="C1595" s="5" t="str">
        <f>VLOOKUP(B1595,[1]물질정보!B:C,2,0)</f>
        <v>2499-95-8</v>
      </c>
      <c r="D1595" t="str">
        <f>VLOOKUP(B1595,[1]물질정보!B:D,3,0)</f>
        <v>hexyl acrylate</v>
      </c>
      <c r="E1595" t="str">
        <f>VLOOKUP(B1595,[1]물질정보!B:E,4,0)</f>
        <v>C9H16O2</v>
      </c>
      <c r="F1595" t="str">
        <f>VLOOKUP(B1595,[1]물질정보!B:F,5,0)</f>
        <v>156.22 g/mol</v>
      </c>
      <c r="G1595" s="5" t="str">
        <f>VLOOKUP(B1595,[1]물질정보!B:G,6,0)</f>
        <v>CCCCCCOC(=O)C=C</v>
      </c>
      <c r="I1595" t="s">
        <v>520</v>
      </c>
      <c r="J1595" t="s">
        <v>521</v>
      </c>
      <c r="K1595" t="s">
        <v>568</v>
      </c>
      <c r="R1595" t="s">
        <v>355</v>
      </c>
      <c r="U1595" t="s">
        <v>523</v>
      </c>
      <c r="V1595" s="6" t="s">
        <v>684</v>
      </c>
      <c r="X1595" t="s">
        <v>825</v>
      </c>
      <c r="Y1595" s="6" t="s">
        <v>826</v>
      </c>
    </row>
    <row r="1596" spans="2:25" x14ac:dyDescent="0.3">
      <c r="B1596" s="5" t="s">
        <v>59</v>
      </c>
      <c r="C1596" s="5" t="str">
        <f>VLOOKUP(B1596,[1]물질정보!B:C,2,0)</f>
        <v>2499-95-8</v>
      </c>
      <c r="D1596" t="str">
        <f>VLOOKUP(B1596,[1]물질정보!B:D,3,0)</f>
        <v>hexyl acrylate</v>
      </c>
      <c r="E1596" t="str">
        <f>VLOOKUP(B1596,[1]물질정보!B:E,4,0)</f>
        <v>C9H16O2</v>
      </c>
      <c r="F1596" t="str">
        <f>VLOOKUP(B1596,[1]물질정보!B:F,5,0)</f>
        <v>156.22 g/mol</v>
      </c>
      <c r="G1596" s="5" t="str">
        <f>VLOOKUP(B1596,[1]물질정보!B:G,6,0)</f>
        <v>CCCCCCOC(=O)C=C</v>
      </c>
      <c r="I1596" t="s">
        <v>520</v>
      </c>
      <c r="J1596" t="s">
        <v>521</v>
      </c>
      <c r="K1596" t="s">
        <v>598</v>
      </c>
      <c r="R1596" t="s">
        <v>355</v>
      </c>
      <c r="U1596" t="s">
        <v>525</v>
      </c>
      <c r="V1596" s="6" t="s">
        <v>684</v>
      </c>
      <c r="X1596" t="s">
        <v>825</v>
      </c>
      <c r="Y1596" s="6" t="s">
        <v>826</v>
      </c>
    </row>
    <row r="1597" spans="2:25" x14ac:dyDescent="0.3">
      <c r="B1597" s="5" t="s">
        <v>59</v>
      </c>
      <c r="C1597" s="5" t="str">
        <f>VLOOKUP(B1597,[1]물질정보!B:C,2,0)</f>
        <v>2499-95-8</v>
      </c>
      <c r="D1597" t="str">
        <f>VLOOKUP(B1597,[1]물질정보!B:D,3,0)</f>
        <v>hexyl acrylate</v>
      </c>
      <c r="E1597" t="str">
        <f>VLOOKUP(B1597,[1]물질정보!B:E,4,0)</f>
        <v>C9H16O2</v>
      </c>
      <c r="F1597" t="str">
        <f>VLOOKUP(B1597,[1]물질정보!B:F,5,0)</f>
        <v>156.22 g/mol</v>
      </c>
      <c r="G1597" s="5" t="str">
        <f>VLOOKUP(B1597,[1]물질정보!B:G,6,0)</f>
        <v>CCCCCCOC(=O)C=C</v>
      </c>
      <c r="I1597" t="s">
        <v>520</v>
      </c>
      <c r="J1597" t="s">
        <v>521</v>
      </c>
      <c r="K1597" t="s">
        <v>614</v>
      </c>
      <c r="R1597" t="s">
        <v>355</v>
      </c>
      <c r="U1597" t="s">
        <v>527</v>
      </c>
      <c r="V1597" s="6" t="s">
        <v>684</v>
      </c>
      <c r="X1597" t="s">
        <v>825</v>
      </c>
      <c r="Y1597" s="6" t="s">
        <v>826</v>
      </c>
    </row>
    <row r="1598" spans="2:25" x14ac:dyDescent="0.3">
      <c r="B1598" s="5" t="s">
        <v>59</v>
      </c>
      <c r="C1598" s="5" t="str">
        <f>VLOOKUP(B1598,[1]물질정보!B:C,2,0)</f>
        <v>2499-95-8</v>
      </c>
      <c r="D1598" t="str">
        <f>VLOOKUP(B1598,[1]물질정보!B:D,3,0)</f>
        <v>hexyl acrylate</v>
      </c>
      <c r="E1598" t="str">
        <f>VLOOKUP(B1598,[1]물질정보!B:E,4,0)</f>
        <v>C9H16O2</v>
      </c>
      <c r="F1598" t="str">
        <f>VLOOKUP(B1598,[1]물질정보!B:F,5,0)</f>
        <v>156.22 g/mol</v>
      </c>
      <c r="G1598" s="5" t="str">
        <f>VLOOKUP(B1598,[1]물질정보!B:G,6,0)</f>
        <v>CCCCCCOC(=O)C=C</v>
      </c>
      <c r="I1598" t="s">
        <v>520</v>
      </c>
      <c r="J1598" t="s">
        <v>521</v>
      </c>
      <c r="K1598" t="s">
        <v>615</v>
      </c>
      <c r="R1598" t="s">
        <v>355</v>
      </c>
      <c r="U1598" t="s">
        <v>528</v>
      </c>
      <c r="V1598" s="6" t="s">
        <v>684</v>
      </c>
      <c r="X1598" t="s">
        <v>825</v>
      </c>
      <c r="Y1598" s="6" t="s">
        <v>826</v>
      </c>
    </row>
    <row r="1599" spans="2:25" x14ac:dyDescent="0.3">
      <c r="B1599" s="5" t="s">
        <v>59</v>
      </c>
      <c r="C1599" s="5" t="str">
        <f>VLOOKUP(B1599,[1]물질정보!B:C,2,0)</f>
        <v>2499-95-8</v>
      </c>
      <c r="D1599" t="str">
        <f>VLOOKUP(B1599,[1]물질정보!B:D,3,0)</f>
        <v>hexyl acrylate</v>
      </c>
      <c r="E1599" t="str">
        <f>VLOOKUP(B1599,[1]물질정보!B:E,4,0)</f>
        <v>C9H16O2</v>
      </c>
      <c r="F1599" t="str">
        <f>VLOOKUP(B1599,[1]물질정보!B:F,5,0)</f>
        <v>156.22 g/mol</v>
      </c>
      <c r="G1599" s="5" t="str">
        <f>VLOOKUP(B1599,[1]물질정보!B:G,6,0)</f>
        <v>CCCCCCOC(=O)C=C</v>
      </c>
      <c r="I1599" t="s">
        <v>529</v>
      </c>
      <c r="J1599" s="9" t="s">
        <v>530</v>
      </c>
      <c r="K1599">
        <v>25.22</v>
      </c>
      <c r="L1599" t="s">
        <v>39</v>
      </c>
      <c r="M1599" t="s">
        <v>532</v>
      </c>
      <c r="P1599">
        <v>48</v>
      </c>
      <c r="Q1599" t="s">
        <v>533</v>
      </c>
      <c r="R1599" t="s">
        <v>355</v>
      </c>
      <c r="U1599" t="s">
        <v>523</v>
      </c>
      <c r="V1599" s="6" t="s">
        <v>684</v>
      </c>
      <c r="W1599" t="s">
        <v>532</v>
      </c>
      <c r="X1599" t="s">
        <v>822</v>
      </c>
      <c r="Y1599" s="6" t="s">
        <v>530</v>
      </c>
    </row>
    <row r="1600" spans="2:25" x14ac:dyDescent="0.3">
      <c r="B1600" s="5" t="s">
        <v>59</v>
      </c>
      <c r="C1600" s="5" t="str">
        <f>VLOOKUP(B1600,[1]물질정보!B:C,2,0)</f>
        <v>2499-95-8</v>
      </c>
      <c r="D1600" t="str">
        <f>VLOOKUP(B1600,[1]물질정보!B:D,3,0)</f>
        <v>hexyl acrylate</v>
      </c>
      <c r="E1600" t="str">
        <f>VLOOKUP(B1600,[1]물질정보!B:E,4,0)</f>
        <v>C9H16O2</v>
      </c>
      <c r="F1600" t="str">
        <f>VLOOKUP(B1600,[1]물질정보!B:F,5,0)</f>
        <v>156.22 g/mol</v>
      </c>
      <c r="G1600" s="5" t="str">
        <f>VLOOKUP(B1600,[1]물질정보!B:G,6,0)</f>
        <v>CCCCCCOC(=O)C=C</v>
      </c>
      <c r="I1600" t="s">
        <v>529</v>
      </c>
      <c r="J1600" s="9" t="s">
        <v>530</v>
      </c>
      <c r="K1600">
        <v>30.25</v>
      </c>
      <c r="L1600" t="s">
        <v>39</v>
      </c>
      <c r="M1600" t="s">
        <v>532</v>
      </c>
      <c r="P1600">
        <v>48</v>
      </c>
      <c r="Q1600" t="s">
        <v>533</v>
      </c>
      <c r="R1600" t="s">
        <v>355</v>
      </c>
      <c r="U1600" t="s">
        <v>525</v>
      </c>
      <c r="V1600" s="6" t="s">
        <v>684</v>
      </c>
      <c r="W1600" t="s">
        <v>532</v>
      </c>
      <c r="X1600" t="s">
        <v>822</v>
      </c>
      <c r="Y1600" s="6" t="s">
        <v>530</v>
      </c>
    </row>
    <row r="1601" spans="2:25" x14ac:dyDescent="0.3">
      <c r="B1601" s="5" t="s">
        <v>59</v>
      </c>
      <c r="C1601" s="5" t="str">
        <f>VLOOKUP(B1601,[1]물질정보!B:C,2,0)</f>
        <v>2499-95-8</v>
      </c>
      <c r="D1601" t="str">
        <f>VLOOKUP(B1601,[1]물질정보!B:D,3,0)</f>
        <v>hexyl acrylate</v>
      </c>
      <c r="E1601" t="str">
        <f>VLOOKUP(B1601,[1]물질정보!B:E,4,0)</f>
        <v>C9H16O2</v>
      </c>
      <c r="F1601" t="str">
        <f>VLOOKUP(B1601,[1]물질정보!B:F,5,0)</f>
        <v>156.22 g/mol</v>
      </c>
      <c r="G1601" s="5" t="str">
        <f>VLOOKUP(B1601,[1]물질정보!B:G,6,0)</f>
        <v>CCCCCCOC(=O)C=C</v>
      </c>
      <c r="I1601" t="s">
        <v>529</v>
      </c>
      <c r="J1601" s="9" t="s">
        <v>530</v>
      </c>
      <c r="K1601">
        <v>19.440000000000001</v>
      </c>
      <c r="L1601" t="s">
        <v>39</v>
      </c>
      <c r="M1601" t="s">
        <v>532</v>
      </c>
      <c r="P1601">
        <v>48</v>
      </c>
      <c r="Q1601" t="s">
        <v>533</v>
      </c>
      <c r="R1601" t="s">
        <v>355</v>
      </c>
      <c r="U1601" t="s">
        <v>527</v>
      </c>
      <c r="V1601" s="6" t="s">
        <v>684</v>
      </c>
      <c r="W1601" t="s">
        <v>532</v>
      </c>
      <c r="X1601" t="s">
        <v>822</v>
      </c>
      <c r="Y1601" s="6" t="s">
        <v>530</v>
      </c>
    </row>
    <row r="1602" spans="2:25" x14ac:dyDescent="0.3">
      <c r="B1602" s="5" t="s">
        <v>59</v>
      </c>
      <c r="C1602" s="5" t="str">
        <f>VLOOKUP(B1602,[1]물질정보!B:C,2,0)</f>
        <v>2499-95-8</v>
      </c>
      <c r="D1602" t="str">
        <f>VLOOKUP(B1602,[1]물질정보!B:D,3,0)</f>
        <v>hexyl acrylate</v>
      </c>
      <c r="E1602" t="str">
        <f>VLOOKUP(B1602,[1]물질정보!B:E,4,0)</f>
        <v>C9H16O2</v>
      </c>
      <c r="F1602" t="str">
        <f>VLOOKUP(B1602,[1]물질정보!B:F,5,0)</f>
        <v>156.22 g/mol</v>
      </c>
      <c r="G1602" s="5" t="str">
        <f>VLOOKUP(B1602,[1]물질정보!B:G,6,0)</f>
        <v>CCCCCCOC(=O)C=C</v>
      </c>
      <c r="I1602" t="s">
        <v>529</v>
      </c>
      <c r="J1602" s="9" t="s">
        <v>530</v>
      </c>
      <c r="K1602">
        <v>27.28</v>
      </c>
      <c r="L1602" t="s">
        <v>39</v>
      </c>
      <c r="M1602" t="s">
        <v>532</v>
      </c>
      <c r="P1602">
        <v>48</v>
      </c>
      <c r="Q1602" t="s">
        <v>533</v>
      </c>
      <c r="R1602" t="s">
        <v>355</v>
      </c>
      <c r="U1602" t="s">
        <v>528</v>
      </c>
      <c r="V1602" s="6" t="s">
        <v>684</v>
      </c>
      <c r="W1602" t="s">
        <v>532</v>
      </c>
      <c r="X1602" t="s">
        <v>822</v>
      </c>
      <c r="Y1602" s="6" t="s">
        <v>530</v>
      </c>
    </row>
    <row r="1603" spans="2:25" x14ac:dyDescent="0.3">
      <c r="B1603" s="5" t="s">
        <v>59</v>
      </c>
      <c r="C1603" s="5" t="str">
        <f>VLOOKUP(B1603,[1]물질정보!B:C,2,0)</f>
        <v>2499-95-8</v>
      </c>
      <c r="D1603" t="str">
        <f>VLOOKUP(B1603,[1]물질정보!B:D,3,0)</f>
        <v>hexyl acrylate</v>
      </c>
      <c r="E1603" t="str">
        <f>VLOOKUP(B1603,[1]물질정보!B:E,4,0)</f>
        <v>C9H16O2</v>
      </c>
      <c r="F1603" t="str">
        <f>VLOOKUP(B1603,[1]물질정보!B:F,5,0)</f>
        <v>156.22 g/mol</v>
      </c>
      <c r="G1603" s="5" t="str">
        <f>VLOOKUP(B1603,[1]물질정보!B:G,6,0)</f>
        <v>CCCCCCOC(=O)C=C</v>
      </c>
      <c r="I1603" t="s">
        <v>534</v>
      </c>
      <c r="J1603" t="s">
        <v>535</v>
      </c>
      <c r="K1603">
        <v>1.17</v>
      </c>
      <c r="L1603" t="s">
        <v>39</v>
      </c>
      <c r="M1603" t="s">
        <v>536</v>
      </c>
      <c r="P1603">
        <v>96</v>
      </c>
      <c r="Q1603" t="s">
        <v>533</v>
      </c>
      <c r="R1603" t="s">
        <v>355</v>
      </c>
      <c r="U1603" t="s">
        <v>523</v>
      </c>
      <c r="V1603" s="6" t="s">
        <v>684</v>
      </c>
      <c r="W1603" t="s">
        <v>536</v>
      </c>
      <c r="X1603" t="s">
        <v>823</v>
      </c>
      <c r="Y1603" s="6" t="s">
        <v>49</v>
      </c>
    </row>
    <row r="1604" spans="2:25" x14ac:dyDescent="0.3">
      <c r="B1604" s="5" t="s">
        <v>59</v>
      </c>
      <c r="C1604" s="5" t="str">
        <f>VLOOKUP(B1604,[1]물질정보!B:C,2,0)</f>
        <v>2499-95-8</v>
      </c>
      <c r="D1604" t="str">
        <f>VLOOKUP(B1604,[1]물질정보!B:D,3,0)</f>
        <v>hexyl acrylate</v>
      </c>
      <c r="E1604" t="str">
        <f>VLOOKUP(B1604,[1]물질정보!B:E,4,0)</f>
        <v>C9H16O2</v>
      </c>
      <c r="F1604" t="str">
        <f>VLOOKUP(B1604,[1]물질정보!B:F,5,0)</f>
        <v>156.22 g/mol</v>
      </c>
      <c r="G1604" s="5" t="str">
        <f>VLOOKUP(B1604,[1]물질정보!B:G,6,0)</f>
        <v>CCCCCCOC(=O)C=C</v>
      </c>
      <c r="I1604" t="s">
        <v>534</v>
      </c>
      <c r="J1604" t="s">
        <v>535</v>
      </c>
      <c r="K1604">
        <v>1.81</v>
      </c>
      <c r="L1604" t="s">
        <v>39</v>
      </c>
      <c r="M1604" t="s">
        <v>536</v>
      </c>
      <c r="P1604">
        <v>96</v>
      </c>
      <c r="Q1604" t="s">
        <v>533</v>
      </c>
      <c r="R1604" t="s">
        <v>355</v>
      </c>
      <c r="U1604" t="s">
        <v>525</v>
      </c>
      <c r="V1604" s="6" t="s">
        <v>684</v>
      </c>
      <c r="W1604" t="s">
        <v>536</v>
      </c>
      <c r="X1604" t="s">
        <v>823</v>
      </c>
      <c r="Y1604" s="6" t="s">
        <v>49</v>
      </c>
    </row>
    <row r="1605" spans="2:25" x14ac:dyDescent="0.3">
      <c r="B1605" s="5" t="s">
        <v>59</v>
      </c>
      <c r="C1605" s="5" t="str">
        <f>VLOOKUP(B1605,[1]물질정보!B:C,2,0)</f>
        <v>2499-95-8</v>
      </c>
      <c r="D1605" t="str">
        <f>VLOOKUP(B1605,[1]물질정보!B:D,3,0)</f>
        <v>hexyl acrylate</v>
      </c>
      <c r="E1605" t="str">
        <f>VLOOKUP(B1605,[1]물질정보!B:E,4,0)</f>
        <v>C9H16O2</v>
      </c>
      <c r="F1605" t="str">
        <f>VLOOKUP(B1605,[1]물질정보!B:F,5,0)</f>
        <v>156.22 g/mol</v>
      </c>
      <c r="G1605" s="5" t="str">
        <f>VLOOKUP(B1605,[1]물질정보!B:G,6,0)</f>
        <v>CCCCCCOC(=O)C=C</v>
      </c>
      <c r="I1605" t="s">
        <v>534</v>
      </c>
      <c r="J1605" t="s">
        <v>535</v>
      </c>
      <c r="K1605">
        <v>0.79</v>
      </c>
      <c r="L1605" t="s">
        <v>39</v>
      </c>
      <c r="M1605" t="s">
        <v>536</v>
      </c>
      <c r="P1605">
        <v>96</v>
      </c>
      <c r="Q1605" t="s">
        <v>533</v>
      </c>
      <c r="R1605" t="s">
        <v>355</v>
      </c>
      <c r="U1605" t="s">
        <v>527</v>
      </c>
      <c r="V1605" s="6" t="s">
        <v>684</v>
      </c>
      <c r="W1605" t="s">
        <v>536</v>
      </c>
      <c r="X1605" t="s">
        <v>823</v>
      </c>
      <c r="Y1605" s="6" t="s">
        <v>49</v>
      </c>
    </row>
    <row r="1606" spans="2:25" x14ac:dyDescent="0.3">
      <c r="B1606" s="5" t="s">
        <v>59</v>
      </c>
      <c r="C1606" s="5" t="str">
        <f>VLOOKUP(B1606,[1]물질정보!B:C,2,0)</f>
        <v>2499-95-8</v>
      </c>
      <c r="D1606" t="str">
        <f>VLOOKUP(B1606,[1]물질정보!B:D,3,0)</f>
        <v>hexyl acrylate</v>
      </c>
      <c r="E1606" t="str">
        <f>VLOOKUP(B1606,[1]물질정보!B:E,4,0)</f>
        <v>C9H16O2</v>
      </c>
      <c r="F1606" t="str">
        <f>VLOOKUP(B1606,[1]물질정보!B:F,5,0)</f>
        <v>156.22 g/mol</v>
      </c>
      <c r="G1606" s="5" t="str">
        <f>VLOOKUP(B1606,[1]물질정보!B:G,6,0)</f>
        <v>CCCCCCOC(=O)C=C</v>
      </c>
      <c r="I1606" t="s">
        <v>534</v>
      </c>
      <c r="J1606" t="s">
        <v>535</v>
      </c>
      <c r="K1606">
        <v>1.1100000000000001</v>
      </c>
      <c r="L1606" t="s">
        <v>39</v>
      </c>
      <c r="M1606" t="s">
        <v>536</v>
      </c>
      <c r="P1606">
        <v>96</v>
      </c>
      <c r="Q1606" t="s">
        <v>533</v>
      </c>
      <c r="R1606" t="s">
        <v>355</v>
      </c>
      <c r="U1606" t="s">
        <v>528</v>
      </c>
      <c r="V1606" s="6" t="s">
        <v>684</v>
      </c>
      <c r="W1606" t="s">
        <v>536</v>
      </c>
      <c r="X1606" t="s">
        <v>823</v>
      </c>
      <c r="Y1606" s="6" t="s">
        <v>49</v>
      </c>
    </row>
    <row r="1607" spans="2:25" x14ac:dyDescent="0.3">
      <c r="B1607" s="5" t="s">
        <v>59</v>
      </c>
      <c r="C1607" s="5" t="str">
        <f>VLOOKUP(B1607,[1]물질정보!B:C,2,0)</f>
        <v>2499-95-8</v>
      </c>
      <c r="D1607" t="str">
        <f>VLOOKUP(B1607,[1]물질정보!B:D,3,0)</f>
        <v>hexyl acrylate</v>
      </c>
      <c r="E1607" t="str">
        <f>VLOOKUP(B1607,[1]물질정보!B:E,4,0)</f>
        <v>C9H16O2</v>
      </c>
      <c r="F1607" t="str">
        <f>VLOOKUP(B1607,[1]물질정보!B:F,5,0)</f>
        <v>156.22 g/mol</v>
      </c>
      <c r="G1607" s="5" t="str">
        <f>VLOOKUP(B1607,[1]물질정보!B:G,6,0)</f>
        <v>CCCCCCOC(=O)C=C</v>
      </c>
      <c r="I1607" t="s">
        <v>537</v>
      </c>
      <c r="J1607" t="s">
        <v>535</v>
      </c>
      <c r="K1607">
        <v>7.2</v>
      </c>
      <c r="L1607" t="s">
        <v>39</v>
      </c>
      <c r="M1607" t="s">
        <v>47</v>
      </c>
      <c r="P1607">
        <v>48</v>
      </c>
      <c r="Q1607" t="s">
        <v>533</v>
      </c>
      <c r="R1607" t="s">
        <v>355</v>
      </c>
      <c r="U1607" t="s">
        <v>523</v>
      </c>
      <c r="V1607" s="6" t="s">
        <v>684</v>
      </c>
      <c r="W1607" t="s">
        <v>47</v>
      </c>
      <c r="X1607" t="s">
        <v>822</v>
      </c>
      <c r="Y1607" s="6" t="s">
        <v>49</v>
      </c>
    </row>
    <row r="1608" spans="2:25" x14ac:dyDescent="0.3">
      <c r="B1608" s="5" t="s">
        <v>59</v>
      </c>
      <c r="C1608" s="5" t="str">
        <f>VLOOKUP(B1608,[1]물질정보!B:C,2,0)</f>
        <v>2499-95-8</v>
      </c>
      <c r="D1608" t="str">
        <f>VLOOKUP(B1608,[1]물질정보!B:D,3,0)</f>
        <v>hexyl acrylate</v>
      </c>
      <c r="E1608" t="str">
        <f>VLOOKUP(B1608,[1]물질정보!B:E,4,0)</f>
        <v>C9H16O2</v>
      </c>
      <c r="F1608" t="str">
        <f>VLOOKUP(B1608,[1]물질정보!B:F,5,0)</f>
        <v>156.22 g/mol</v>
      </c>
      <c r="G1608" s="5" t="str">
        <f>VLOOKUP(B1608,[1]물질정보!B:G,6,0)</f>
        <v>CCCCCCOC(=O)C=C</v>
      </c>
      <c r="I1608" t="s">
        <v>537</v>
      </c>
      <c r="J1608" t="s">
        <v>535</v>
      </c>
      <c r="K1608">
        <v>5.24</v>
      </c>
      <c r="L1608" t="s">
        <v>39</v>
      </c>
      <c r="M1608" t="s">
        <v>47</v>
      </c>
      <c r="P1608">
        <v>48</v>
      </c>
      <c r="Q1608" t="s">
        <v>533</v>
      </c>
      <c r="R1608" t="s">
        <v>355</v>
      </c>
      <c r="U1608" t="s">
        <v>525</v>
      </c>
      <c r="V1608" s="6" t="s">
        <v>684</v>
      </c>
      <c r="W1608" t="s">
        <v>47</v>
      </c>
      <c r="X1608" t="s">
        <v>822</v>
      </c>
      <c r="Y1608" s="6" t="s">
        <v>49</v>
      </c>
    </row>
    <row r="1609" spans="2:25" x14ac:dyDescent="0.3">
      <c r="B1609" s="5" t="s">
        <v>59</v>
      </c>
      <c r="C1609" s="5" t="str">
        <f>VLOOKUP(B1609,[1]물질정보!B:C,2,0)</f>
        <v>2499-95-8</v>
      </c>
      <c r="D1609" t="str">
        <f>VLOOKUP(B1609,[1]물질정보!B:D,3,0)</f>
        <v>hexyl acrylate</v>
      </c>
      <c r="E1609" t="str">
        <f>VLOOKUP(B1609,[1]물질정보!B:E,4,0)</f>
        <v>C9H16O2</v>
      </c>
      <c r="F1609" t="str">
        <f>VLOOKUP(B1609,[1]물질정보!B:F,5,0)</f>
        <v>156.22 g/mol</v>
      </c>
      <c r="G1609" s="5" t="str">
        <f>VLOOKUP(B1609,[1]물질정보!B:G,6,0)</f>
        <v>CCCCCCOC(=O)C=C</v>
      </c>
      <c r="I1609" t="s">
        <v>537</v>
      </c>
      <c r="J1609" t="s">
        <v>535</v>
      </c>
      <c r="K1609">
        <v>14.18</v>
      </c>
      <c r="L1609" t="s">
        <v>39</v>
      </c>
      <c r="M1609" t="s">
        <v>47</v>
      </c>
      <c r="P1609">
        <v>48</v>
      </c>
      <c r="Q1609" t="s">
        <v>533</v>
      </c>
      <c r="R1609" t="s">
        <v>355</v>
      </c>
      <c r="U1609" t="s">
        <v>527</v>
      </c>
      <c r="V1609" s="6" t="s">
        <v>684</v>
      </c>
      <c r="W1609" t="s">
        <v>47</v>
      </c>
      <c r="X1609" t="s">
        <v>822</v>
      </c>
      <c r="Y1609" s="6" t="s">
        <v>49</v>
      </c>
    </row>
    <row r="1610" spans="2:25" x14ac:dyDescent="0.3">
      <c r="B1610" s="5" t="s">
        <v>59</v>
      </c>
      <c r="C1610" s="5" t="str">
        <f>VLOOKUP(B1610,[1]물질정보!B:C,2,0)</f>
        <v>2499-95-8</v>
      </c>
      <c r="D1610" t="str">
        <f>VLOOKUP(B1610,[1]물질정보!B:D,3,0)</f>
        <v>hexyl acrylate</v>
      </c>
      <c r="E1610" t="str">
        <f>VLOOKUP(B1610,[1]물질정보!B:E,4,0)</f>
        <v>C9H16O2</v>
      </c>
      <c r="F1610" t="str">
        <f>VLOOKUP(B1610,[1]물질정보!B:F,5,0)</f>
        <v>156.22 g/mol</v>
      </c>
      <c r="G1610" s="5" t="str">
        <f>VLOOKUP(B1610,[1]물질정보!B:G,6,0)</f>
        <v>CCCCCCOC(=O)C=C</v>
      </c>
      <c r="I1610" t="s">
        <v>537</v>
      </c>
      <c r="J1610" t="s">
        <v>535</v>
      </c>
      <c r="K1610">
        <v>5.0199999999999996</v>
      </c>
      <c r="L1610" t="s">
        <v>39</v>
      </c>
      <c r="M1610" t="s">
        <v>47</v>
      </c>
      <c r="P1610">
        <v>48</v>
      </c>
      <c r="Q1610" t="s">
        <v>533</v>
      </c>
      <c r="R1610" t="s">
        <v>355</v>
      </c>
      <c r="U1610" t="s">
        <v>528</v>
      </c>
      <c r="V1610" s="6" t="s">
        <v>684</v>
      </c>
      <c r="W1610" t="s">
        <v>47</v>
      </c>
      <c r="X1610" t="s">
        <v>822</v>
      </c>
      <c r="Y1610" s="6" t="s">
        <v>49</v>
      </c>
    </row>
    <row r="1611" spans="2:25" x14ac:dyDescent="0.3">
      <c r="B1611" s="5" t="s">
        <v>59</v>
      </c>
      <c r="C1611" s="5" t="str">
        <f>VLOOKUP(B1611,[1]물질정보!B:C,2,0)</f>
        <v>2499-95-8</v>
      </c>
      <c r="D1611" t="str">
        <f>VLOOKUP(B1611,[1]물질정보!B:D,3,0)</f>
        <v>hexyl acrylate</v>
      </c>
      <c r="E1611" t="str">
        <f>VLOOKUP(B1611,[1]물질정보!B:E,4,0)</f>
        <v>C9H16O2</v>
      </c>
      <c r="F1611" t="str">
        <f>VLOOKUP(B1611,[1]물질정보!B:F,5,0)</f>
        <v>156.22 g/mol</v>
      </c>
      <c r="G1611" s="5" t="str">
        <f>VLOOKUP(B1611,[1]물질정보!B:G,6,0)</f>
        <v>CCCCCCOC(=O)C=C</v>
      </c>
      <c r="I1611" t="s">
        <v>494</v>
      </c>
      <c r="J1611" t="s">
        <v>538</v>
      </c>
      <c r="K1611">
        <v>7599.81</v>
      </c>
      <c r="L1611" t="s">
        <v>161</v>
      </c>
      <c r="M1611" t="s">
        <v>495</v>
      </c>
      <c r="R1611" t="s">
        <v>355</v>
      </c>
      <c r="U1611" t="s">
        <v>523</v>
      </c>
      <c r="V1611" s="6" t="s">
        <v>684</v>
      </c>
      <c r="W1611" t="s">
        <v>86</v>
      </c>
      <c r="X1611" t="s">
        <v>825</v>
      </c>
      <c r="Y1611" s="6" t="s">
        <v>81</v>
      </c>
    </row>
    <row r="1612" spans="2:25" x14ac:dyDescent="0.3">
      <c r="B1612" s="5" t="s">
        <v>59</v>
      </c>
      <c r="C1612" s="5" t="str">
        <f>VLOOKUP(B1612,[1]물질정보!B:C,2,0)</f>
        <v>2499-95-8</v>
      </c>
      <c r="D1612" t="str">
        <f>VLOOKUP(B1612,[1]물질정보!B:D,3,0)</f>
        <v>hexyl acrylate</v>
      </c>
      <c r="E1612" t="str">
        <f>VLOOKUP(B1612,[1]물질정보!B:E,4,0)</f>
        <v>C9H16O2</v>
      </c>
      <c r="F1612" t="str">
        <f>VLOOKUP(B1612,[1]물질정보!B:F,5,0)</f>
        <v>156.22 g/mol</v>
      </c>
      <c r="G1612" s="5" t="str">
        <f>VLOOKUP(B1612,[1]물질정보!B:G,6,0)</f>
        <v>CCCCCCOC(=O)C=C</v>
      </c>
      <c r="I1612" t="s">
        <v>494</v>
      </c>
      <c r="J1612" t="s">
        <v>538</v>
      </c>
      <c r="K1612">
        <v>11652.78</v>
      </c>
      <c r="L1612" t="s">
        <v>161</v>
      </c>
      <c r="M1612" t="s">
        <v>495</v>
      </c>
      <c r="R1612" t="s">
        <v>355</v>
      </c>
      <c r="U1612" t="s">
        <v>525</v>
      </c>
      <c r="V1612" s="6" t="s">
        <v>684</v>
      </c>
      <c r="W1612" t="s">
        <v>86</v>
      </c>
      <c r="X1612" t="s">
        <v>825</v>
      </c>
      <c r="Y1612" s="6" t="s">
        <v>81</v>
      </c>
    </row>
    <row r="1613" spans="2:25" x14ac:dyDescent="0.3">
      <c r="B1613" s="5" t="s">
        <v>59</v>
      </c>
      <c r="C1613" s="5" t="str">
        <f>VLOOKUP(B1613,[1]물질정보!B:C,2,0)</f>
        <v>2499-95-8</v>
      </c>
      <c r="D1613" t="str">
        <f>VLOOKUP(B1613,[1]물질정보!B:D,3,0)</f>
        <v>hexyl acrylate</v>
      </c>
      <c r="E1613" t="str">
        <f>VLOOKUP(B1613,[1]물질정보!B:E,4,0)</f>
        <v>C9H16O2</v>
      </c>
      <c r="F1613" t="str">
        <f>VLOOKUP(B1613,[1]물질정보!B:F,5,0)</f>
        <v>156.22 g/mol</v>
      </c>
      <c r="G1613" s="5" t="str">
        <f>VLOOKUP(B1613,[1]물질정보!B:G,6,0)</f>
        <v>CCCCCCOC(=O)C=C</v>
      </c>
      <c r="I1613" t="s">
        <v>494</v>
      </c>
      <c r="J1613" t="s">
        <v>538</v>
      </c>
      <c r="K1613">
        <v>5246.48</v>
      </c>
      <c r="L1613" t="s">
        <v>161</v>
      </c>
      <c r="M1613" t="s">
        <v>495</v>
      </c>
      <c r="R1613" t="s">
        <v>355</v>
      </c>
      <c r="U1613" t="s">
        <v>527</v>
      </c>
      <c r="V1613" s="6" t="s">
        <v>684</v>
      </c>
      <c r="W1613" t="s">
        <v>86</v>
      </c>
      <c r="X1613" t="s">
        <v>825</v>
      </c>
      <c r="Y1613" s="6" t="s">
        <v>81</v>
      </c>
    </row>
    <row r="1614" spans="2:25" x14ac:dyDescent="0.3">
      <c r="B1614" s="5" t="s">
        <v>59</v>
      </c>
      <c r="C1614" s="5" t="str">
        <f>VLOOKUP(B1614,[1]물질정보!B:C,2,0)</f>
        <v>2499-95-8</v>
      </c>
      <c r="D1614" t="str">
        <f>VLOOKUP(B1614,[1]물질정보!B:D,3,0)</f>
        <v>hexyl acrylate</v>
      </c>
      <c r="E1614" t="str">
        <f>VLOOKUP(B1614,[1]물질정보!B:E,4,0)</f>
        <v>C9H16O2</v>
      </c>
      <c r="F1614" t="str">
        <f>VLOOKUP(B1614,[1]물질정보!B:F,5,0)</f>
        <v>156.22 g/mol</v>
      </c>
      <c r="G1614" s="5" t="str">
        <f>VLOOKUP(B1614,[1]물질정보!B:G,6,0)</f>
        <v>CCCCCCOC(=O)C=C</v>
      </c>
      <c r="I1614" t="s">
        <v>494</v>
      </c>
      <c r="J1614" t="s">
        <v>538</v>
      </c>
      <c r="K1614">
        <v>7179.77</v>
      </c>
      <c r="L1614" t="s">
        <v>161</v>
      </c>
      <c r="M1614" t="s">
        <v>495</v>
      </c>
      <c r="R1614" t="s">
        <v>355</v>
      </c>
      <c r="U1614" t="s">
        <v>528</v>
      </c>
      <c r="V1614" s="6" t="s">
        <v>684</v>
      </c>
      <c r="W1614" t="s">
        <v>86</v>
      </c>
      <c r="X1614" t="s">
        <v>825</v>
      </c>
      <c r="Y1614" s="6" t="s">
        <v>81</v>
      </c>
    </row>
    <row r="1615" spans="2:25" x14ac:dyDescent="0.3">
      <c r="B1615" s="5" t="s">
        <v>59</v>
      </c>
      <c r="C1615" s="5" t="str">
        <f>VLOOKUP(B1615,[1]물질정보!B:C,2,0)</f>
        <v>2499-95-8</v>
      </c>
      <c r="D1615" t="str">
        <f>VLOOKUP(B1615,[1]물질정보!B:D,3,0)</f>
        <v>hexyl acrylate</v>
      </c>
      <c r="E1615" t="str">
        <f>VLOOKUP(B1615,[1]물질정보!B:E,4,0)</f>
        <v>C9H16O2</v>
      </c>
      <c r="F1615" t="str">
        <f>VLOOKUP(B1615,[1]물질정보!B:F,5,0)</f>
        <v>156.22 g/mol</v>
      </c>
      <c r="G1615" s="5" t="str">
        <f>VLOOKUP(B1615,[1]물질정보!B:G,6,0)</f>
        <v>CCCCCCOC(=O)C=C</v>
      </c>
      <c r="I1615" t="s">
        <v>540</v>
      </c>
      <c r="J1615" t="s">
        <v>541</v>
      </c>
      <c r="K1615" t="s">
        <v>616</v>
      </c>
      <c r="M1615" t="s">
        <v>543</v>
      </c>
      <c r="N1615" t="s">
        <v>544</v>
      </c>
      <c r="R1615" t="s">
        <v>355</v>
      </c>
      <c r="U1615" t="s">
        <v>523</v>
      </c>
      <c r="V1615" s="6" t="s">
        <v>684</v>
      </c>
      <c r="W1615" t="s">
        <v>83</v>
      </c>
      <c r="X1615" t="s">
        <v>825</v>
      </c>
      <c r="Y1615" s="6" t="s">
        <v>827</v>
      </c>
    </row>
    <row r="1616" spans="2:25" x14ac:dyDescent="0.3">
      <c r="B1616" s="5" t="s">
        <v>59</v>
      </c>
      <c r="C1616" s="5" t="str">
        <f>VLOOKUP(B1616,[1]물질정보!B:C,2,0)</f>
        <v>2499-95-8</v>
      </c>
      <c r="D1616" t="str">
        <f>VLOOKUP(B1616,[1]물질정보!B:D,3,0)</f>
        <v>hexyl acrylate</v>
      </c>
      <c r="E1616" t="str">
        <f>VLOOKUP(B1616,[1]물질정보!B:E,4,0)</f>
        <v>C9H16O2</v>
      </c>
      <c r="F1616" t="str">
        <f>VLOOKUP(B1616,[1]물질정보!B:F,5,0)</f>
        <v>156.22 g/mol</v>
      </c>
      <c r="G1616" s="5" t="str">
        <f>VLOOKUP(B1616,[1]물질정보!B:G,6,0)</f>
        <v>CCCCCCOC(=O)C=C</v>
      </c>
      <c r="I1616" t="s">
        <v>540</v>
      </c>
      <c r="J1616" t="s">
        <v>541</v>
      </c>
      <c r="K1616" t="s">
        <v>596</v>
      </c>
      <c r="M1616" t="s">
        <v>543</v>
      </c>
      <c r="N1616" t="s">
        <v>544</v>
      </c>
      <c r="R1616" t="s">
        <v>355</v>
      </c>
      <c r="U1616" t="s">
        <v>525</v>
      </c>
      <c r="V1616" s="6" t="s">
        <v>684</v>
      </c>
      <c r="W1616" t="s">
        <v>83</v>
      </c>
      <c r="X1616" t="s">
        <v>825</v>
      </c>
      <c r="Y1616" s="6" t="s">
        <v>827</v>
      </c>
    </row>
    <row r="1617" spans="2:25" x14ac:dyDescent="0.3">
      <c r="B1617" s="5" t="s">
        <v>59</v>
      </c>
      <c r="C1617" s="5" t="str">
        <f>VLOOKUP(B1617,[1]물질정보!B:C,2,0)</f>
        <v>2499-95-8</v>
      </c>
      <c r="D1617" t="str">
        <f>VLOOKUP(B1617,[1]물질정보!B:D,3,0)</f>
        <v>hexyl acrylate</v>
      </c>
      <c r="E1617" t="str">
        <f>VLOOKUP(B1617,[1]물질정보!B:E,4,0)</f>
        <v>C9H16O2</v>
      </c>
      <c r="F1617" t="str">
        <f>VLOOKUP(B1617,[1]물질정보!B:F,5,0)</f>
        <v>156.22 g/mol</v>
      </c>
      <c r="G1617" s="5" t="str">
        <f>VLOOKUP(B1617,[1]물질정보!B:G,6,0)</f>
        <v>CCCCCCOC(=O)C=C</v>
      </c>
      <c r="I1617" t="s">
        <v>540</v>
      </c>
      <c r="J1617" t="s">
        <v>541</v>
      </c>
      <c r="K1617" t="s">
        <v>552</v>
      </c>
      <c r="M1617" t="s">
        <v>543</v>
      </c>
      <c r="N1617" t="s">
        <v>544</v>
      </c>
      <c r="R1617" t="s">
        <v>355</v>
      </c>
      <c r="U1617" t="s">
        <v>527</v>
      </c>
      <c r="V1617" s="6" t="s">
        <v>684</v>
      </c>
      <c r="W1617" t="s">
        <v>83</v>
      </c>
      <c r="X1617" t="s">
        <v>825</v>
      </c>
      <c r="Y1617" s="6" t="s">
        <v>827</v>
      </c>
    </row>
    <row r="1618" spans="2:25" x14ac:dyDescent="0.3">
      <c r="B1618" s="5" t="s">
        <v>59</v>
      </c>
      <c r="C1618" s="5" t="str">
        <f>VLOOKUP(B1618,[1]물질정보!B:C,2,0)</f>
        <v>2499-95-8</v>
      </c>
      <c r="D1618" t="str">
        <f>VLOOKUP(B1618,[1]물질정보!B:D,3,0)</f>
        <v>hexyl acrylate</v>
      </c>
      <c r="E1618" t="str">
        <f>VLOOKUP(B1618,[1]물질정보!B:E,4,0)</f>
        <v>C9H16O2</v>
      </c>
      <c r="F1618" t="str">
        <f>VLOOKUP(B1618,[1]물질정보!B:F,5,0)</f>
        <v>156.22 g/mol</v>
      </c>
      <c r="G1618" s="5" t="str">
        <f>VLOOKUP(B1618,[1]물질정보!B:G,6,0)</f>
        <v>CCCCCCOC(=O)C=C</v>
      </c>
      <c r="I1618" t="s">
        <v>540</v>
      </c>
      <c r="J1618" t="s">
        <v>541</v>
      </c>
      <c r="K1618" t="s">
        <v>597</v>
      </c>
      <c r="M1618" t="s">
        <v>543</v>
      </c>
      <c r="N1618" t="s">
        <v>544</v>
      </c>
      <c r="R1618" t="s">
        <v>355</v>
      </c>
      <c r="U1618" t="s">
        <v>528</v>
      </c>
      <c r="V1618" s="6" t="s">
        <v>684</v>
      </c>
      <c r="W1618" t="s">
        <v>83</v>
      </c>
      <c r="X1618" t="s">
        <v>825</v>
      </c>
      <c r="Y1618" s="6" t="s">
        <v>827</v>
      </c>
    </row>
    <row r="1619" spans="2:25" x14ac:dyDescent="0.3">
      <c r="B1619" s="5" t="s">
        <v>59</v>
      </c>
      <c r="C1619" s="5" t="str">
        <f>VLOOKUP(B1619,[1]물질정보!B:C,2,0)</f>
        <v>2499-95-8</v>
      </c>
      <c r="D1619" t="str">
        <f>VLOOKUP(B1619,[1]물질정보!B:D,3,0)</f>
        <v>hexyl acrylate</v>
      </c>
      <c r="E1619" t="str">
        <f>VLOOKUP(B1619,[1]물질정보!B:E,4,0)</f>
        <v>C9H16O2</v>
      </c>
      <c r="F1619" t="str">
        <f>VLOOKUP(B1619,[1]물질정보!B:F,5,0)</f>
        <v>156.22 g/mol</v>
      </c>
      <c r="G1619" s="5" t="str">
        <f>VLOOKUP(B1619,[1]물질정보!B:G,6,0)</f>
        <v>CCCCCCOC(=O)C=C</v>
      </c>
      <c r="I1619" t="s">
        <v>137</v>
      </c>
      <c r="J1619" t="s">
        <v>498</v>
      </c>
      <c r="K1619" t="s">
        <v>591</v>
      </c>
      <c r="R1619" t="s">
        <v>355</v>
      </c>
      <c r="U1619" t="s">
        <v>523</v>
      </c>
      <c r="V1619" s="6" t="s">
        <v>684</v>
      </c>
      <c r="X1619" t="s">
        <v>825</v>
      </c>
      <c r="Y1619" s="6" t="s">
        <v>89</v>
      </c>
    </row>
    <row r="1620" spans="2:25" x14ac:dyDescent="0.3">
      <c r="B1620" s="5" t="s">
        <v>59</v>
      </c>
      <c r="C1620" s="5" t="str">
        <f>VLOOKUP(B1620,[1]물질정보!B:C,2,0)</f>
        <v>2499-95-8</v>
      </c>
      <c r="D1620" t="str">
        <f>VLOOKUP(B1620,[1]물질정보!B:D,3,0)</f>
        <v>hexyl acrylate</v>
      </c>
      <c r="E1620" t="str">
        <f>VLOOKUP(B1620,[1]물질정보!B:E,4,0)</f>
        <v>C9H16O2</v>
      </c>
      <c r="F1620" t="str">
        <f>VLOOKUP(B1620,[1]물질정보!B:F,5,0)</f>
        <v>156.22 g/mol</v>
      </c>
      <c r="G1620" s="5" t="str">
        <f>VLOOKUP(B1620,[1]물질정보!B:G,6,0)</f>
        <v>CCCCCCOC(=O)C=C</v>
      </c>
      <c r="I1620" t="s">
        <v>137</v>
      </c>
      <c r="J1620" t="s">
        <v>498</v>
      </c>
      <c r="K1620" t="s">
        <v>561</v>
      </c>
      <c r="R1620" t="s">
        <v>355</v>
      </c>
      <c r="U1620" t="s">
        <v>525</v>
      </c>
      <c r="V1620" s="6" t="s">
        <v>684</v>
      </c>
      <c r="X1620" t="s">
        <v>825</v>
      </c>
      <c r="Y1620" s="6" t="s">
        <v>89</v>
      </c>
    </row>
    <row r="1621" spans="2:25" x14ac:dyDescent="0.3">
      <c r="B1621" s="5" t="s">
        <v>59</v>
      </c>
      <c r="C1621" s="5" t="str">
        <f>VLOOKUP(B1621,[1]물질정보!B:C,2,0)</f>
        <v>2499-95-8</v>
      </c>
      <c r="D1621" t="str">
        <f>VLOOKUP(B1621,[1]물질정보!B:D,3,0)</f>
        <v>hexyl acrylate</v>
      </c>
      <c r="E1621" t="str">
        <f>VLOOKUP(B1621,[1]물질정보!B:E,4,0)</f>
        <v>C9H16O2</v>
      </c>
      <c r="F1621" t="str">
        <f>VLOOKUP(B1621,[1]물질정보!B:F,5,0)</f>
        <v>156.22 g/mol</v>
      </c>
      <c r="G1621" s="5" t="str">
        <f>VLOOKUP(B1621,[1]물질정보!B:G,6,0)</f>
        <v>CCCCCCOC(=O)C=C</v>
      </c>
      <c r="I1621" t="s">
        <v>137</v>
      </c>
      <c r="J1621" t="s">
        <v>498</v>
      </c>
      <c r="K1621" t="s">
        <v>559</v>
      </c>
      <c r="R1621" t="s">
        <v>355</v>
      </c>
      <c r="U1621" t="s">
        <v>527</v>
      </c>
      <c r="V1621" s="6" t="s">
        <v>684</v>
      </c>
      <c r="X1621" t="s">
        <v>825</v>
      </c>
      <c r="Y1621" s="6" t="s">
        <v>89</v>
      </c>
    </row>
    <row r="1622" spans="2:25" x14ac:dyDescent="0.3">
      <c r="B1622" s="5" t="s">
        <v>59</v>
      </c>
      <c r="C1622" s="5" t="str">
        <f>VLOOKUP(B1622,[1]물질정보!B:C,2,0)</f>
        <v>2499-95-8</v>
      </c>
      <c r="D1622" t="str">
        <f>VLOOKUP(B1622,[1]물질정보!B:D,3,0)</f>
        <v>hexyl acrylate</v>
      </c>
      <c r="E1622" t="str">
        <f>VLOOKUP(B1622,[1]물질정보!B:E,4,0)</f>
        <v>C9H16O2</v>
      </c>
      <c r="F1622" t="str">
        <f>VLOOKUP(B1622,[1]물질정보!B:F,5,0)</f>
        <v>156.22 g/mol</v>
      </c>
      <c r="G1622" s="5" t="str">
        <f>VLOOKUP(B1622,[1]물질정보!B:G,6,0)</f>
        <v>CCCCCCOC(=O)C=C</v>
      </c>
      <c r="I1622" t="s">
        <v>137</v>
      </c>
      <c r="J1622" t="s">
        <v>498</v>
      </c>
      <c r="K1622" t="s">
        <v>593</v>
      </c>
      <c r="R1622" t="s">
        <v>355</v>
      </c>
      <c r="U1622" t="s">
        <v>528</v>
      </c>
      <c r="V1622" s="6" t="s">
        <v>684</v>
      </c>
      <c r="X1622" t="s">
        <v>825</v>
      </c>
      <c r="Y1622" s="6" t="s">
        <v>89</v>
      </c>
    </row>
    <row r="1623" spans="2:25" x14ac:dyDescent="0.3">
      <c r="B1623" s="5" t="s">
        <v>70</v>
      </c>
      <c r="C1623" s="5" t="str">
        <f>VLOOKUP(B1623,[1]물질정보!B:C,2,0)</f>
        <v>10095-14-4</v>
      </c>
      <c r="D1623" t="str">
        <f>VLOOKUP(B1623,[1]물질정보!B:D,3,0)</f>
        <v>6-hydroxybutyl acrylate</v>
      </c>
      <c r="E1623" t="str">
        <f>VLOOKUP(B1623,[1]물질정보!B:E,4,0)</f>
        <v>C9H16O3</v>
      </c>
      <c r="F1623" t="str">
        <f>VLOOKUP(B1623,[1]물질정보!B:F,5,0)</f>
        <v>172.22 g/mol</v>
      </c>
      <c r="G1623" s="5" t="str">
        <f>VLOOKUP(B1623,[1]물질정보!B:G,6,0)</f>
        <v>C=CC(=O)OCCCCCCO</v>
      </c>
      <c r="I1623" t="s">
        <v>520</v>
      </c>
      <c r="J1623" t="s">
        <v>521</v>
      </c>
      <c r="K1623" t="s">
        <v>584</v>
      </c>
      <c r="R1623" t="s">
        <v>355</v>
      </c>
      <c r="U1623" t="s">
        <v>523</v>
      </c>
      <c r="V1623" s="6" t="s">
        <v>684</v>
      </c>
      <c r="X1623" t="s">
        <v>825</v>
      </c>
      <c r="Y1623" s="6" t="s">
        <v>826</v>
      </c>
    </row>
    <row r="1624" spans="2:25" x14ac:dyDescent="0.3">
      <c r="B1624" s="5" t="s">
        <v>70</v>
      </c>
      <c r="C1624" s="5" t="str">
        <f>VLOOKUP(B1624,[1]물질정보!B:C,2,0)</f>
        <v>10095-14-4</v>
      </c>
      <c r="D1624" t="str">
        <f>VLOOKUP(B1624,[1]물질정보!B:D,3,0)</f>
        <v>6-hydroxybutyl acrylate</v>
      </c>
      <c r="E1624" t="str">
        <f>VLOOKUP(B1624,[1]물질정보!B:E,4,0)</f>
        <v>C9H16O3</v>
      </c>
      <c r="F1624" t="str">
        <f>VLOOKUP(B1624,[1]물질정보!B:F,5,0)</f>
        <v>172.22 g/mol</v>
      </c>
      <c r="G1624" s="5" t="str">
        <f>VLOOKUP(B1624,[1]물질정보!B:G,6,0)</f>
        <v>C=CC(=O)OCCCCCCO</v>
      </c>
      <c r="I1624" t="s">
        <v>520</v>
      </c>
      <c r="J1624" t="s">
        <v>521</v>
      </c>
      <c r="K1624" t="s">
        <v>546</v>
      </c>
      <c r="R1624" t="s">
        <v>355</v>
      </c>
      <c r="U1624" t="s">
        <v>525</v>
      </c>
      <c r="V1624" s="6" t="s">
        <v>684</v>
      </c>
      <c r="X1624" t="s">
        <v>825</v>
      </c>
      <c r="Y1624" s="6" t="s">
        <v>826</v>
      </c>
    </row>
    <row r="1625" spans="2:25" x14ac:dyDescent="0.3">
      <c r="B1625" s="5" t="s">
        <v>70</v>
      </c>
      <c r="C1625" s="5" t="str">
        <f>VLOOKUP(B1625,[1]물질정보!B:C,2,0)</f>
        <v>10095-14-4</v>
      </c>
      <c r="D1625" t="str">
        <f>VLOOKUP(B1625,[1]물질정보!B:D,3,0)</f>
        <v>6-hydroxybutyl acrylate</v>
      </c>
      <c r="E1625" t="str">
        <f>VLOOKUP(B1625,[1]물질정보!B:E,4,0)</f>
        <v>C9H16O3</v>
      </c>
      <c r="F1625" t="str">
        <f>VLOOKUP(B1625,[1]물질정보!B:F,5,0)</f>
        <v>172.22 g/mol</v>
      </c>
      <c r="G1625" s="5" t="str">
        <f>VLOOKUP(B1625,[1]물질정보!B:G,6,0)</f>
        <v>C=CC(=O)OCCCCCCO</v>
      </c>
      <c r="I1625" t="s">
        <v>520</v>
      </c>
      <c r="J1625" t="s">
        <v>521</v>
      </c>
      <c r="K1625" t="s">
        <v>605</v>
      </c>
      <c r="R1625" t="s">
        <v>355</v>
      </c>
      <c r="U1625" t="s">
        <v>527</v>
      </c>
      <c r="V1625" s="6" t="s">
        <v>684</v>
      </c>
      <c r="X1625" t="s">
        <v>825</v>
      </c>
      <c r="Y1625" s="6" t="s">
        <v>826</v>
      </c>
    </row>
    <row r="1626" spans="2:25" x14ac:dyDescent="0.3">
      <c r="B1626" s="5" t="s">
        <v>70</v>
      </c>
      <c r="C1626" s="5" t="str">
        <f>VLOOKUP(B1626,[1]물질정보!B:C,2,0)</f>
        <v>10095-14-4</v>
      </c>
      <c r="D1626" t="str">
        <f>VLOOKUP(B1626,[1]물질정보!B:D,3,0)</f>
        <v>6-hydroxybutyl acrylate</v>
      </c>
      <c r="E1626" t="str">
        <f>VLOOKUP(B1626,[1]물질정보!B:E,4,0)</f>
        <v>C9H16O3</v>
      </c>
      <c r="F1626" t="str">
        <f>VLOOKUP(B1626,[1]물질정보!B:F,5,0)</f>
        <v>172.22 g/mol</v>
      </c>
      <c r="G1626" s="5" t="str">
        <f>VLOOKUP(B1626,[1]물질정보!B:G,6,0)</f>
        <v>C=CC(=O)OCCCCCCO</v>
      </c>
      <c r="I1626" t="s">
        <v>520</v>
      </c>
      <c r="J1626" t="s">
        <v>521</v>
      </c>
      <c r="K1626" t="s">
        <v>562</v>
      </c>
      <c r="R1626" t="s">
        <v>355</v>
      </c>
      <c r="U1626" t="s">
        <v>528</v>
      </c>
      <c r="V1626" s="6" t="s">
        <v>684</v>
      </c>
      <c r="X1626" t="s">
        <v>825</v>
      </c>
      <c r="Y1626" s="6" t="s">
        <v>826</v>
      </c>
    </row>
    <row r="1627" spans="2:25" x14ac:dyDescent="0.3">
      <c r="B1627" s="5" t="s">
        <v>70</v>
      </c>
      <c r="C1627" s="5" t="str">
        <f>VLOOKUP(B1627,[1]물질정보!B:C,2,0)</f>
        <v>10095-14-4</v>
      </c>
      <c r="D1627" t="str">
        <f>VLOOKUP(B1627,[1]물질정보!B:D,3,0)</f>
        <v>6-hydroxybutyl acrylate</v>
      </c>
      <c r="E1627" t="str">
        <f>VLOOKUP(B1627,[1]물질정보!B:E,4,0)</f>
        <v>C9H16O3</v>
      </c>
      <c r="F1627" t="str">
        <f>VLOOKUP(B1627,[1]물질정보!B:F,5,0)</f>
        <v>172.22 g/mol</v>
      </c>
      <c r="G1627" s="5" t="str">
        <f>VLOOKUP(B1627,[1]물질정보!B:G,6,0)</f>
        <v>C=CC(=O)OCCCCCCO</v>
      </c>
      <c r="I1627" t="s">
        <v>529</v>
      </c>
      <c r="J1627" s="9" t="s">
        <v>530</v>
      </c>
      <c r="K1627">
        <v>40.46</v>
      </c>
      <c r="L1627" t="s">
        <v>39</v>
      </c>
      <c r="M1627" t="s">
        <v>532</v>
      </c>
      <c r="P1627">
        <v>48</v>
      </c>
      <c r="Q1627" t="s">
        <v>533</v>
      </c>
      <c r="R1627" t="s">
        <v>355</v>
      </c>
      <c r="U1627" t="s">
        <v>523</v>
      </c>
      <c r="V1627" s="6" t="s">
        <v>684</v>
      </c>
      <c r="W1627" t="s">
        <v>532</v>
      </c>
      <c r="X1627" t="s">
        <v>822</v>
      </c>
      <c r="Y1627" s="6" t="s">
        <v>530</v>
      </c>
    </row>
    <row r="1628" spans="2:25" x14ac:dyDescent="0.3">
      <c r="B1628" s="5" t="s">
        <v>70</v>
      </c>
      <c r="C1628" s="5" t="str">
        <f>VLOOKUP(B1628,[1]물질정보!B:C,2,0)</f>
        <v>10095-14-4</v>
      </c>
      <c r="D1628" t="str">
        <f>VLOOKUP(B1628,[1]물질정보!B:D,3,0)</f>
        <v>6-hydroxybutyl acrylate</v>
      </c>
      <c r="E1628" t="str">
        <f>VLOOKUP(B1628,[1]물질정보!B:E,4,0)</f>
        <v>C9H16O3</v>
      </c>
      <c r="F1628" t="str">
        <f>VLOOKUP(B1628,[1]물질정보!B:F,5,0)</f>
        <v>172.22 g/mol</v>
      </c>
      <c r="G1628" s="5" t="str">
        <f>VLOOKUP(B1628,[1]물질정보!B:G,6,0)</f>
        <v>C=CC(=O)OCCCCCCO</v>
      </c>
      <c r="I1628" t="s">
        <v>529</v>
      </c>
      <c r="J1628" s="9" t="s">
        <v>530</v>
      </c>
      <c r="K1628">
        <v>54.53</v>
      </c>
      <c r="L1628" t="s">
        <v>39</v>
      </c>
      <c r="M1628" t="s">
        <v>532</v>
      </c>
      <c r="P1628">
        <v>48</v>
      </c>
      <c r="Q1628" t="s">
        <v>533</v>
      </c>
      <c r="R1628" t="s">
        <v>355</v>
      </c>
      <c r="U1628" t="s">
        <v>525</v>
      </c>
      <c r="V1628" s="6" t="s">
        <v>684</v>
      </c>
      <c r="W1628" t="s">
        <v>532</v>
      </c>
      <c r="X1628" t="s">
        <v>822</v>
      </c>
      <c r="Y1628" s="6" t="s">
        <v>530</v>
      </c>
    </row>
    <row r="1629" spans="2:25" x14ac:dyDescent="0.3">
      <c r="B1629" s="5" t="s">
        <v>70</v>
      </c>
      <c r="C1629" s="5" t="str">
        <f>VLOOKUP(B1629,[1]물질정보!B:C,2,0)</f>
        <v>10095-14-4</v>
      </c>
      <c r="D1629" t="str">
        <f>VLOOKUP(B1629,[1]물질정보!B:D,3,0)</f>
        <v>6-hydroxybutyl acrylate</v>
      </c>
      <c r="E1629" t="str">
        <f>VLOOKUP(B1629,[1]물질정보!B:E,4,0)</f>
        <v>C9H16O3</v>
      </c>
      <c r="F1629" t="str">
        <f>VLOOKUP(B1629,[1]물질정보!B:F,5,0)</f>
        <v>172.22 g/mol</v>
      </c>
      <c r="G1629" s="5" t="str">
        <f>VLOOKUP(B1629,[1]물질정보!B:G,6,0)</f>
        <v>C=CC(=O)OCCCCCCO</v>
      </c>
      <c r="I1629" t="s">
        <v>529</v>
      </c>
      <c r="J1629" s="9" t="s">
        <v>530</v>
      </c>
      <c r="K1629">
        <v>30.49</v>
      </c>
      <c r="L1629" t="s">
        <v>39</v>
      </c>
      <c r="M1629" t="s">
        <v>532</v>
      </c>
      <c r="P1629">
        <v>48</v>
      </c>
      <c r="Q1629" t="s">
        <v>533</v>
      </c>
      <c r="R1629" t="s">
        <v>355</v>
      </c>
      <c r="U1629" t="s">
        <v>527</v>
      </c>
      <c r="V1629" s="6" t="s">
        <v>684</v>
      </c>
      <c r="W1629" t="s">
        <v>532</v>
      </c>
      <c r="X1629" t="s">
        <v>822</v>
      </c>
      <c r="Y1629" s="6" t="s">
        <v>530</v>
      </c>
    </row>
    <row r="1630" spans="2:25" x14ac:dyDescent="0.3">
      <c r="B1630" s="5" t="s">
        <v>70</v>
      </c>
      <c r="C1630" s="5" t="str">
        <f>VLOOKUP(B1630,[1]물질정보!B:C,2,0)</f>
        <v>10095-14-4</v>
      </c>
      <c r="D1630" t="str">
        <f>VLOOKUP(B1630,[1]물질정보!B:D,3,0)</f>
        <v>6-hydroxybutyl acrylate</v>
      </c>
      <c r="E1630" t="str">
        <f>VLOOKUP(B1630,[1]물질정보!B:E,4,0)</f>
        <v>C9H16O3</v>
      </c>
      <c r="F1630" t="str">
        <f>VLOOKUP(B1630,[1]물질정보!B:F,5,0)</f>
        <v>172.22 g/mol</v>
      </c>
      <c r="G1630" s="5" t="str">
        <f>VLOOKUP(B1630,[1]물질정보!B:G,6,0)</f>
        <v>C=CC(=O)OCCCCCCO</v>
      </c>
      <c r="I1630" t="s">
        <v>529</v>
      </c>
      <c r="J1630" s="9" t="s">
        <v>530</v>
      </c>
      <c r="K1630">
        <v>39.840000000000003</v>
      </c>
      <c r="L1630" t="s">
        <v>39</v>
      </c>
      <c r="M1630" t="s">
        <v>532</v>
      </c>
      <c r="P1630">
        <v>48</v>
      </c>
      <c r="Q1630" t="s">
        <v>533</v>
      </c>
      <c r="R1630" t="s">
        <v>355</v>
      </c>
      <c r="U1630" t="s">
        <v>528</v>
      </c>
      <c r="V1630" s="6" t="s">
        <v>684</v>
      </c>
      <c r="W1630" t="s">
        <v>532</v>
      </c>
      <c r="X1630" t="s">
        <v>822</v>
      </c>
      <c r="Y1630" s="6" t="s">
        <v>530</v>
      </c>
    </row>
    <row r="1631" spans="2:25" x14ac:dyDescent="0.3">
      <c r="B1631" s="5" t="s">
        <v>70</v>
      </c>
      <c r="C1631" s="5" t="str">
        <f>VLOOKUP(B1631,[1]물질정보!B:C,2,0)</f>
        <v>10095-14-4</v>
      </c>
      <c r="D1631" t="str">
        <f>VLOOKUP(B1631,[1]물질정보!B:D,3,0)</f>
        <v>6-hydroxybutyl acrylate</v>
      </c>
      <c r="E1631" t="str">
        <f>VLOOKUP(B1631,[1]물질정보!B:E,4,0)</f>
        <v>C9H16O3</v>
      </c>
      <c r="F1631" t="str">
        <f>VLOOKUP(B1631,[1]물질정보!B:F,5,0)</f>
        <v>172.22 g/mol</v>
      </c>
      <c r="G1631" s="5" t="str">
        <f>VLOOKUP(B1631,[1]물질정보!B:G,6,0)</f>
        <v>C=CC(=O)OCCCCCCO</v>
      </c>
      <c r="I1631" t="s">
        <v>534</v>
      </c>
      <c r="J1631" t="s">
        <v>535</v>
      </c>
      <c r="K1631">
        <v>4.32</v>
      </c>
      <c r="L1631" t="s">
        <v>39</v>
      </c>
      <c r="M1631" t="s">
        <v>536</v>
      </c>
      <c r="P1631">
        <v>96</v>
      </c>
      <c r="Q1631" t="s">
        <v>533</v>
      </c>
      <c r="R1631" t="s">
        <v>355</v>
      </c>
      <c r="U1631" t="s">
        <v>523</v>
      </c>
      <c r="V1631" s="6" t="s">
        <v>684</v>
      </c>
      <c r="W1631" t="s">
        <v>536</v>
      </c>
      <c r="X1631" t="s">
        <v>823</v>
      </c>
      <c r="Y1631" s="6" t="s">
        <v>49</v>
      </c>
    </row>
    <row r="1632" spans="2:25" x14ac:dyDescent="0.3">
      <c r="B1632" s="5" t="s">
        <v>70</v>
      </c>
      <c r="C1632" s="5" t="str">
        <f>VLOOKUP(B1632,[1]물질정보!B:C,2,0)</f>
        <v>10095-14-4</v>
      </c>
      <c r="D1632" t="str">
        <f>VLOOKUP(B1632,[1]물질정보!B:D,3,0)</f>
        <v>6-hydroxybutyl acrylate</v>
      </c>
      <c r="E1632" t="str">
        <f>VLOOKUP(B1632,[1]물질정보!B:E,4,0)</f>
        <v>C9H16O3</v>
      </c>
      <c r="F1632" t="str">
        <f>VLOOKUP(B1632,[1]물질정보!B:F,5,0)</f>
        <v>172.22 g/mol</v>
      </c>
      <c r="G1632" s="5" t="str">
        <f>VLOOKUP(B1632,[1]물질정보!B:G,6,0)</f>
        <v>C=CC(=O)OCCCCCCO</v>
      </c>
      <c r="I1632" t="s">
        <v>534</v>
      </c>
      <c r="J1632" t="s">
        <v>535</v>
      </c>
      <c r="K1632">
        <v>7.91</v>
      </c>
      <c r="L1632" t="s">
        <v>39</v>
      </c>
      <c r="M1632" t="s">
        <v>536</v>
      </c>
      <c r="P1632">
        <v>96</v>
      </c>
      <c r="Q1632" t="s">
        <v>533</v>
      </c>
      <c r="R1632" t="s">
        <v>355</v>
      </c>
      <c r="U1632" t="s">
        <v>525</v>
      </c>
      <c r="V1632" s="6" t="s">
        <v>684</v>
      </c>
      <c r="W1632" t="s">
        <v>536</v>
      </c>
      <c r="X1632" t="s">
        <v>823</v>
      </c>
      <c r="Y1632" s="6" t="s">
        <v>49</v>
      </c>
    </row>
    <row r="1633" spans="2:25" x14ac:dyDescent="0.3">
      <c r="B1633" s="5" t="s">
        <v>70</v>
      </c>
      <c r="C1633" s="5" t="str">
        <f>VLOOKUP(B1633,[1]물질정보!B:C,2,0)</f>
        <v>10095-14-4</v>
      </c>
      <c r="D1633" t="str">
        <f>VLOOKUP(B1633,[1]물질정보!B:D,3,0)</f>
        <v>6-hydroxybutyl acrylate</v>
      </c>
      <c r="E1633" t="str">
        <f>VLOOKUP(B1633,[1]물질정보!B:E,4,0)</f>
        <v>C9H16O3</v>
      </c>
      <c r="F1633" t="str">
        <f>VLOOKUP(B1633,[1]물질정보!B:F,5,0)</f>
        <v>172.22 g/mol</v>
      </c>
      <c r="G1633" s="5" t="str">
        <f>VLOOKUP(B1633,[1]물질정보!B:G,6,0)</f>
        <v>C=CC(=O)OCCCCCCO</v>
      </c>
      <c r="I1633" t="s">
        <v>534</v>
      </c>
      <c r="J1633" t="s">
        <v>535</v>
      </c>
      <c r="K1633">
        <v>1.81</v>
      </c>
      <c r="L1633" t="s">
        <v>39</v>
      </c>
      <c r="M1633" t="s">
        <v>536</v>
      </c>
      <c r="P1633">
        <v>96</v>
      </c>
      <c r="Q1633" t="s">
        <v>533</v>
      </c>
      <c r="R1633" t="s">
        <v>355</v>
      </c>
      <c r="U1633" t="s">
        <v>527</v>
      </c>
      <c r="V1633" s="6" t="s">
        <v>684</v>
      </c>
      <c r="W1633" t="s">
        <v>536</v>
      </c>
      <c r="X1633" t="s">
        <v>823</v>
      </c>
      <c r="Y1633" s="6" t="s">
        <v>49</v>
      </c>
    </row>
    <row r="1634" spans="2:25" x14ac:dyDescent="0.3">
      <c r="B1634" s="5" t="s">
        <v>70</v>
      </c>
      <c r="C1634" s="5" t="str">
        <f>VLOOKUP(B1634,[1]물질정보!B:C,2,0)</f>
        <v>10095-14-4</v>
      </c>
      <c r="D1634" t="str">
        <f>VLOOKUP(B1634,[1]물질정보!B:D,3,0)</f>
        <v>6-hydroxybutyl acrylate</v>
      </c>
      <c r="E1634" t="str">
        <f>VLOOKUP(B1634,[1]물질정보!B:E,4,0)</f>
        <v>C9H16O3</v>
      </c>
      <c r="F1634" t="str">
        <f>VLOOKUP(B1634,[1]물질정보!B:F,5,0)</f>
        <v>172.22 g/mol</v>
      </c>
      <c r="G1634" s="5" t="str">
        <f>VLOOKUP(B1634,[1]물질정보!B:G,6,0)</f>
        <v>C=CC(=O)OCCCCCCO</v>
      </c>
      <c r="I1634" t="s">
        <v>534</v>
      </c>
      <c r="J1634" t="s">
        <v>535</v>
      </c>
      <c r="K1634">
        <v>5.63</v>
      </c>
      <c r="L1634" t="s">
        <v>39</v>
      </c>
      <c r="M1634" t="s">
        <v>536</v>
      </c>
      <c r="P1634">
        <v>96</v>
      </c>
      <c r="Q1634" t="s">
        <v>533</v>
      </c>
      <c r="R1634" t="s">
        <v>355</v>
      </c>
      <c r="U1634" t="s">
        <v>528</v>
      </c>
      <c r="V1634" s="6" t="s">
        <v>684</v>
      </c>
      <c r="W1634" t="s">
        <v>536</v>
      </c>
      <c r="X1634" t="s">
        <v>823</v>
      </c>
      <c r="Y1634" s="6" t="s">
        <v>49</v>
      </c>
    </row>
    <row r="1635" spans="2:25" x14ac:dyDescent="0.3">
      <c r="B1635" s="5" t="s">
        <v>70</v>
      </c>
      <c r="C1635" s="5" t="str">
        <f>VLOOKUP(B1635,[1]물질정보!B:C,2,0)</f>
        <v>10095-14-4</v>
      </c>
      <c r="D1635" t="str">
        <f>VLOOKUP(B1635,[1]물질정보!B:D,3,0)</f>
        <v>6-hydroxybutyl acrylate</v>
      </c>
      <c r="E1635" t="str">
        <f>VLOOKUP(B1635,[1]물질정보!B:E,4,0)</f>
        <v>C9H16O3</v>
      </c>
      <c r="F1635" t="str">
        <f>VLOOKUP(B1635,[1]물질정보!B:F,5,0)</f>
        <v>172.22 g/mol</v>
      </c>
      <c r="G1635" s="5" t="str">
        <f>VLOOKUP(B1635,[1]물질정보!B:G,6,0)</f>
        <v>C=CC(=O)OCCCCCCO</v>
      </c>
      <c r="I1635" t="s">
        <v>537</v>
      </c>
      <c r="J1635" t="s">
        <v>535</v>
      </c>
      <c r="K1635">
        <v>16.63</v>
      </c>
      <c r="L1635" t="s">
        <v>39</v>
      </c>
      <c r="M1635" t="s">
        <v>47</v>
      </c>
      <c r="P1635">
        <v>48</v>
      </c>
      <c r="Q1635" t="s">
        <v>533</v>
      </c>
      <c r="R1635" t="s">
        <v>355</v>
      </c>
      <c r="U1635" t="s">
        <v>523</v>
      </c>
      <c r="V1635" s="6" t="s">
        <v>684</v>
      </c>
      <c r="W1635" t="s">
        <v>47</v>
      </c>
      <c r="X1635" t="s">
        <v>822</v>
      </c>
      <c r="Y1635" s="6" t="s">
        <v>49</v>
      </c>
    </row>
    <row r="1636" spans="2:25" x14ac:dyDescent="0.3">
      <c r="B1636" s="5" t="s">
        <v>70</v>
      </c>
      <c r="C1636" s="5" t="str">
        <f>VLOOKUP(B1636,[1]물질정보!B:C,2,0)</f>
        <v>10095-14-4</v>
      </c>
      <c r="D1636" t="str">
        <f>VLOOKUP(B1636,[1]물질정보!B:D,3,0)</f>
        <v>6-hydroxybutyl acrylate</v>
      </c>
      <c r="E1636" t="str">
        <f>VLOOKUP(B1636,[1]물질정보!B:E,4,0)</f>
        <v>C9H16O3</v>
      </c>
      <c r="F1636" t="str">
        <f>VLOOKUP(B1636,[1]물질정보!B:F,5,0)</f>
        <v>172.22 g/mol</v>
      </c>
      <c r="G1636" s="5" t="str">
        <f>VLOOKUP(B1636,[1]물질정보!B:G,6,0)</f>
        <v>C=CC(=O)OCCCCCCO</v>
      </c>
      <c r="I1636" t="s">
        <v>537</v>
      </c>
      <c r="J1636" t="s">
        <v>535</v>
      </c>
      <c r="K1636">
        <v>19.64</v>
      </c>
      <c r="L1636" t="s">
        <v>39</v>
      </c>
      <c r="M1636" t="s">
        <v>47</v>
      </c>
      <c r="P1636">
        <v>48</v>
      </c>
      <c r="Q1636" t="s">
        <v>533</v>
      </c>
      <c r="R1636" t="s">
        <v>355</v>
      </c>
      <c r="U1636" t="s">
        <v>525</v>
      </c>
      <c r="V1636" s="6" t="s">
        <v>684</v>
      </c>
      <c r="W1636" t="s">
        <v>47</v>
      </c>
      <c r="X1636" t="s">
        <v>822</v>
      </c>
      <c r="Y1636" s="6" t="s">
        <v>49</v>
      </c>
    </row>
    <row r="1637" spans="2:25" x14ac:dyDescent="0.3">
      <c r="B1637" s="5" t="s">
        <v>70</v>
      </c>
      <c r="C1637" s="5" t="str">
        <f>VLOOKUP(B1637,[1]물질정보!B:C,2,0)</f>
        <v>10095-14-4</v>
      </c>
      <c r="D1637" t="str">
        <f>VLOOKUP(B1637,[1]물질정보!B:D,3,0)</f>
        <v>6-hydroxybutyl acrylate</v>
      </c>
      <c r="E1637" t="str">
        <f>VLOOKUP(B1637,[1]물질정보!B:E,4,0)</f>
        <v>C9H16O3</v>
      </c>
      <c r="F1637" t="str">
        <f>VLOOKUP(B1637,[1]물질정보!B:F,5,0)</f>
        <v>172.22 g/mol</v>
      </c>
      <c r="G1637" s="5" t="str">
        <f>VLOOKUP(B1637,[1]물질정보!B:G,6,0)</f>
        <v>C=CC(=O)OCCCCCCO</v>
      </c>
      <c r="I1637" t="s">
        <v>537</v>
      </c>
      <c r="J1637" t="s">
        <v>535</v>
      </c>
      <c r="K1637">
        <v>26.96</v>
      </c>
      <c r="L1637" t="s">
        <v>39</v>
      </c>
      <c r="M1637" t="s">
        <v>47</v>
      </c>
      <c r="P1637">
        <v>48</v>
      </c>
      <c r="Q1637" t="s">
        <v>533</v>
      </c>
      <c r="R1637" t="s">
        <v>355</v>
      </c>
      <c r="U1637" t="s">
        <v>527</v>
      </c>
      <c r="V1637" s="6" t="s">
        <v>684</v>
      </c>
      <c r="W1637" t="s">
        <v>47</v>
      </c>
      <c r="X1637" t="s">
        <v>822</v>
      </c>
      <c r="Y1637" s="6" t="s">
        <v>49</v>
      </c>
    </row>
    <row r="1638" spans="2:25" x14ac:dyDescent="0.3">
      <c r="B1638" s="5" t="s">
        <v>70</v>
      </c>
      <c r="C1638" s="5" t="str">
        <f>VLOOKUP(B1638,[1]물질정보!B:C,2,0)</f>
        <v>10095-14-4</v>
      </c>
      <c r="D1638" t="str">
        <f>VLOOKUP(B1638,[1]물질정보!B:D,3,0)</f>
        <v>6-hydroxybutyl acrylate</v>
      </c>
      <c r="E1638" t="str">
        <f>VLOOKUP(B1638,[1]물질정보!B:E,4,0)</f>
        <v>C9H16O3</v>
      </c>
      <c r="F1638" t="str">
        <f>VLOOKUP(B1638,[1]물질정보!B:F,5,0)</f>
        <v>172.22 g/mol</v>
      </c>
      <c r="G1638" s="5" t="str">
        <f>VLOOKUP(B1638,[1]물질정보!B:G,6,0)</f>
        <v>C=CC(=O)OCCCCCCO</v>
      </c>
      <c r="I1638" t="s">
        <v>537</v>
      </c>
      <c r="J1638" t="s">
        <v>535</v>
      </c>
      <c r="K1638">
        <v>8.68</v>
      </c>
      <c r="L1638" t="s">
        <v>39</v>
      </c>
      <c r="M1638" t="s">
        <v>47</v>
      </c>
      <c r="P1638">
        <v>48</v>
      </c>
      <c r="Q1638" t="s">
        <v>533</v>
      </c>
      <c r="R1638" t="s">
        <v>355</v>
      </c>
      <c r="U1638" t="s">
        <v>528</v>
      </c>
      <c r="V1638" s="6" t="s">
        <v>684</v>
      </c>
      <c r="W1638" t="s">
        <v>47</v>
      </c>
      <c r="X1638" t="s">
        <v>822</v>
      </c>
      <c r="Y1638" s="6" t="s">
        <v>49</v>
      </c>
    </row>
    <row r="1639" spans="2:25" x14ac:dyDescent="0.3">
      <c r="B1639" s="5" t="s">
        <v>70</v>
      </c>
      <c r="C1639" s="5" t="str">
        <f>VLOOKUP(B1639,[1]물질정보!B:C,2,0)</f>
        <v>10095-14-4</v>
      </c>
      <c r="D1639" t="str">
        <f>VLOOKUP(B1639,[1]물질정보!B:D,3,0)</f>
        <v>6-hydroxybutyl acrylate</v>
      </c>
      <c r="E1639" t="str">
        <f>VLOOKUP(B1639,[1]물질정보!B:E,4,0)</f>
        <v>C9H16O3</v>
      </c>
      <c r="F1639" t="str">
        <f>VLOOKUP(B1639,[1]물질정보!B:F,5,0)</f>
        <v>172.22 g/mol</v>
      </c>
      <c r="G1639" s="5" t="str">
        <f>VLOOKUP(B1639,[1]물질정보!B:G,6,0)</f>
        <v>C=CC(=O)OCCCCCCO</v>
      </c>
      <c r="I1639" t="s">
        <v>494</v>
      </c>
      <c r="J1639" t="s">
        <v>538</v>
      </c>
      <c r="K1639">
        <v>2729.54</v>
      </c>
      <c r="L1639" t="s">
        <v>161</v>
      </c>
      <c r="M1639" t="s">
        <v>495</v>
      </c>
      <c r="R1639" t="s">
        <v>355</v>
      </c>
      <c r="U1639" t="s">
        <v>523</v>
      </c>
      <c r="V1639" s="6" t="s">
        <v>684</v>
      </c>
      <c r="W1639" t="s">
        <v>86</v>
      </c>
      <c r="X1639" t="s">
        <v>825</v>
      </c>
      <c r="Y1639" s="6" t="s">
        <v>81</v>
      </c>
    </row>
    <row r="1640" spans="2:25" x14ac:dyDescent="0.3">
      <c r="B1640" s="5" t="s">
        <v>70</v>
      </c>
      <c r="C1640" s="5" t="str">
        <f>VLOOKUP(B1640,[1]물질정보!B:C,2,0)</f>
        <v>10095-14-4</v>
      </c>
      <c r="D1640" t="str">
        <f>VLOOKUP(B1640,[1]물질정보!B:D,3,0)</f>
        <v>6-hydroxybutyl acrylate</v>
      </c>
      <c r="E1640" t="str">
        <f>VLOOKUP(B1640,[1]물질정보!B:E,4,0)</f>
        <v>C9H16O3</v>
      </c>
      <c r="F1640" t="str">
        <f>VLOOKUP(B1640,[1]물질정보!B:F,5,0)</f>
        <v>172.22 g/mol</v>
      </c>
      <c r="G1640" s="5" t="str">
        <f>VLOOKUP(B1640,[1]물질정보!B:G,6,0)</f>
        <v>C=CC(=O)OCCCCCCO</v>
      </c>
      <c r="I1640" t="s">
        <v>494</v>
      </c>
      <c r="J1640" t="s">
        <v>538</v>
      </c>
      <c r="K1640">
        <v>2906.38</v>
      </c>
      <c r="L1640" t="s">
        <v>161</v>
      </c>
      <c r="M1640" t="s">
        <v>495</v>
      </c>
      <c r="R1640" t="s">
        <v>355</v>
      </c>
      <c r="U1640" t="s">
        <v>525</v>
      </c>
      <c r="V1640" s="6" t="s">
        <v>684</v>
      </c>
      <c r="W1640" t="s">
        <v>86</v>
      </c>
      <c r="X1640" t="s">
        <v>825</v>
      </c>
      <c r="Y1640" s="6" t="s">
        <v>81</v>
      </c>
    </row>
    <row r="1641" spans="2:25" x14ac:dyDescent="0.3">
      <c r="B1641" s="5" t="s">
        <v>70</v>
      </c>
      <c r="C1641" s="5" t="str">
        <f>VLOOKUP(B1641,[1]물질정보!B:C,2,0)</f>
        <v>10095-14-4</v>
      </c>
      <c r="D1641" t="str">
        <f>VLOOKUP(B1641,[1]물질정보!B:D,3,0)</f>
        <v>6-hydroxybutyl acrylate</v>
      </c>
      <c r="E1641" t="str">
        <f>VLOOKUP(B1641,[1]물질정보!B:E,4,0)</f>
        <v>C9H16O3</v>
      </c>
      <c r="F1641" t="str">
        <f>VLOOKUP(B1641,[1]물질정보!B:F,5,0)</f>
        <v>172.22 g/mol</v>
      </c>
      <c r="G1641" s="5" t="str">
        <f>VLOOKUP(B1641,[1]물질정보!B:G,6,0)</f>
        <v>C=CC(=O)OCCCCCCO</v>
      </c>
      <c r="I1641" t="s">
        <v>494</v>
      </c>
      <c r="J1641" t="s">
        <v>538</v>
      </c>
      <c r="K1641">
        <v>2258.62</v>
      </c>
      <c r="L1641" t="s">
        <v>161</v>
      </c>
      <c r="M1641" t="s">
        <v>495</v>
      </c>
      <c r="R1641" t="s">
        <v>355</v>
      </c>
      <c r="U1641" t="s">
        <v>527</v>
      </c>
      <c r="V1641" s="6" t="s">
        <v>684</v>
      </c>
      <c r="W1641" t="s">
        <v>86</v>
      </c>
      <c r="X1641" t="s">
        <v>825</v>
      </c>
      <c r="Y1641" s="6" t="s">
        <v>81</v>
      </c>
    </row>
    <row r="1642" spans="2:25" x14ac:dyDescent="0.3">
      <c r="B1642" s="5" t="s">
        <v>70</v>
      </c>
      <c r="C1642" s="5" t="str">
        <f>VLOOKUP(B1642,[1]물질정보!B:C,2,0)</f>
        <v>10095-14-4</v>
      </c>
      <c r="D1642" t="str">
        <f>VLOOKUP(B1642,[1]물질정보!B:D,3,0)</f>
        <v>6-hydroxybutyl acrylate</v>
      </c>
      <c r="E1642" t="str">
        <f>VLOOKUP(B1642,[1]물질정보!B:E,4,0)</f>
        <v>C9H16O3</v>
      </c>
      <c r="F1642" t="str">
        <f>VLOOKUP(B1642,[1]물질정보!B:F,5,0)</f>
        <v>172.22 g/mol</v>
      </c>
      <c r="G1642" s="5" t="str">
        <f>VLOOKUP(B1642,[1]물질정보!B:G,6,0)</f>
        <v>C=CC(=O)OCCCCCCO</v>
      </c>
      <c r="I1642" t="s">
        <v>494</v>
      </c>
      <c r="J1642" t="s">
        <v>538</v>
      </c>
      <c r="K1642">
        <v>3097.94</v>
      </c>
      <c r="L1642" t="s">
        <v>161</v>
      </c>
      <c r="M1642" t="s">
        <v>495</v>
      </c>
      <c r="R1642" t="s">
        <v>355</v>
      </c>
      <c r="U1642" t="s">
        <v>528</v>
      </c>
      <c r="V1642" s="6" t="s">
        <v>684</v>
      </c>
      <c r="W1642" t="s">
        <v>86</v>
      </c>
      <c r="X1642" t="s">
        <v>825</v>
      </c>
      <c r="Y1642" s="6" t="s">
        <v>81</v>
      </c>
    </row>
    <row r="1643" spans="2:25" x14ac:dyDescent="0.3">
      <c r="B1643" s="5" t="s">
        <v>70</v>
      </c>
      <c r="C1643" s="5" t="str">
        <f>VLOOKUP(B1643,[1]물질정보!B:C,2,0)</f>
        <v>10095-14-4</v>
      </c>
      <c r="D1643" t="str">
        <f>VLOOKUP(B1643,[1]물질정보!B:D,3,0)</f>
        <v>6-hydroxybutyl acrylate</v>
      </c>
      <c r="E1643" t="str">
        <f>VLOOKUP(B1643,[1]물질정보!B:E,4,0)</f>
        <v>C9H16O3</v>
      </c>
      <c r="F1643" t="str">
        <f>VLOOKUP(B1643,[1]물질정보!B:F,5,0)</f>
        <v>172.22 g/mol</v>
      </c>
      <c r="G1643" s="5" t="str">
        <f>VLOOKUP(B1643,[1]물질정보!B:G,6,0)</f>
        <v>C=CC(=O)OCCCCCCO</v>
      </c>
      <c r="I1643" t="s">
        <v>540</v>
      </c>
      <c r="J1643" t="s">
        <v>541</v>
      </c>
      <c r="K1643" t="s">
        <v>606</v>
      </c>
      <c r="M1643" t="s">
        <v>543</v>
      </c>
      <c r="N1643" t="s">
        <v>544</v>
      </c>
      <c r="R1643" t="s">
        <v>355</v>
      </c>
      <c r="U1643" t="s">
        <v>523</v>
      </c>
      <c r="V1643" s="6" t="s">
        <v>684</v>
      </c>
      <c r="W1643" t="s">
        <v>83</v>
      </c>
      <c r="X1643" t="s">
        <v>825</v>
      </c>
      <c r="Y1643" s="6" t="s">
        <v>827</v>
      </c>
    </row>
    <row r="1644" spans="2:25" x14ac:dyDescent="0.3">
      <c r="B1644" s="5" t="s">
        <v>70</v>
      </c>
      <c r="C1644" s="5" t="str">
        <f>VLOOKUP(B1644,[1]물질정보!B:C,2,0)</f>
        <v>10095-14-4</v>
      </c>
      <c r="D1644" t="str">
        <f>VLOOKUP(B1644,[1]물질정보!B:D,3,0)</f>
        <v>6-hydroxybutyl acrylate</v>
      </c>
      <c r="E1644" t="str">
        <f>VLOOKUP(B1644,[1]물질정보!B:E,4,0)</f>
        <v>C9H16O3</v>
      </c>
      <c r="F1644" t="str">
        <f>VLOOKUP(B1644,[1]물질정보!B:F,5,0)</f>
        <v>172.22 g/mol</v>
      </c>
      <c r="G1644" s="5" t="str">
        <f>VLOOKUP(B1644,[1]물질정보!B:G,6,0)</f>
        <v>C=CC(=O)OCCCCCCO</v>
      </c>
      <c r="I1644" t="s">
        <v>540</v>
      </c>
      <c r="J1644" t="s">
        <v>541</v>
      </c>
      <c r="K1644" t="s">
        <v>607</v>
      </c>
      <c r="M1644" t="s">
        <v>543</v>
      </c>
      <c r="N1644" t="s">
        <v>544</v>
      </c>
      <c r="R1644" t="s">
        <v>355</v>
      </c>
      <c r="U1644" t="s">
        <v>525</v>
      </c>
      <c r="V1644" s="6" t="s">
        <v>684</v>
      </c>
      <c r="W1644" t="s">
        <v>83</v>
      </c>
      <c r="X1644" t="s">
        <v>825</v>
      </c>
      <c r="Y1644" s="6" t="s">
        <v>827</v>
      </c>
    </row>
    <row r="1645" spans="2:25" x14ac:dyDescent="0.3">
      <c r="B1645" s="5" t="s">
        <v>70</v>
      </c>
      <c r="C1645" s="5" t="str">
        <f>VLOOKUP(B1645,[1]물질정보!B:C,2,0)</f>
        <v>10095-14-4</v>
      </c>
      <c r="D1645" t="str">
        <f>VLOOKUP(B1645,[1]물질정보!B:D,3,0)</f>
        <v>6-hydroxybutyl acrylate</v>
      </c>
      <c r="E1645" t="str">
        <f>VLOOKUP(B1645,[1]물질정보!B:E,4,0)</f>
        <v>C9H16O3</v>
      </c>
      <c r="F1645" t="str">
        <f>VLOOKUP(B1645,[1]물질정보!B:F,5,0)</f>
        <v>172.22 g/mol</v>
      </c>
      <c r="G1645" s="5" t="str">
        <f>VLOOKUP(B1645,[1]물질정보!B:G,6,0)</f>
        <v>C=CC(=O)OCCCCCCO</v>
      </c>
      <c r="I1645" t="s">
        <v>540</v>
      </c>
      <c r="J1645" t="s">
        <v>541</v>
      </c>
      <c r="K1645" t="s">
        <v>608</v>
      </c>
      <c r="M1645" t="s">
        <v>543</v>
      </c>
      <c r="N1645" t="s">
        <v>544</v>
      </c>
      <c r="R1645" t="s">
        <v>355</v>
      </c>
      <c r="U1645" t="s">
        <v>527</v>
      </c>
      <c r="V1645" s="6" t="s">
        <v>684</v>
      </c>
      <c r="W1645" t="s">
        <v>83</v>
      </c>
      <c r="X1645" t="s">
        <v>825</v>
      </c>
      <c r="Y1645" s="6" t="s">
        <v>827</v>
      </c>
    </row>
    <row r="1646" spans="2:25" x14ac:dyDescent="0.3">
      <c r="B1646" s="5" t="s">
        <v>70</v>
      </c>
      <c r="C1646" s="5" t="str">
        <f>VLOOKUP(B1646,[1]물질정보!B:C,2,0)</f>
        <v>10095-14-4</v>
      </c>
      <c r="D1646" t="str">
        <f>VLOOKUP(B1646,[1]물질정보!B:D,3,0)</f>
        <v>6-hydroxybutyl acrylate</v>
      </c>
      <c r="E1646" t="str">
        <f>VLOOKUP(B1646,[1]물질정보!B:E,4,0)</f>
        <v>C9H16O3</v>
      </c>
      <c r="F1646" t="str">
        <f>VLOOKUP(B1646,[1]물질정보!B:F,5,0)</f>
        <v>172.22 g/mol</v>
      </c>
      <c r="G1646" s="5" t="str">
        <f>VLOOKUP(B1646,[1]물질정보!B:G,6,0)</f>
        <v>C=CC(=O)OCCCCCCO</v>
      </c>
      <c r="I1646" t="s">
        <v>540</v>
      </c>
      <c r="J1646" t="s">
        <v>541</v>
      </c>
      <c r="K1646" t="s">
        <v>609</v>
      </c>
      <c r="M1646" t="s">
        <v>543</v>
      </c>
      <c r="N1646" t="s">
        <v>544</v>
      </c>
      <c r="R1646" t="s">
        <v>355</v>
      </c>
      <c r="U1646" t="s">
        <v>528</v>
      </c>
      <c r="V1646" s="6" t="s">
        <v>684</v>
      </c>
      <c r="W1646" t="s">
        <v>83</v>
      </c>
      <c r="X1646" t="s">
        <v>825</v>
      </c>
      <c r="Y1646" s="6" t="s">
        <v>827</v>
      </c>
    </row>
    <row r="1647" spans="2:25" x14ac:dyDescent="0.3">
      <c r="B1647" s="5" t="s">
        <v>70</v>
      </c>
      <c r="C1647" s="5" t="str">
        <f>VLOOKUP(B1647,[1]물질정보!B:C,2,0)</f>
        <v>10095-14-4</v>
      </c>
      <c r="D1647" t="str">
        <f>VLOOKUP(B1647,[1]물질정보!B:D,3,0)</f>
        <v>6-hydroxybutyl acrylate</v>
      </c>
      <c r="E1647" t="str">
        <f>VLOOKUP(B1647,[1]물질정보!B:E,4,0)</f>
        <v>C9H16O3</v>
      </c>
      <c r="F1647" t="str">
        <f>VLOOKUP(B1647,[1]물질정보!B:F,5,0)</f>
        <v>172.22 g/mol</v>
      </c>
      <c r="G1647" s="5" t="str">
        <f>VLOOKUP(B1647,[1]물질정보!B:G,6,0)</f>
        <v>C=CC(=O)OCCCCCCO</v>
      </c>
      <c r="I1647" t="s">
        <v>137</v>
      </c>
      <c r="J1647" t="s">
        <v>498</v>
      </c>
      <c r="K1647" t="s">
        <v>591</v>
      </c>
      <c r="R1647" t="s">
        <v>355</v>
      </c>
      <c r="U1647" t="s">
        <v>523</v>
      </c>
      <c r="V1647" s="6" t="s">
        <v>684</v>
      </c>
      <c r="X1647" t="s">
        <v>825</v>
      </c>
      <c r="Y1647" s="6" t="s">
        <v>89</v>
      </c>
    </row>
    <row r="1648" spans="2:25" x14ac:dyDescent="0.3">
      <c r="B1648" s="5" t="s">
        <v>70</v>
      </c>
      <c r="C1648" s="5" t="str">
        <f>VLOOKUP(B1648,[1]물질정보!B:C,2,0)</f>
        <v>10095-14-4</v>
      </c>
      <c r="D1648" t="str">
        <f>VLOOKUP(B1648,[1]물질정보!B:D,3,0)</f>
        <v>6-hydroxybutyl acrylate</v>
      </c>
      <c r="E1648" t="str">
        <f>VLOOKUP(B1648,[1]물질정보!B:E,4,0)</f>
        <v>C9H16O3</v>
      </c>
      <c r="F1648" t="str">
        <f>VLOOKUP(B1648,[1]물질정보!B:F,5,0)</f>
        <v>172.22 g/mol</v>
      </c>
      <c r="G1648" s="5" t="str">
        <f>VLOOKUP(B1648,[1]물질정보!B:G,6,0)</f>
        <v>C=CC(=O)OCCCCCCO</v>
      </c>
      <c r="I1648" t="s">
        <v>137</v>
      </c>
      <c r="J1648" t="s">
        <v>498</v>
      </c>
      <c r="K1648" t="s">
        <v>593</v>
      </c>
      <c r="R1648" t="s">
        <v>355</v>
      </c>
      <c r="U1648" t="s">
        <v>525</v>
      </c>
      <c r="V1648" s="6" t="s">
        <v>684</v>
      </c>
      <c r="X1648" t="s">
        <v>825</v>
      </c>
      <c r="Y1648" s="6" t="s">
        <v>89</v>
      </c>
    </row>
    <row r="1649" spans="2:25" x14ac:dyDescent="0.3">
      <c r="B1649" s="5" t="s">
        <v>70</v>
      </c>
      <c r="C1649" s="5" t="str">
        <f>VLOOKUP(B1649,[1]물질정보!B:C,2,0)</f>
        <v>10095-14-4</v>
      </c>
      <c r="D1649" t="str">
        <f>VLOOKUP(B1649,[1]물질정보!B:D,3,0)</f>
        <v>6-hydroxybutyl acrylate</v>
      </c>
      <c r="E1649" t="str">
        <f>VLOOKUP(B1649,[1]물질정보!B:E,4,0)</f>
        <v>C9H16O3</v>
      </c>
      <c r="F1649" t="str">
        <f>VLOOKUP(B1649,[1]물질정보!B:F,5,0)</f>
        <v>172.22 g/mol</v>
      </c>
      <c r="G1649" s="5" t="str">
        <f>VLOOKUP(B1649,[1]물질정보!B:G,6,0)</f>
        <v>C=CC(=O)OCCCCCCO</v>
      </c>
      <c r="I1649" t="s">
        <v>137</v>
      </c>
      <c r="J1649" t="s">
        <v>498</v>
      </c>
      <c r="K1649" t="s">
        <v>601</v>
      </c>
      <c r="R1649" t="s">
        <v>355</v>
      </c>
      <c r="U1649" t="s">
        <v>527</v>
      </c>
      <c r="V1649" s="6" t="s">
        <v>684</v>
      </c>
      <c r="X1649" t="s">
        <v>825</v>
      </c>
      <c r="Y1649" s="6" t="s">
        <v>89</v>
      </c>
    </row>
    <row r="1650" spans="2:25" x14ac:dyDescent="0.3">
      <c r="B1650" s="5" t="s">
        <v>70</v>
      </c>
      <c r="C1650" s="5" t="str">
        <f>VLOOKUP(B1650,[1]물질정보!B:C,2,0)</f>
        <v>10095-14-4</v>
      </c>
      <c r="D1650" t="str">
        <f>VLOOKUP(B1650,[1]물질정보!B:D,3,0)</f>
        <v>6-hydroxybutyl acrylate</v>
      </c>
      <c r="E1650" t="str">
        <f>VLOOKUP(B1650,[1]물질정보!B:E,4,0)</f>
        <v>C9H16O3</v>
      </c>
      <c r="F1650" t="str">
        <f>VLOOKUP(B1650,[1]물질정보!B:F,5,0)</f>
        <v>172.22 g/mol</v>
      </c>
      <c r="G1650" s="5" t="str">
        <f>VLOOKUP(B1650,[1]물질정보!B:G,6,0)</f>
        <v>C=CC(=O)OCCCCCCO</v>
      </c>
      <c r="I1650" t="s">
        <v>137</v>
      </c>
      <c r="J1650" t="s">
        <v>498</v>
      </c>
      <c r="K1650" t="s">
        <v>593</v>
      </c>
      <c r="R1650" t="s">
        <v>355</v>
      </c>
      <c r="U1650" t="s">
        <v>528</v>
      </c>
      <c r="V1650" s="6" t="s">
        <v>684</v>
      </c>
      <c r="X1650" t="s">
        <v>825</v>
      </c>
      <c r="Y1650" s="6" t="s">
        <v>89</v>
      </c>
    </row>
    <row r="1651" spans="2:25" x14ac:dyDescent="0.3">
      <c r="B1651" s="5" t="s">
        <v>78</v>
      </c>
      <c r="C1651" s="5" t="str">
        <f>VLOOKUP(B1651,[1]물질정보!B:C,2,0)</f>
        <v>-</v>
      </c>
      <c r="D1651" t="str">
        <f>VLOOKUP(B1651,[1]물질정보!B:D,3,0)</f>
        <v xml:space="preserve">9-(9H-Carbazol-9-yl)-7H-benzo[c]carbazole </v>
      </c>
      <c r="E1651" t="str">
        <f>VLOOKUP(B1651,[1]물질정보!B:E,4,0)</f>
        <v>C28H18N2</v>
      </c>
      <c r="F1651" t="str">
        <f>VLOOKUP(B1651,[1]물질정보!B:F,5,0)</f>
        <v>382.5 g/mol</v>
      </c>
      <c r="G1651" s="5" t="str">
        <f>VLOOKUP(B1651,[1]물질정보!B:G,6,0)</f>
        <v>C1=CC=C2C(=C1)C=CC3=C2C4=C(N3)C=C(C=C4)N5C6=CC=CC=C6C7=CC=CC=C75</v>
      </c>
      <c r="H1651" t="s">
        <v>690</v>
      </c>
      <c r="I1651" t="s">
        <v>27</v>
      </c>
      <c r="J1651" t="s">
        <v>28</v>
      </c>
      <c r="K1651">
        <v>2.9399999999999999E-2</v>
      </c>
      <c r="L1651" t="s">
        <v>39</v>
      </c>
      <c r="M1651" t="s">
        <v>691</v>
      </c>
      <c r="N1651" t="s">
        <v>29</v>
      </c>
      <c r="O1651" t="s">
        <v>29</v>
      </c>
      <c r="P1651">
        <v>72</v>
      </c>
      <c r="Q1651" t="s">
        <v>31</v>
      </c>
      <c r="R1651" t="s">
        <v>411</v>
      </c>
      <c r="S1651" t="s">
        <v>692</v>
      </c>
      <c r="T1651" t="s">
        <v>702</v>
      </c>
      <c r="U1651" t="s">
        <v>693</v>
      </c>
      <c r="V1651" s="6" t="s">
        <v>694</v>
      </c>
      <c r="W1651" t="s">
        <v>691</v>
      </c>
      <c r="X1651" t="s">
        <v>820</v>
      </c>
      <c r="Y1651" t="s">
        <v>28</v>
      </c>
    </row>
    <row r="1652" spans="2:25" x14ac:dyDescent="0.3">
      <c r="B1652" s="5" t="s">
        <v>359</v>
      </c>
      <c r="C1652" s="5" t="str">
        <f>VLOOKUP(B1652,[1]물질정보!B:C,2,0)</f>
        <v>205-25-4</v>
      </c>
      <c r="D1652" t="str">
        <f>VLOOKUP(B1652,[1]물질정보!B:D,3,0)</f>
        <v xml:space="preserve">7H-Benzo[c]carbazole </v>
      </c>
      <c r="E1652" t="str">
        <f>VLOOKUP(B1652,[1]물질정보!B:E,4,0)</f>
        <v>C16H11N</v>
      </c>
      <c r="F1652" t="str">
        <f>VLOOKUP(B1652,[1]물질정보!B:F,5,0)</f>
        <v>217.26 g/mol</v>
      </c>
      <c r="G1652" s="5" t="str">
        <f>VLOOKUP(B1652,[1]물질정보!B:G,6,0)</f>
        <v>C1=CC=C2C(=C1)C=CC3=C2C4=CC=CC=C4N3</v>
      </c>
      <c r="H1652" t="s">
        <v>690</v>
      </c>
      <c r="I1652" t="s">
        <v>27</v>
      </c>
      <c r="J1652" t="s">
        <v>28</v>
      </c>
      <c r="K1652">
        <v>0.32440000000000002</v>
      </c>
      <c r="L1652" t="s">
        <v>39</v>
      </c>
      <c r="M1652" t="s">
        <v>691</v>
      </c>
      <c r="N1652" t="s">
        <v>29</v>
      </c>
      <c r="O1652" t="s">
        <v>29</v>
      </c>
      <c r="P1652">
        <v>72</v>
      </c>
      <c r="Q1652" t="s">
        <v>31</v>
      </c>
      <c r="R1652" t="s">
        <v>411</v>
      </c>
      <c r="S1652" t="s">
        <v>692</v>
      </c>
      <c r="T1652" t="s">
        <v>703</v>
      </c>
      <c r="U1652" t="s">
        <v>693</v>
      </c>
      <c r="V1652" s="6" t="s">
        <v>694</v>
      </c>
      <c r="W1652" t="s">
        <v>691</v>
      </c>
      <c r="X1652" t="s">
        <v>820</v>
      </c>
      <c r="Y1652" t="s">
        <v>28</v>
      </c>
    </row>
    <row r="1653" spans="2:25" x14ac:dyDescent="0.3">
      <c r="B1653" s="5" t="s">
        <v>503</v>
      </c>
      <c r="C1653" s="5" t="str">
        <f>VLOOKUP(B1653,[1]물질정보!B:C,2,0)</f>
        <v>97-63-2</v>
      </c>
      <c r="D1653" t="str">
        <f>VLOOKUP(B1653,[1]물질정보!B:D,3,0)</f>
        <v>ethyl methacrylate</v>
      </c>
      <c r="E1653" t="str">
        <f>VLOOKUP(B1653,[1]물질정보!B:E,4,0)</f>
        <v>C6H10O2</v>
      </c>
      <c r="F1653" t="str">
        <f>VLOOKUP(B1653,[1]물질정보!B:F,5,0)</f>
        <v>114.14 g/mol</v>
      </c>
      <c r="G1653" s="5" t="str">
        <f>VLOOKUP(B1653,[1]물질정보!B:G,6,0)</f>
        <v>CCOC(=O)C(=C)C</v>
      </c>
      <c r="H1653" t="s">
        <v>690</v>
      </c>
      <c r="I1653" t="s">
        <v>27</v>
      </c>
      <c r="J1653" t="s">
        <v>28</v>
      </c>
      <c r="K1653">
        <v>130.53</v>
      </c>
      <c r="L1653" t="s">
        <v>39</v>
      </c>
      <c r="M1653" t="s">
        <v>691</v>
      </c>
      <c r="N1653" t="s">
        <v>29</v>
      </c>
      <c r="O1653" t="s">
        <v>29</v>
      </c>
      <c r="P1653">
        <v>72</v>
      </c>
      <c r="Q1653" t="s">
        <v>31</v>
      </c>
      <c r="R1653" t="s">
        <v>411</v>
      </c>
      <c r="S1653" t="s">
        <v>692</v>
      </c>
      <c r="T1653" t="s">
        <v>704</v>
      </c>
      <c r="U1653" t="s">
        <v>693</v>
      </c>
      <c r="V1653" s="6" t="s">
        <v>694</v>
      </c>
      <c r="W1653" t="s">
        <v>691</v>
      </c>
      <c r="X1653" t="s">
        <v>820</v>
      </c>
      <c r="Y1653" t="s">
        <v>28</v>
      </c>
    </row>
    <row r="1654" spans="2:25" x14ac:dyDescent="0.3">
      <c r="B1654" s="5" t="s">
        <v>69</v>
      </c>
      <c r="C1654" s="5" t="str">
        <f>VLOOKUP(B1654,[1]물질정보!B:C,2,0)</f>
        <v>868-77-9</v>
      </c>
      <c r="D1654" t="str">
        <f>VLOOKUP(B1654,[1]물질정보!B:D,3,0)</f>
        <v>2-hydroxyethyl methacrylate</v>
      </c>
      <c r="E1654" t="str">
        <f>VLOOKUP(B1654,[1]물질정보!B:E,4,0)</f>
        <v>C6H10O3</v>
      </c>
      <c r="F1654" t="str">
        <f>VLOOKUP(B1654,[1]물질정보!B:F,5,0)</f>
        <v>130.139 g/mol</v>
      </c>
      <c r="G1654" s="5" t="str">
        <f>VLOOKUP(B1654,[1]물질정보!B:G,6,0)</f>
        <v>CC(=C)C(=O)OCCO</v>
      </c>
      <c r="H1654" t="s">
        <v>690</v>
      </c>
      <c r="I1654" t="s">
        <v>27</v>
      </c>
      <c r="J1654" t="s">
        <v>28</v>
      </c>
      <c r="K1654">
        <v>152.85</v>
      </c>
      <c r="L1654" t="s">
        <v>39</v>
      </c>
      <c r="M1654" t="s">
        <v>691</v>
      </c>
      <c r="N1654" t="s">
        <v>29</v>
      </c>
      <c r="O1654" t="s">
        <v>29</v>
      </c>
      <c r="P1654">
        <v>72</v>
      </c>
      <c r="Q1654" t="s">
        <v>31</v>
      </c>
      <c r="R1654" t="s">
        <v>411</v>
      </c>
      <c r="S1654" t="s">
        <v>692</v>
      </c>
      <c r="T1654" t="s">
        <v>705</v>
      </c>
      <c r="U1654" t="s">
        <v>693</v>
      </c>
      <c r="V1654" s="6" t="s">
        <v>694</v>
      </c>
      <c r="W1654" t="s">
        <v>691</v>
      </c>
      <c r="X1654" t="s">
        <v>820</v>
      </c>
      <c r="Y1654" t="s">
        <v>28</v>
      </c>
    </row>
    <row r="1655" spans="2:25" x14ac:dyDescent="0.3">
      <c r="B1655" s="5" t="s">
        <v>25</v>
      </c>
      <c r="C1655" s="5" t="str">
        <f>VLOOKUP(B1655,[1]물질정보!B:C,2,0)</f>
        <v>97-88-1</v>
      </c>
      <c r="D1655" t="str">
        <f>VLOOKUP(B1655,[1]물질정보!B:D,3,0)</f>
        <v>butyl methacrylate</v>
      </c>
      <c r="E1655" t="str">
        <f>VLOOKUP(B1655,[1]물질정보!B:E,4,0)</f>
        <v>C8H14O2</v>
      </c>
      <c r="F1655" t="str">
        <f>VLOOKUP(B1655,[1]물질정보!B:F,5,0)</f>
        <v>142.2 g/mol</v>
      </c>
      <c r="G1655" s="5" t="str">
        <f>VLOOKUP(B1655,[1]물질정보!B:G,6,0)</f>
        <v>CCCCOC(=O)C(=C)C</v>
      </c>
      <c r="H1655" t="s">
        <v>690</v>
      </c>
      <c r="I1655" t="s">
        <v>27</v>
      </c>
      <c r="J1655" t="s">
        <v>28</v>
      </c>
      <c r="K1655">
        <v>115.02</v>
      </c>
      <c r="L1655" t="s">
        <v>39</v>
      </c>
      <c r="M1655" t="s">
        <v>691</v>
      </c>
      <c r="N1655" t="s">
        <v>29</v>
      </c>
      <c r="O1655" t="s">
        <v>29</v>
      </c>
      <c r="P1655">
        <v>72</v>
      </c>
      <c r="Q1655" t="s">
        <v>31</v>
      </c>
      <c r="R1655" t="s">
        <v>411</v>
      </c>
      <c r="S1655" t="s">
        <v>692</v>
      </c>
      <c r="T1655" t="s">
        <v>705</v>
      </c>
      <c r="U1655" t="s">
        <v>693</v>
      </c>
      <c r="V1655" s="6" t="s">
        <v>694</v>
      </c>
      <c r="W1655" t="s">
        <v>691</v>
      </c>
      <c r="X1655" t="s">
        <v>820</v>
      </c>
      <c r="Y1655" t="s">
        <v>28</v>
      </c>
    </row>
    <row r="1656" spans="2:25" x14ac:dyDescent="0.3">
      <c r="B1656" s="5" t="s">
        <v>68</v>
      </c>
      <c r="C1656" s="5" t="str">
        <f>VLOOKUP(B1656,[1]물질정보!B:C,2,0)</f>
        <v>997-46-6</v>
      </c>
      <c r="D1656" t="str">
        <f>VLOOKUP(B1656,[1]물질정보!B:D,3,0)</f>
        <v>4-hydroxybutyl methacrylate</v>
      </c>
      <c r="E1656" t="str">
        <f>VLOOKUP(B1656,[1]물질정보!B:E,4,0)</f>
        <v>C8H14O3</v>
      </c>
      <c r="F1656" t="str">
        <f>VLOOKUP(B1656,[1]물질정보!B:F,5,0)</f>
        <v>158.19 g/mol</v>
      </c>
      <c r="G1656" s="5" t="str">
        <f>VLOOKUP(B1656,[1]물질정보!B:G,6,0)</f>
        <v>CC(=C)C(=O)OCCCCO</v>
      </c>
      <c r="H1656" t="s">
        <v>690</v>
      </c>
      <c r="I1656" t="s">
        <v>27</v>
      </c>
      <c r="J1656" t="s">
        <v>28</v>
      </c>
      <c r="K1656">
        <v>135.08000000000001</v>
      </c>
      <c r="L1656" t="s">
        <v>39</v>
      </c>
      <c r="M1656" t="s">
        <v>691</v>
      </c>
      <c r="N1656" t="s">
        <v>29</v>
      </c>
      <c r="O1656" t="s">
        <v>29</v>
      </c>
      <c r="P1656">
        <v>72</v>
      </c>
      <c r="Q1656" t="s">
        <v>31</v>
      </c>
      <c r="R1656" t="s">
        <v>411</v>
      </c>
      <c r="S1656" t="s">
        <v>692</v>
      </c>
      <c r="T1656" t="s">
        <v>704</v>
      </c>
      <c r="U1656" t="s">
        <v>693</v>
      </c>
      <c r="V1656" s="6" t="s">
        <v>694</v>
      </c>
      <c r="W1656" t="s">
        <v>691</v>
      </c>
      <c r="X1656" t="s">
        <v>820</v>
      </c>
      <c r="Y1656" t="s">
        <v>28</v>
      </c>
    </row>
    <row r="1657" spans="2:25" x14ac:dyDescent="0.3">
      <c r="B1657" s="5" t="s">
        <v>77</v>
      </c>
      <c r="C1657" s="5" t="str">
        <f>VLOOKUP(B1657,[1]물질정보!B:C,2,0)</f>
        <v>140-88-5</v>
      </c>
      <c r="D1657" t="str">
        <f>VLOOKUP(B1657,[1]물질정보!B:D,3,0)</f>
        <v>ethyl acrylate</v>
      </c>
      <c r="E1657" t="str">
        <f>VLOOKUP(B1657,[1]물질정보!B:E,4,0)</f>
        <v>C5H8O2</v>
      </c>
      <c r="F1657" t="str">
        <f>VLOOKUP(B1657,[1]물질정보!B:F,5,0)</f>
        <v>100.12 g/mol</v>
      </c>
      <c r="G1657" s="5" t="str">
        <f>VLOOKUP(B1657,[1]물질정보!B:G,6,0)</f>
        <v>CCOC(=O)C=C</v>
      </c>
      <c r="H1657" t="s">
        <v>690</v>
      </c>
      <c r="I1657" t="s">
        <v>27</v>
      </c>
      <c r="J1657" t="s">
        <v>28</v>
      </c>
      <c r="K1657">
        <v>3.28</v>
      </c>
      <c r="L1657" t="s">
        <v>39</v>
      </c>
      <c r="M1657" t="s">
        <v>691</v>
      </c>
      <c r="N1657" t="s">
        <v>29</v>
      </c>
      <c r="O1657" t="s">
        <v>29</v>
      </c>
      <c r="P1657">
        <v>72</v>
      </c>
      <c r="Q1657" t="s">
        <v>31</v>
      </c>
      <c r="R1657" t="s">
        <v>411</v>
      </c>
      <c r="S1657" t="s">
        <v>692</v>
      </c>
      <c r="T1657" t="s">
        <v>705</v>
      </c>
      <c r="U1657" t="s">
        <v>693</v>
      </c>
      <c r="V1657" s="6" t="s">
        <v>694</v>
      </c>
      <c r="W1657" t="s">
        <v>691</v>
      </c>
      <c r="X1657" t="s">
        <v>820</v>
      </c>
      <c r="Y1657" t="s">
        <v>28</v>
      </c>
    </row>
    <row r="1658" spans="2:25" x14ac:dyDescent="0.3">
      <c r="B1658" s="5" t="s">
        <v>67</v>
      </c>
      <c r="C1658" s="5" t="str">
        <f>VLOOKUP(B1658,[1]물질정보!B:C,2,0)</f>
        <v>818-61-1</v>
      </c>
      <c r="D1658" t="str">
        <f>VLOOKUP(B1658,[1]물질정보!B:D,3,0)</f>
        <v>2-hydroxyethyl acrylate</v>
      </c>
      <c r="E1658" t="str">
        <f>VLOOKUP(B1658,[1]물질정보!B:E,4,0)</f>
        <v>C5H8O3</v>
      </c>
      <c r="F1658" t="str">
        <f>VLOOKUP(B1658,[1]물질정보!B:F,5,0)</f>
        <v>116.11 g/mol</v>
      </c>
      <c r="G1658" s="5" t="str">
        <f>VLOOKUP(B1658,[1]물질정보!B:G,6,0)</f>
        <v>C=CC(=O)OCCO</v>
      </c>
      <c r="H1658" t="s">
        <v>690</v>
      </c>
      <c r="I1658" t="s">
        <v>27</v>
      </c>
      <c r="J1658" t="s">
        <v>28</v>
      </c>
      <c r="K1658">
        <v>3.52</v>
      </c>
      <c r="L1658" t="s">
        <v>39</v>
      </c>
      <c r="M1658" t="s">
        <v>691</v>
      </c>
      <c r="N1658" t="s">
        <v>29</v>
      </c>
      <c r="O1658" t="s">
        <v>29</v>
      </c>
      <c r="P1658">
        <v>72</v>
      </c>
      <c r="Q1658" t="s">
        <v>31</v>
      </c>
      <c r="R1658" t="s">
        <v>411</v>
      </c>
      <c r="S1658" t="s">
        <v>692</v>
      </c>
      <c r="T1658" t="s">
        <v>705</v>
      </c>
      <c r="U1658" t="s">
        <v>693</v>
      </c>
      <c r="V1658" s="6" t="s">
        <v>694</v>
      </c>
      <c r="W1658" t="s">
        <v>691</v>
      </c>
      <c r="X1658" t="s">
        <v>820</v>
      </c>
      <c r="Y1658" t="s">
        <v>28</v>
      </c>
    </row>
    <row r="1659" spans="2:25" x14ac:dyDescent="0.3">
      <c r="B1659" s="5" t="s">
        <v>65</v>
      </c>
      <c r="C1659" s="5" t="str">
        <f>VLOOKUP(B1659,[1]물질정보!B:C,2,0)</f>
        <v>141-32-2</v>
      </c>
      <c r="D1659" t="str">
        <f>VLOOKUP(B1659,[1]물질정보!B:D,3,0)</f>
        <v>butyl acrylate</v>
      </c>
      <c r="E1659" t="str">
        <f>VLOOKUP(B1659,[1]물질정보!B:E,4,0)</f>
        <v>C7H12O2</v>
      </c>
      <c r="F1659" t="str">
        <f>VLOOKUP(B1659,[1]물질정보!B:F,5,0)</f>
        <v>128.169 g/mol</v>
      </c>
      <c r="G1659" s="5" t="str">
        <f>VLOOKUP(B1659,[1]물질정보!B:G,6,0)</f>
        <v>CCCCOC(=O)C=C</v>
      </c>
      <c r="H1659" t="s">
        <v>690</v>
      </c>
      <c r="I1659" t="s">
        <v>27</v>
      </c>
      <c r="J1659" t="s">
        <v>28</v>
      </c>
      <c r="K1659">
        <v>3.12</v>
      </c>
      <c r="L1659" t="s">
        <v>39</v>
      </c>
      <c r="M1659" t="s">
        <v>691</v>
      </c>
      <c r="N1659" t="s">
        <v>29</v>
      </c>
      <c r="O1659" t="s">
        <v>29</v>
      </c>
      <c r="P1659">
        <v>72</v>
      </c>
      <c r="Q1659" t="s">
        <v>31</v>
      </c>
      <c r="R1659" t="s">
        <v>411</v>
      </c>
      <c r="S1659" t="s">
        <v>692</v>
      </c>
      <c r="T1659" t="s">
        <v>705</v>
      </c>
      <c r="U1659" t="s">
        <v>693</v>
      </c>
      <c r="V1659" s="6" t="s">
        <v>694</v>
      </c>
      <c r="W1659" t="s">
        <v>691</v>
      </c>
      <c r="X1659" t="s">
        <v>820</v>
      </c>
      <c r="Y1659" t="s">
        <v>28</v>
      </c>
    </row>
    <row r="1660" spans="2:25" x14ac:dyDescent="0.3">
      <c r="B1660" s="5" t="s">
        <v>64</v>
      </c>
      <c r="C1660" s="5" t="str">
        <f>VLOOKUP(B1660,[1]물질정보!B:C,2,0)</f>
        <v>2478-10-6</v>
      </c>
      <c r="D1660" t="str">
        <f>VLOOKUP(B1660,[1]물질정보!B:D,3,0)</f>
        <v>4-hydroxybutyl acrylate</v>
      </c>
      <c r="E1660" t="str">
        <f>VLOOKUP(B1660,[1]물질정보!B:E,4,0)</f>
        <v>C7H12O3</v>
      </c>
      <c r="F1660" t="str">
        <f>VLOOKUP(B1660,[1]물질정보!B:F,5,0)</f>
        <v>144.17 g/mol</v>
      </c>
      <c r="G1660" s="5" t="str">
        <f>VLOOKUP(B1660,[1]물질정보!B:G,6,0)</f>
        <v>C=CC(=O)OCCCCO</v>
      </c>
      <c r="H1660" t="s">
        <v>690</v>
      </c>
      <c r="I1660" t="s">
        <v>27</v>
      </c>
      <c r="J1660" t="s">
        <v>28</v>
      </c>
      <c r="K1660">
        <v>146.16</v>
      </c>
      <c r="L1660" t="s">
        <v>39</v>
      </c>
      <c r="M1660" t="s">
        <v>691</v>
      </c>
      <c r="N1660" t="s">
        <v>29</v>
      </c>
      <c r="O1660" t="s">
        <v>29</v>
      </c>
      <c r="P1660">
        <v>72</v>
      </c>
      <c r="Q1660" t="s">
        <v>31</v>
      </c>
      <c r="R1660" t="s">
        <v>411</v>
      </c>
      <c r="S1660" t="s">
        <v>692</v>
      </c>
      <c r="T1660" t="s">
        <v>704</v>
      </c>
      <c r="U1660" t="s">
        <v>693</v>
      </c>
      <c r="V1660" s="6" t="s">
        <v>694</v>
      </c>
      <c r="W1660" t="s">
        <v>691</v>
      </c>
      <c r="X1660" t="s">
        <v>820</v>
      </c>
      <c r="Y1660" t="s">
        <v>28</v>
      </c>
    </row>
    <row r="1661" spans="2:25" x14ac:dyDescent="0.3">
      <c r="B1661" s="5" t="s">
        <v>59</v>
      </c>
      <c r="C1661" s="5" t="str">
        <f>VLOOKUP(B1661,[1]물질정보!B:C,2,0)</f>
        <v>2499-95-8</v>
      </c>
      <c r="D1661" t="str">
        <f>VLOOKUP(B1661,[1]물질정보!B:D,3,0)</f>
        <v>hexyl acrylate</v>
      </c>
      <c r="E1661" t="str">
        <f>VLOOKUP(B1661,[1]물질정보!B:E,4,0)</f>
        <v>C9H16O2</v>
      </c>
      <c r="F1661" t="str">
        <f>VLOOKUP(B1661,[1]물질정보!B:F,5,0)</f>
        <v>156.22 g/mol</v>
      </c>
      <c r="G1661" s="5" t="str">
        <f>VLOOKUP(B1661,[1]물질정보!B:G,6,0)</f>
        <v>CCCCCCOC(=O)C=C</v>
      </c>
      <c r="H1661" t="s">
        <v>690</v>
      </c>
      <c r="I1661" t="s">
        <v>27</v>
      </c>
      <c r="J1661" t="s">
        <v>28</v>
      </c>
      <c r="K1661">
        <v>1.27</v>
      </c>
      <c r="L1661" t="s">
        <v>39</v>
      </c>
      <c r="M1661" t="s">
        <v>691</v>
      </c>
      <c r="N1661" t="s">
        <v>29</v>
      </c>
      <c r="O1661" t="s">
        <v>29</v>
      </c>
      <c r="P1661">
        <v>72</v>
      </c>
      <c r="Q1661" t="s">
        <v>31</v>
      </c>
      <c r="R1661" t="s">
        <v>411</v>
      </c>
      <c r="S1661" t="s">
        <v>692</v>
      </c>
      <c r="T1661" t="s">
        <v>706</v>
      </c>
      <c r="U1661" t="s">
        <v>693</v>
      </c>
      <c r="V1661" s="6" t="s">
        <v>694</v>
      </c>
      <c r="W1661" t="s">
        <v>691</v>
      </c>
      <c r="X1661" t="s">
        <v>820</v>
      </c>
      <c r="Y1661" t="s">
        <v>28</v>
      </c>
    </row>
    <row r="1662" spans="2:25" x14ac:dyDescent="0.3">
      <c r="B1662" s="5" t="s">
        <v>70</v>
      </c>
      <c r="C1662" s="5" t="str">
        <f>VLOOKUP(B1662,[1]물질정보!B:C,2,0)</f>
        <v>10095-14-4</v>
      </c>
      <c r="D1662" t="str">
        <f>VLOOKUP(B1662,[1]물질정보!B:D,3,0)</f>
        <v>6-hydroxybutyl acrylate</v>
      </c>
      <c r="E1662" t="str">
        <f>VLOOKUP(B1662,[1]물질정보!B:E,4,0)</f>
        <v>C9H16O3</v>
      </c>
      <c r="F1662" t="str">
        <f>VLOOKUP(B1662,[1]물질정보!B:F,5,0)</f>
        <v>172.22 g/mol</v>
      </c>
      <c r="G1662" s="5" t="str">
        <f>VLOOKUP(B1662,[1]물질정보!B:G,6,0)</f>
        <v>C=CC(=O)OCCCCCCO</v>
      </c>
      <c r="H1662" t="s">
        <v>690</v>
      </c>
      <c r="I1662" t="s">
        <v>27</v>
      </c>
      <c r="J1662" t="s">
        <v>28</v>
      </c>
      <c r="K1662">
        <v>1.23</v>
      </c>
      <c r="L1662" t="s">
        <v>39</v>
      </c>
      <c r="M1662" t="s">
        <v>691</v>
      </c>
      <c r="N1662" t="s">
        <v>29</v>
      </c>
      <c r="O1662" t="s">
        <v>29</v>
      </c>
      <c r="P1662">
        <v>72</v>
      </c>
      <c r="Q1662" t="s">
        <v>31</v>
      </c>
      <c r="R1662" t="s">
        <v>411</v>
      </c>
      <c r="S1662" t="s">
        <v>692</v>
      </c>
      <c r="T1662" t="s">
        <v>706</v>
      </c>
      <c r="U1662" t="s">
        <v>693</v>
      </c>
      <c r="V1662" s="6" t="s">
        <v>694</v>
      </c>
      <c r="W1662" t="s">
        <v>691</v>
      </c>
      <c r="X1662" t="s">
        <v>820</v>
      </c>
      <c r="Y1662" t="s">
        <v>28</v>
      </c>
    </row>
    <row r="1663" spans="2:25" x14ac:dyDescent="0.3">
      <c r="B1663" s="5" t="s">
        <v>78</v>
      </c>
      <c r="C1663" s="5" t="str">
        <f>VLOOKUP(B1663,[1]물질정보!B:C,2,0)</f>
        <v>-</v>
      </c>
      <c r="D1663" t="str">
        <f>VLOOKUP(B1663,[1]물질정보!B:D,3,0)</f>
        <v xml:space="preserve">9-(9H-Carbazol-9-yl)-7H-benzo[c]carbazole </v>
      </c>
      <c r="E1663" t="str">
        <f>VLOOKUP(B1663,[1]물질정보!B:E,4,0)</f>
        <v>C28H18N2</v>
      </c>
      <c r="F1663" t="str">
        <f>VLOOKUP(B1663,[1]물질정보!B:F,5,0)</f>
        <v>382.5 g/mol</v>
      </c>
      <c r="G1663" s="5" t="str">
        <f>VLOOKUP(B1663,[1]물질정보!B:G,6,0)</f>
        <v>C1=CC=C2C(=C1)C=CC3=C2C4=C(N3)C=C(C=C4)N5C6=CC=CC=C6C7=CC=CC=C75</v>
      </c>
      <c r="H1663" t="s">
        <v>690</v>
      </c>
      <c r="I1663" t="s">
        <v>27</v>
      </c>
      <c r="J1663" t="s">
        <v>28</v>
      </c>
      <c r="K1663">
        <v>0.66849999999999998</v>
      </c>
      <c r="L1663" t="s">
        <v>39</v>
      </c>
      <c r="M1663" t="s">
        <v>691</v>
      </c>
      <c r="N1663" t="s">
        <v>29</v>
      </c>
      <c r="O1663" t="s">
        <v>29</v>
      </c>
      <c r="P1663">
        <v>72</v>
      </c>
      <c r="Q1663" t="s">
        <v>31</v>
      </c>
      <c r="R1663" t="s">
        <v>695</v>
      </c>
      <c r="S1663" t="s">
        <v>692</v>
      </c>
      <c r="T1663" t="s">
        <v>707</v>
      </c>
      <c r="U1663" t="s">
        <v>696</v>
      </c>
      <c r="V1663" s="6" t="s">
        <v>694</v>
      </c>
      <c r="W1663" t="s">
        <v>691</v>
      </c>
      <c r="X1663" t="s">
        <v>820</v>
      </c>
      <c r="Y1663" t="s">
        <v>28</v>
      </c>
    </row>
    <row r="1664" spans="2:25" x14ac:dyDescent="0.3">
      <c r="B1664" s="5" t="s">
        <v>359</v>
      </c>
      <c r="C1664" s="5" t="str">
        <f>VLOOKUP(B1664,[1]물질정보!B:C,2,0)</f>
        <v>205-25-4</v>
      </c>
      <c r="D1664" t="str">
        <f>VLOOKUP(B1664,[1]물질정보!B:D,3,0)</f>
        <v xml:space="preserve">7H-Benzo[c]carbazole </v>
      </c>
      <c r="E1664" t="str">
        <f>VLOOKUP(B1664,[1]물질정보!B:E,4,0)</f>
        <v>C16H11N</v>
      </c>
      <c r="F1664" t="str">
        <f>VLOOKUP(B1664,[1]물질정보!B:F,5,0)</f>
        <v>217.26 g/mol</v>
      </c>
      <c r="G1664" s="5" t="str">
        <f>VLOOKUP(B1664,[1]물질정보!B:G,6,0)</f>
        <v>C1=CC=C2C(=C1)C=CC3=C2C4=CC=CC=C4N3</v>
      </c>
      <c r="H1664" t="s">
        <v>690</v>
      </c>
      <c r="I1664" t="s">
        <v>27</v>
      </c>
      <c r="J1664" t="s">
        <v>28</v>
      </c>
      <c r="K1664">
        <v>0.25640000000000002</v>
      </c>
      <c r="L1664" t="s">
        <v>39</v>
      </c>
      <c r="M1664" t="s">
        <v>691</v>
      </c>
      <c r="N1664" t="s">
        <v>29</v>
      </c>
      <c r="O1664" t="s">
        <v>29</v>
      </c>
      <c r="P1664">
        <v>72</v>
      </c>
      <c r="Q1664" t="s">
        <v>31</v>
      </c>
      <c r="R1664" t="s">
        <v>695</v>
      </c>
      <c r="S1664" t="s">
        <v>692</v>
      </c>
      <c r="T1664" t="s">
        <v>706</v>
      </c>
      <c r="U1664" t="s">
        <v>696</v>
      </c>
      <c r="V1664" s="6" t="s">
        <v>694</v>
      </c>
      <c r="W1664" t="s">
        <v>691</v>
      </c>
      <c r="X1664" t="s">
        <v>820</v>
      </c>
      <c r="Y1664" t="s">
        <v>28</v>
      </c>
    </row>
    <row r="1665" spans="2:25" x14ac:dyDescent="0.3">
      <c r="B1665" s="5" t="s">
        <v>503</v>
      </c>
      <c r="C1665" s="5" t="str">
        <f>VLOOKUP(B1665,[1]물질정보!B:C,2,0)</f>
        <v>97-63-2</v>
      </c>
      <c r="D1665" t="str">
        <f>VLOOKUP(B1665,[1]물질정보!B:D,3,0)</f>
        <v>ethyl methacrylate</v>
      </c>
      <c r="E1665" t="str">
        <f>VLOOKUP(B1665,[1]물질정보!B:E,4,0)</f>
        <v>C6H10O2</v>
      </c>
      <c r="F1665" t="str">
        <f>VLOOKUP(B1665,[1]물질정보!B:F,5,0)</f>
        <v>114.14 g/mol</v>
      </c>
      <c r="G1665" s="5" t="str">
        <f>VLOOKUP(B1665,[1]물질정보!B:G,6,0)</f>
        <v>CCOC(=O)C(=C)C</v>
      </c>
      <c r="H1665" t="s">
        <v>690</v>
      </c>
      <c r="I1665" t="s">
        <v>27</v>
      </c>
      <c r="J1665" t="s">
        <v>28</v>
      </c>
      <c r="K1665">
        <v>65.819999999999993</v>
      </c>
      <c r="L1665" t="s">
        <v>39</v>
      </c>
      <c r="M1665" t="s">
        <v>691</v>
      </c>
      <c r="N1665" t="s">
        <v>29</v>
      </c>
      <c r="O1665" t="s">
        <v>29</v>
      </c>
      <c r="P1665">
        <v>72</v>
      </c>
      <c r="Q1665" t="s">
        <v>31</v>
      </c>
      <c r="R1665" t="s">
        <v>695</v>
      </c>
      <c r="S1665" t="s">
        <v>692</v>
      </c>
      <c r="T1665" t="s">
        <v>703</v>
      </c>
      <c r="U1665" t="s">
        <v>696</v>
      </c>
      <c r="V1665" s="6" t="s">
        <v>694</v>
      </c>
      <c r="W1665" t="s">
        <v>691</v>
      </c>
      <c r="X1665" t="s">
        <v>820</v>
      </c>
      <c r="Y1665" t="s">
        <v>28</v>
      </c>
    </row>
    <row r="1666" spans="2:25" x14ac:dyDescent="0.3">
      <c r="B1666" s="5" t="s">
        <v>69</v>
      </c>
      <c r="C1666" s="5" t="str">
        <f>VLOOKUP(B1666,[1]물질정보!B:C,2,0)</f>
        <v>868-77-9</v>
      </c>
      <c r="D1666" t="str">
        <f>VLOOKUP(B1666,[1]물질정보!B:D,3,0)</f>
        <v>2-hydroxyethyl methacrylate</v>
      </c>
      <c r="E1666" t="str">
        <f>VLOOKUP(B1666,[1]물질정보!B:E,4,0)</f>
        <v>C6H10O3</v>
      </c>
      <c r="F1666" t="str">
        <f>VLOOKUP(B1666,[1]물질정보!B:F,5,0)</f>
        <v>130.139 g/mol</v>
      </c>
      <c r="G1666" s="5" t="str">
        <f>VLOOKUP(B1666,[1]물질정보!B:G,6,0)</f>
        <v>CC(=C)C(=O)OCCO</v>
      </c>
      <c r="H1666" t="s">
        <v>690</v>
      </c>
      <c r="I1666" t="s">
        <v>27</v>
      </c>
      <c r="J1666" t="s">
        <v>28</v>
      </c>
      <c r="K1666">
        <v>239.1</v>
      </c>
      <c r="L1666" t="s">
        <v>39</v>
      </c>
      <c r="M1666" t="s">
        <v>691</v>
      </c>
      <c r="N1666" t="s">
        <v>29</v>
      </c>
      <c r="O1666" t="s">
        <v>29</v>
      </c>
      <c r="P1666">
        <v>72</v>
      </c>
      <c r="Q1666" t="s">
        <v>31</v>
      </c>
      <c r="R1666" t="s">
        <v>695</v>
      </c>
      <c r="S1666" t="s">
        <v>692</v>
      </c>
      <c r="T1666" t="s">
        <v>708</v>
      </c>
      <c r="U1666" t="s">
        <v>696</v>
      </c>
      <c r="V1666" s="6" t="s">
        <v>694</v>
      </c>
      <c r="W1666" t="s">
        <v>691</v>
      </c>
      <c r="X1666" t="s">
        <v>820</v>
      </c>
      <c r="Y1666" t="s">
        <v>28</v>
      </c>
    </row>
    <row r="1667" spans="2:25" x14ac:dyDescent="0.3">
      <c r="B1667" s="5" t="s">
        <v>25</v>
      </c>
      <c r="C1667" s="5" t="str">
        <f>VLOOKUP(B1667,[1]물질정보!B:C,2,0)</f>
        <v>97-88-1</v>
      </c>
      <c r="D1667" t="str">
        <f>VLOOKUP(B1667,[1]물질정보!B:D,3,0)</f>
        <v>butyl methacrylate</v>
      </c>
      <c r="E1667" t="str">
        <f>VLOOKUP(B1667,[1]물질정보!B:E,4,0)</f>
        <v>C8H14O2</v>
      </c>
      <c r="F1667" t="str">
        <f>VLOOKUP(B1667,[1]물질정보!B:F,5,0)</f>
        <v>142.2 g/mol</v>
      </c>
      <c r="G1667" s="5" t="str">
        <f>VLOOKUP(B1667,[1]물질정보!B:G,6,0)</f>
        <v>CCCCOC(=O)C(=C)C</v>
      </c>
      <c r="H1667" t="s">
        <v>690</v>
      </c>
      <c r="I1667" t="s">
        <v>27</v>
      </c>
      <c r="J1667" t="s">
        <v>28</v>
      </c>
      <c r="K1667">
        <v>26.04</v>
      </c>
      <c r="L1667" t="s">
        <v>39</v>
      </c>
      <c r="M1667" t="s">
        <v>691</v>
      </c>
      <c r="N1667" t="s">
        <v>29</v>
      </c>
      <c r="O1667" t="s">
        <v>29</v>
      </c>
      <c r="P1667">
        <v>72</v>
      </c>
      <c r="Q1667" t="s">
        <v>31</v>
      </c>
      <c r="R1667" t="s">
        <v>695</v>
      </c>
      <c r="S1667" t="s">
        <v>692</v>
      </c>
      <c r="T1667" t="s">
        <v>705</v>
      </c>
      <c r="U1667" t="s">
        <v>696</v>
      </c>
      <c r="V1667" s="6" t="s">
        <v>694</v>
      </c>
      <c r="W1667" t="s">
        <v>691</v>
      </c>
      <c r="X1667" t="s">
        <v>820</v>
      </c>
      <c r="Y1667" t="s">
        <v>28</v>
      </c>
    </row>
    <row r="1668" spans="2:25" x14ac:dyDescent="0.3">
      <c r="B1668" s="5" t="s">
        <v>68</v>
      </c>
      <c r="C1668" s="5" t="str">
        <f>VLOOKUP(B1668,[1]물질정보!B:C,2,0)</f>
        <v>997-46-6</v>
      </c>
      <c r="D1668" t="str">
        <f>VLOOKUP(B1668,[1]물질정보!B:D,3,0)</f>
        <v>4-hydroxybutyl methacrylate</v>
      </c>
      <c r="E1668" t="str">
        <f>VLOOKUP(B1668,[1]물질정보!B:E,4,0)</f>
        <v>C8H14O3</v>
      </c>
      <c r="F1668" t="str">
        <f>VLOOKUP(B1668,[1]물질정보!B:F,5,0)</f>
        <v>158.19 g/mol</v>
      </c>
      <c r="G1668" s="5" t="str">
        <f>VLOOKUP(B1668,[1]물질정보!B:G,6,0)</f>
        <v>CC(=C)C(=O)OCCCCO</v>
      </c>
      <c r="H1668" t="s">
        <v>690</v>
      </c>
      <c r="I1668" t="s">
        <v>27</v>
      </c>
      <c r="J1668" t="s">
        <v>28</v>
      </c>
      <c r="K1668">
        <v>63.66</v>
      </c>
      <c r="L1668" t="s">
        <v>39</v>
      </c>
      <c r="M1668" t="s">
        <v>691</v>
      </c>
      <c r="N1668" t="s">
        <v>29</v>
      </c>
      <c r="O1668" t="s">
        <v>29</v>
      </c>
      <c r="P1668">
        <v>72</v>
      </c>
      <c r="Q1668" t="s">
        <v>31</v>
      </c>
      <c r="R1668" t="s">
        <v>695</v>
      </c>
      <c r="S1668" t="s">
        <v>692</v>
      </c>
      <c r="T1668" t="s">
        <v>703</v>
      </c>
      <c r="U1668" t="s">
        <v>696</v>
      </c>
      <c r="V1668" s="6" t="s">
        <v>694</v>
      </c>
      <c r="W1668" t="s">
        <v>691</v>
      </c>
      <c r="X1668" t="s">
        <v>820</v>
      </c>
      <c r="Y1668" t="s">
        <v>28</v>
      </c>
    </row>
    <row r="1669" spans="2:25" x14ac:dyDescent="0.3">
      <c r="B1669" s="5" t="s">
        <v>77</v>
      </c>
      <c r="C1669" s="5" t="str">
        <f>VLOOKUP(B1669,[1]물질정보!B:C,2,0)</f>
        <v>140-88-5</v>
      </c>
      <c r="D1669" t="str">
        <f>VLOOKUP(B1669,[1]물질정보!B:D,3,0)</f>
        <v>ethyl acrylate</v>
      </c>
      <c r="E1669" t="str">
        <f>VLOOKUP(B1669,[1]물질정보!B:E,4,0)</f>
        <v>C5H8O2</v>
      </c>
      <c r="F1669" t="str">
        <f>VLOOKUP(B1669,[1]물질정보!B:F,5,0)</f>
        <v>100.12 g/mol</v>
      </c>
      <c r="G1669" s="5" t="str">
        <f>VLOOKUP(B1669,[1]물질정보!B:G,6,0)</f>
        <v>CCOC(=O)C=C</v>
      </c>
      <c r="H1669" t="s">
        <v>690</v>
      </c>
      <c r="I1669" t="s">
        <v>27</v>
      </c>
      <c r="J1669" t="s">
        <v>28</v>
      </c>
      <c r="K1669">
        <v>4.3</v>
      </c>
      <c r="L1669" t="s">
        <v>39</v>
      </c>
      <c r="M1669" t="s">
        <v>691</v>
      </c>
      <c r="N1669" t="s">
        <v>29</v>
      </c>
      <c r="O1669" t="s">
        <v>29</v>
      </c>
      <c r="P1669">
        <v>72</v>
      </c>
      <c r="Q1669" t="s">
        <v>31</v>
      </c>
      <c r="R1669" t="s">
        <v>695</v>
      </c>
      <c r="S1669" t="s">
        <v>692</v>
      </c>
      <c r="T1669" t="s">
        <v>705</v>
      </c>
      <c r="U1669" t="s">
        <v>696</v>
      </c>
      <c r="V1669" s="6" t="s">
        <v>694</v>
      </c>
      <c r="W1669" t="s">
        <v>691</v>
      </c>
      <c r="X1669" t="s">
        <v>820</v>
      </c>
      <c r="Y1669" t="s">
        <v>28</v>
      </c>
    </row>
    <row r="1670" spans="2:25" x14ac:dyDescent="0.3">
      <c r="B1670" s="5" t="s">
        <v>67</v>
      </c>
      <c r="C1670" s="5" t="str">
        <f>VLOOKUP(B1670,[1]물질정보!B:C,2,0)</f>
        <v>818-61-1</v>
      </c>
      <c r="D1670" t="str">
        <f>VLOOKUP(B1670,[1]물질정보!B:D,3,0)</f>
        <v>2-hydroxyethyl acrylate</v>
      </c>
      <c r="E1670" t="str">
        <f>VLOOKUP(B1670,[1]물질정보!B:E,4,0)</f>
        <v>C5H8O3</v>
      </c>
      <c r="F1670" t="str">
        <f>VLOOKUP(B1670,[1]물질정보!B:F,5,0)</f>
        <v>116.11 g/mol</v>
      </c>
      <c r="G1670" s="5" t="str">
        <f>VLOOKUP(B1670,[1]물질정보!B:G,6,0)</f>
        <v>C=CC(=O)OCCO</v>
      </c>
      <c r="H1670" t="s">
        <v>690</v>
      </c>
      <c r="I1670" t="s">
        <v>27</v>
      </c>
      <c r="J1670" t="s">
        <v>28</v>
      </c>
      <c r="K1670">
        <v>7.25</v>
      </c>
      <c r="L1670" t="s">
        <v>39</v>
      </c>
      <c r="M1670" t="s">
        <v>691</v>
      </c>
      <c r="N1670" t="s">
        <v>29</v>
      </c>
      <c r="O1670" t="s">
        <v>29</v>
      </c>
      <c r="P1670">
        <v>72</v>
      </c>
      <c r="Q1670" t="s">
        <v>31</v>
      </c>
      <c r="R1670" t="s">
        <v>695</v>
      </c>
      <c r="S1670" t="s">
        <v>692</v>
      </c>
      <c r="T1670" t="s">
        <v>705</v>
      </c>
      <c r="U1670" t="s">
        <v>696</v>
      </c>
      <c r="V1670" s="6" t="s">
        <v>694</v>
      </c>
      <c r="W1670" t="s">
        <v>691</v>
      </c>
      <c r="X1670" t="s">
        <v>820</v>
      </c>
      <c r="Y1670" t="s">
        <v>28</v>
      </c>
    </row>
    <row r="1671" spans="2:25" x14ac:dyDescent="0.3">
      <c r="B1671" s="5" t="s">
        <v>65</v>
      </c>
      <c r="C1671" s="5" t="str">
        <f>VLOOKUP(B1671,[1]물질정보!B:C,2,0)</f>
        <v>141-32-2</v>
      </c>
      <c r="D1671" t="str">
        <f>VLOOKUP(B1671,[1]물질정보!B:D,3,0)</f>
        <v>butyl acrylate</v>
      </c>
      <c r="E1671" t="str">
        <f>VLOOKUP(B1671,[1]물질정보!B:E,4,0)</f>
        <v>C7H12O2</v>
      </c>
      <c r="F1671" t="str">
        <f>VLOOKUP(B1671,[1]물질정보!B:F,5,0)</f>
        <v>128.169 g/mol</v>
      </c>
      <c r="G1671" s="5" t="str">
        <f>VLOOKUP(B1671,[1]물질정보!B:G,6,0)</f>
        <v>CCCCOC(=O)C=C</v>
      </c>
      <c r="H1671" t="s">
        <v>690</v>
      </c>
      <c r="I1671" t="s">
        <v>27</v>
      </c>
      <c r="J1671" t="s">
        <v>28</v>
      </c>
      <c r="K1671">
        <v>88.97</v>
      </c>
      <c r="L1671" t="s">
        <v>39</v>
      </c>
      <c r="M1671" t="s">
        <v>691</v>
      </c>
      <c r="N1671" t="s">
        <v>29</v>
      </c>
      <c r="O1671" t="s">
        <v>29</v>
      </c>
      <c r="P1671">
        <v>72</v>
      </c>
      <c r="Q1671" t="s">
        <v>31</v>
      </c>
      <c r="R1671" t="s">
        <v>695</v>
      </c>
      <c r="S1671" t="s">
        <v>692</v>
      </c>
      <c r="T1671" t="s">
        <v>709</v>
      </c>
      <c r="U1671" t="s">
        <v>696</v>
      </c>
      <c r="V1671" s="6" t="s">
        <v>694</v>
      </c>
      <c r="W1671" t="s">
        <v>691</v>
      </c>
      <c r="X1671" t="s">
        <v>820</v>
      </c>
      <c r="Y1671" t="s">
        <v>28</v>
      </c>
    </row>
    <row r="1672" spans="2:25" x14ac:dyDescent="0.3">
      <c r="B1672" s="5" t="s">
        <v>64</v>
      </c>
      <c r="C1672" s="5" t="str">
        <f>VLOOKUP(B1672,[1]물질정보!B:C,2,0)</f>
        <v>2478-10-6</v>
      </c>
      <c r="D1672" t="str">
        <f>VLOOKUP(B1672,[1]물질정보!B:D,3,0)</f>
        <v>4-hydroxybutyl acrylate</v>
      </c>
      <c r="E1672" t="str">
        <f>VLOOKUP(B1672,[1]물질정보!B:E,4,0)</f>
        <v>C7H12O3</v>
      </c>
      <c r="F1672" t="str">
        <f>VLOOKUP(B1672,[1]물질정보!B:F,5,0)</f>
        <v>144.17 g/mol</v>
      </c>
      <c r="G1672" s="5" t="str">
        <f>VLOOKUP(B1672,[1]물질정보!B:G,6,0)</f>
        <v>C=CC(=O)OCCCCO</v>
      </c>
      <c r="H1672" t="s">
        <v>690</v>
      </c>
      <c r="I1672" t="s">
        <v>27</v>
      </c>
      <c r="J1672" t="s">
        <v>28</v>
      </c>
      <c r="K1672">
        <v>48.23</v>
      </c>
      <c r="L1672" t="s">
        <v>39</v>
      </c>
      <c r="M1672" t="s">
        <v>691</v>
      </c>
      <c r="N1672" t="s">
        <v>29</v>
      </c>
      <c r="O1672" t="s">
        <v>29</v>
      </c>
      <c r="P1672">
        <v>72</v>
      </c>
      <c r="Q1672" t="s">
        <v>31</v>
      </c>
      <c r="R1672" t="s">
        <v>695</v>
      </c>
      <c r="S1672" t="s">
        <v>692</v>
      </c>
      <c r="T1672" t="s">
        <v>703</v>
      </c>
      <c r="U1672" t="s">
        <v>696</v>
      </c>
      <c r="V1672" s="6" t="s">
        <v>694</v>
      </c>
      <c r="W1672" t="s">
        <v>691</v>
      </c>
      <c r="X1672" t="s">
        <v>820</v>
      </c>
      <c r="Y1672" t="s">
        <v>28</v>
      </c>
    </row>
    <row r="1673" spans="2:25" x14ac:dyDescent="0.3">
      <c r="B1673" s="5" t="s">
        <v>59</v>
      </c>
      <c r="C1673" s="5" t="str">
        <f>VLOOKUP(B1673,[1]물질정보!B:C,2,0)</f>
        <v>2499-95-8</v>
      </c>
      <c r="D1673" t="str">
        <f>VLOOKUP(B1673,[1]물질정보!B:D,3,0)</f>
        <v>hexyl acrylate</v>
      </c>
      <c r="E1673" t="str">
        <f>VLOOKUP(B1673,[1]물질정보!B:E,4,0)</f>
        <v>C9H16O2</v>
      </c>
      <c r="F1673" t="str">
        <f>VLOOKUP(B1673,[1]물질정보!B:F,5,0)</f>
        <v>156.22 g/mol</v>
      </c>
      <c r="G1673" s="5" t="str">
        <f>VLOOKUP(B1673,[1]물질정보!B:G,6,0)</f>
        <v>CCCCCCOC(=O)C=C</v>
      </c>
      <c r="H1673" t="s">
        <v>690</v>
      </c>
      <c r="I1673" t="s">
        <v>27</v>
      </c>
      <c r="J1673" t="s">
        <v>28</v>
      </c>
      <c r="K1673">
        <v>5.87</v>
      </c>
      <c r="L1673" t="s">
        <v>39</v>
      </c>
      <c r="M1673" t="s">
        <v>691</v>
      </c>
      <c r="N1673" t="s">
        <v>29</v>
      </c>
      <c r="O1673" t="s">
        <v>29</v>
      </c>
      <c r="P1673">
        <v>72</v>
      </c>
      <c r="Q1673" t="s">
        <v>31</v>
      </c>
      <c r="R1673" t="s">
        <v>695</v>
      </c>
      <c r="S1673" t="s">
        <v>692</v>
      </c>
      <c r="T1673" t="s">
        <v>703</v>
      </c>
      <c r="U1673" t="s">
        <v>696</v>
      </c>
      <c r="V1673" s="6" t="s">
        <v>694</v>
      </c>
      <c r="W1673" t="s">
        <v>691</v>
      </c>
      <c r="X1673" t="s">
        <v>820</v>
      </c>
      <c r="Y1673" t="s">
        <v>28</v>
      </c>
    </row>
    <row r="1674" spans="2:25" x14ac:dyDescent="0.3">
      <c r="B1674" s="5" t="s">
        <v>70</v>
      </c>
      <c r="C1674" s="5" t="str">
        <f>VLOOKUP(B1674,[1]물질정보!B:C,2,0)</f>
        <v>10095-14-4</v>
      </c>
      <c r="D1674" t="str">
        <f>VLOOKUP(B1674,[1]물질정보!B:D,3,0)</f>
        <v>6-hydroxybutyl acrylate</v>
      </c>
      <c r="E1674" t="str">
        <f>VLOOKUP(B1674,[1]물질정보!B:E,4,0)</f>
        <v>C9H16O3</v>
      </c>
      <c r="F1674" t="str">
        <f>VLOOKUP(B1674,[1]물질정보!B:F,5,0)</f>
        <v>172.22 g/mol</v>
      </c>
      <c r="G1674" s="5" t="str">
        <f>VLOOKUP(B1674,[1]물질정보!B:G,6,0)</f>
        <v>C=CC(=O)OCCCCCCO</v>
      </c>
      <c r="H1674" t="s">
        <v>690</v>
      </c>
      <c r="I1674" t="s">
        <v>27</v>
      </c>
      <c r="J1674" t="s">
        <v>28</v>
      </c>
      <c r="K1674">
        <v>3.11</v>
      </c>
      <c r="L1674" t="s">
        <v>39</v>
      </c>
      <c r="M1674" t="s">
        <v>691</v>
      </c>
      <c r="N1674" t="s">
        <v>29</v>
      </c>
      <c r="O1674" t="s">
        <v>29</v>
      </c>
      <c r="P1674">
        <v>72</v>
      </c>
      <c r="Q1674" t="s">
        <v>31</v>
      </c>
      <c r="R1674" t="s">
        <v>695</v>
      </c>
      <c r="S1674" t="s">
        <v>692</v>
      </c>
      <c r="T1674" t="s">
        <v>706</v>
      </c>
      <c r="U1674" t="s">
        <v>696</v>
      </c>
      <c r="V1674" s="6" t="s">
        <v>694</v>
      </c>
      <c r="W1674" t="s">
        <v>691</v>
      </c>
      <c r="X1674" t="s">
        <v>820</v>
      </c>
      <c r="Y1674" t="s">
        <v>28</v>
      </c>
    </row>
    <row r="1675" spans="2:25" x14ac:dyDescent="0.3">
      <c r="B1675" s="5" t="s">
        <v>78</v>
      </c>
      <c r="C1675" s="5" t="str">
        <f>VLOOKUP(B1675,[1]물질정보!B:C,2,0)</f>
        <v>-</v>
      </c>
      <c r="D1675" t="str">
        <f>VLOOKUP(B1675,[1]물질정보!B:D,3,0)</f>
        <v xml:space="preserve">9-(9H-Carbazol-9-yl)-7H-benzo[c]carbazole </v>
      </c>
      <c r="E1675" t="str">
        <f>VLOOKUP(B1675,[1]물질정보!B:E,4,0)</f>
        <v>C28H18N2</v>
      </c>
      <c r="F1675" t="str">
        <f>VLOOKUP(B1675,[1]물질정보!B:F,5,0)</f>
        <v>382.5 g/mol</v>
      </c>
      <c r="G1675" s="5" t="str">
        <f>VLOOKUP(B1675,[1]물질정보!B:G,6,0)</f>
        <v>C1=CC=C2C(=C1)C=CC3=C2C4=C(N3)C=C(C=C4)N5C6=CC=CC=C6C7=CC=CC=C75</v>
      </c>
      <c r="H1675" t="s">
        <v>698</v>
      </c>
      <c r="I1675" t="s">
        <v>97</v>
      </c>
      <c r="J1675" t="s">
        <v>98</v>
      </c>
      <c r="K1675" t="s">
        <v>90</v>
      </c>
      <c r="L1675" t="s">
        <v>29</v>
      </c>
      <c r="M1675" t="s">
        <v>100</v>
      </c>
      <c r="N1675" t="s">
        <v>699</v>
      </c>
      <c r="O1675" t="s">
        <v>29</v>
      </c>
      <c r="P1675" t="s">
        <v>29</v>
      </c>
      <c r="Q1675" t="s">
        <v>29</v>
      </c>
      <c r="R1675" t="s">
        <v>411</v>
      </c>
      <c r="S1675" t="s">
        <v>224</v>
      </c>
      <c r="T1675" t="s">
        <v>710</v>
      </c>
      <c r="U1675" t="s">
        <v>700</v>
      </c>
      <c r="V1675" s="6" t="s">
        <v>694</v>
      </c>
      <c r="W1675" t="s">
        <v>100</v>
      </c>
      <c r="X1675" t="s">
        <v>821</v>
      </c>
      <c r="Y1675" t="s">
        <v>98</v>
      </c>
    </row>
    <row r="1676" spans="2:25" x14ac:dyDescent="0.3">
      <c r="B1676" s="5" t="s">
        <v>359</v>
      </c>
      <c r="C1676" s="5" t="str">
        <f>VLOOKUP(B1676,[1]물질정보!B:C,2,0)</f>
        <v>205-25-4</v>
      </c>
      <c r="D1676" t="str">
        <f>VLOOKUP(B1676,[1]물질정보!B:D,3,0)</f>
        <v xml:space="preserve">7H-Benzo[c]carbazole </v>
      </c>
      <c r="E1676" t="str">
        <f>VLOOKUP(B1676,[1]물질정보!B:E,4,0)</f>
        <v>C16H11N</v>
      </c>
      <c r="F1676" t="str">
        <f>VLOOKUP(B1676,[1]물질정보!B:F,5,0)</f>
        <v>217.26 g/mol</v>
      </c>
      <c r="G1676" s="5" t="str">
        <f>VLOOKUP(B1676,[1]물질정보!B:G,6,0)</f>
        <v>C1=CC=C2C(=C1)C=CC3=C2C4=CC=CC=C4N3</v>
      </c>
      <c r="H1676" t="s">
        <v>698</v>
      </c>
      <c r="I1676" t="s">
        <v>97</v>
      </c>
      <c r="J1676" t="s">
        <v>98</v>
      </c>
      <c r="K1676" t="s">
        <v>90</v>
      </c>
      <c r="L1676" t="s">
        <v>29</v>
      </c>
      <c r="M1676" t="s">
        <v>100</v>
      </c>
      <c r="N1676" t="s">
        <v>699</v>
      </c>
      <c r="O1676" t="s">
        <v>29</v>
      </c>
      <c r="P1676" t="s">
        <v>29</v>
      </c>
      <c r="Q1676" t="s">
        <v>29</v>
      </c>
      <c r="R1676" t="s">
        <v>411</v>
      </c>
      <c r="S1676" t="s">
        <v>224</v>
      </c>
      <c r="T1676" t="s">
        <v>711</v>
      </c>
      <c r="U1676" t="s">
        <v>700</v>
      </c>
      <c r="V1676" s="6" t="s">
        <v>694</v>
      </c>
      <c r="W1676" t="s">
        <v>100</v>
      </c>
      <c r="X1676" t="s">
        <v>821</v>
      </c>
      <c r="Y1676" t="s">
        <v>98</v>
      </c>
    </row>
    <row r="1677" spans="2:25" x14ac:dyDescent="0.3">
      <c r="B1677" s="5" t="s">
        <v>503</v>
      </c>
      <c r="C1677" s="5" t="str">
        <f>VLOOKUP(B1677,[1]물질정보!B:C,2,0)</f>
        <v>97-63-2</v>
      </c>
      <c r="D1677" t="str">
        <f>VLOOKUP(B1677,[1]물질정보!B:D,3,0)</f>
        <v>ethyl methacrylate</v>
      </c>
      <c r="E1677" t="str">
        <f>VLOOKUP(B1677,[1]물질정보!B:E,4,0)</f>
        <v>C6H10O2</v>
      </c>
      <c r="F1677" t="str">
        <f>VLOOKUP(B1677,[1]물질정보!B:F,5,0)</f>
        <v>114.14 g/mol</v>
      </c>
      <c r="G1677" s="5" t="str">
        <f>VLOOKUP(B1677,[1]물질정보!B:G,6,0)</f>
        <v>CCOC(=O)C(=C)C</v>
      </c>
      <c r="H1677" t="s">
        <v>698</v>
      </c>
      <c r="I1677" t="s">
        <v>97</v>
      </c>
      <c r="J1677" t="s">
        <v>98</v>
      </c>
      <c r="K1677" t="s">
        <v>90</v>
      </c>
      <c r="L1677" t="s">
        <v>29</v>
      </c>
      <c r="M1677" t="s">
        <v>100</v>
      </c>
      <c r="N1677" t="s">
        <v>699</v>
      </c>
      <c r="O1677" t="s">
        <v>29</v>
      </c>
      <c r="P1677" t="s">
        <v>29</v>
      </c>
      <c r="Q1677" t="s">
        <v>29</v>
      </c>
      <c r="R1677" t="s">
        <v>411</v>
      </c>
      <c r="S1677" t="s">
        <v>224</v>
      </c>
      <c r="T1677" t="s">
        <v>817</v>
      </c>
      <c r="U1677" t="s">
        <v>700</v>
      </c>
      <c r="V1677" s="6" t="s">
        <v>694</v>
      </c>
      <c r="W1677" t="s">
        <v>100</v>
      </c>
      <c r="X1677" t="s">
        <v>821</v>
      </c>
      <c r="Y1677" t="s">
        <v>98</v>
      </c>
    </row>
    <row r="1678" spans="2:25" x14ac:dyDescent="0.3">
      <c r="B1678" s="5" t="s">
        <v>69</v>
      </c>
      <c r="C1678" s="5" t="str">
        <f>VLOOKUP(B1678,[1]물질정보!B:C,2,0)</f>
        <v>868-77-9</v>
      </c>
      <c r="D1678" t="str">
        <f>VLOOKUP(B1678,[1]물질정보!B:D,3,0)</f>
        <v>2-hydroxyethyl methacrylate</v>
      </c>
      <c r="E1678" t="str">
        <f>VLOOKUP(B1678,[1]물질정보!B:E,4,0)</f>
        <v>C6H10O3</v>
      </c>
      <c r="F1678" t="str">
        <f>VLOOKUP(B1678,[1]물질정보!B:F,5,0)</f>
        <v>130.139 g/mol</v>
      </c>
      <c r="G1678" s="5" t="str">
        <f>VLOOKUP(B1678,[1]물질정보!B:G,6,0)</f>
        <v>CC(=C)C(=O)OCCO</v>
      </c>
      <c r="H1678" t="s">
        <v>698</v>
      </c>
      <c r="I1678" t="s">
        <v>97</v>
      </c>
      <c r="J1678" t="s">
        <v>98</v>
      </c>
      <c r="K1678" t="s">
        <v>90</v>
      </c>
      <c r="L1678" t="s">
        <v>29</v>
      </c>
      <c r="M1678" t="s">
        <v>100</v>
      </c>
      <c r="N1678" t="s">
        <v>699</v>
      </c>
      <c r="O1678" t="s">
        <v>29</v>
      </c>
      <c r="P1678" t="s">
        <v>29</v>
      </c>
      <c r="Q1678" t="s">
        <v>29</v>
      </c>
      <c r="R1678" t="s">
        <v>411</v>
      </c>
      <c r="S1678" t="s">
        <v>224</v>
      </c>
      <c r="T1678" t="s">
        <v>712</v>
      </c>
      <c r="U1678" t="s">
        <v>700</v>
      </c>
      <c r="V1678" s="6" t="s">
        <v>694</v>
      </c>
      <c r="W1678" t="s">
        <v>100</v>
      </c>
      <c r="X1678" t="s">
        <v>821</v>
      </c>
      <c r="Y1678" t="s">
        <v>98</v>
      </c>
    </row>
    <row r="1679" spans="2:25" x14ac:dyDescent="0.3">
      <c r="B1679" s="5" t="s">
        <v>25</v>
      </c>
      <c r="C1679" s="5" t="str">
        <f>VLOOKUP(B1679,[1]물질정보!B:C,2,0)</f>
        <v>97-88-1</v>
      </c>
      <c r="D1679" t="str">
        <f>VLOOKUP(B1679,[1]물질정보!B:D,3,0)</f>
        <v>butyl methacrylate</v>
      </c>
      <c r="E1679" t="str">
        <f>VLOOKUP(B1679,[1]물질정보!B:E,4,0)</f>
        <v>C8H14O2</v>
      </c>
      <c r="F1679" t="str">
        <f>VLOOKUP(B1679,[1]물질정보!B:F,5,0)</f>
        <v>142.2 g/mol</v>
      </c>
      <c r="G1679" s="5" t="str">
        <f>VLOOKUP(B1679,[1]물질정보!B:G,6,0)</f>
        <v>CCCCOC(=O)C(=C)C</v>
      </c>
      <c r="H1679" t="s">
        <v>698</v>
      </c>
      <c r="I1679" t="s">
        <v>97</v>
      </c>
      <c r="J1679" t="s">
        <v>98</v>
      </c>
      <c r="K1679" t="s">
        <v>90</v>
      </c>
      <c r="L1679" t="s">
        <v>29</v>
      </c>
      <c r="M1679" t="s">
        <v>100</v>
      </c>
      <c r="N1679" t="s">
        <v>699</v>
      </c>
      <c r="O1679" t="s">
        <v>29</v>
      </c>
      <c r="P1679" t="s">
        <v>29</v>
      </c>
      <c r="Q1679" t="s">
        <v>29</v>
      </c>
      <c r="R1679" t="s">
        <v>411</v>
      </c>
      <c r="S1679" t="s">
        <v>224</v>
      </c>
      <c r="T1679" t="s">
        <v>705</v>
      </c>
      <c r="U1679" t="s">
        <v>700</v>
      </c>
      <c r="V1679" s="6" t="s">
        <v>694</v>
      </c>
      <c r="W1679" t="s">
        <v>100</v>
      </c>
      <c r="X1679" t="s">
        <v>821</v>
      </c>
      <c r="Y1679" t="s">
        <v>98</v>
      </c>
    </row>
    <row r="1680" spans="2:25" x14ac:dyDescent="0.3">
      <c r="B1680" s="5" t="s">
        <v>68</v>
      </c>
      <c r="C1680" s="5" t="str">
        <f>VLOOKUP(B1680,[1]물질정보!B:C,2,0)</f>
        <v>997-46-6</v>
      </c>
      <c r="D1680" t="str">
        <f>VLOOKUP(B1680,[1]물질정보!B:D,3,0)</f>
        <v>4-hydroxybutyl methacrylate</v>
      </c>
      <c r="E1680" t="str">
        <f>VLOOKUP(B1680,[1]물질정보!B:E,4,0)</f>
        <v>C8H14O3</v>
      </c>
      <c r="F1680" t="str">
        <f>VLOOKUP(B1680,[1]물질정보!B:F,5,0)</f>
        <v>158.19 g/mol</v>
      </c>
      <c r="G1680" s="5" t="str">
        <f>VLOOKUP(B1680,[1]물질정보!B:G,6,0)</f>
        <v>CC(=C)C(=O)OCCCCO</v>
      </c>
      <c r="H1680" t="s">
        <v>698</v>
      </c>
      <c r="I1680" t="s">
        <v>97</v>
      </c>
      <c r="J1680" t="s">
        <v>98</v>
      </c>
      <c r="K1680" t="s">
        <v>90</v>
      </c>
      <c r="L1680" t="s">
        <v>29</v>
      </c>
      <c r="M1680" t="s">
        <v>100</v>
      </c>
      <c r="N1680" t="s">
        <v>699</v>
      </c>
      <c r="O1680" t="s">
        <v>29</v>
      </c>
      <c r="P1680" t="s">
        <v>29</v>
      </c>
      <c r="Q1680" t="s">
        <v>29</v>
      </c>
      <c r="R1680" t="s">
        <v>411</v>
      </c>
      <c r="S1680" t="s">
        <v>224</v>
      </c>
      <c r="T1680" t="s">
        <v>713</v>
      </c>
      <c r="U1680" t="s">
        <v>700</v>
      </c>
      <c r="V1680" s="6" t="s">
        <v>694</v>
      </c>
      <c r="W1680" t="s">
        <v>100</v>
      </c>
      <c r="X1680" t="s">
        <v>821</v>
      </c>
      <c r="Y1680" t="s">
        <v>98</v>
      </c>
    </row>
    <row r="1681" spans="2:25" x14ac:dyDescent="0.3">
      <c r="B1681" s="5" t="s">
        <v>77</v>
      </c>
      <c r="C1681" s="5" t="str">
        <f>VLOOKUP(B1681,[1]물질정보!B:C,2,0)</f>
        <v>140-88-5</v>
      </c>
      <c r="D1681" t="str">
        <f>VLOOKUP(B1681,[1]물질정보!B:D,3,0)</f>
        <v>ethyl acrylate</v>
      </c>
      <c r="E1681" t="str">
        <f>VLOOKUP(B1681,[1]물질정보!B:E,4,0)</f>
        <v>C5H8O2</v>
      </c>
      <c r="F1681" t="str">
        <f>VLOOKUP(B1681,[1]물질정보!B:F,5,0)</f>
        <v>100.12 g/mol</v>
      </c>
      <c r="G1681" s="5" t="str">
        <f>VLOOKUP(B1681,[1]물질정보!B:G,6,0)</f>
        <v>CCOC(=O)C=C</v>
      </c>
      <c r="H1681" t="s">
        <v>698</v>
      </c>
      <c r="I1681" t="s">
        <v>97</v>
      </c>
      <c r="J1681" t="s">
        <v>98</v>
      </c>
      <c r="K1681" t="s">
        <v>90</v>
      </c>
      <c r="L1681" t="s">
        <v>29</v>
      </c>
      <c r="M1681" t="s">
        <v>100</v>
      </c>
      <c r="N1681" t="s">
        <v>699</v>
      </c>
      <c r="O1681" t="s">
        <v>29</v>
      </c>
      <c r="P1681" t="s">
        <v>29</v>
      </c>
      <c r="Q1681" t="s">
        <v>29</v>
      </c>
      <c r="R1681" t="s">
        <v>411</v>
      </c>
      <c r="S1681" t="s">
        <v>224</v>
      </c>
      <c r="T1681" t="s">
        <v>707</v>
      </c>
      <c r="U1681" t="s">
        <v>700</v>
      </c>
      <c r="V1681" s="6" t="s">
        <v>694</v>
      </c>
      <c r="W1681" t="s">
        <v>100</v>
      </c>
      <c r="X1681" t="s">
        <v>821</v>
      </c>
      <c r="Y1681" t="s">
        <v>98</v>
      </c>
    </row>
    <row r="1682" spans="2:25" x14ac:dyDescent="0.3">
      <c r="B1682" s="5" t="s">
        <v>67</v>
      </c>
      <c r="C1682" s="5" t="str">
        <f>VLOOKUP(B1682,[1]물질정보!B:C,2,0)</f>
        <v>818-61-1</v>
      </c>
      <c r="D1682" t="str">
        <f>VLOOKUP(B1682,[1]물질정보!B:D,3,0)</f>
        <v>2-hydroxyethyl acrylate</v>
      </c>
      <c r="E1682" t="str">
        <f>VLOOKUP(B1682,[1]물질정보!B:E,4,0)</f>
        <v>C5H8O3</v>
      </c>
      <c r="F1682" t="str">
        <f>VLOOKUP(B1682,[1]물질정보!B:F,5,0)</f>
        <v>116.11 g/mol</v>
      </c>
      <c r="G1682" s="5" t="str">
        <f>VLOOKUP(B1682,[1]물질정보!B:G,6,0)</f>
        <v>C=CC(=O)OCCO</v>
      </c>
      <c r="H1682" t="s">
        <v>698</v>
      </c>
      <c r="I1682" t="s">
        <v>97</v>
      </c>
      <c r="J1682" t="s">
        <v>98</v>
      </c>
      <c r="K1682" t="s">
        <v>90</v>
      </c>
      <c r="L1682" t="s">
        <v>29</v>
      </c>
      <c r="M1682" t="s">
        <v>100</v>
      </c>
      <c r="N1682" t="s">
        <v>699</v>
      </c>
      <c r="O1682" t="s">
        <v>29</v>
      </c>
      <c r="P1682" t="s">
        <v>29</v>
      </c>
      <c r="Q1682" t="s">
        <v>29</v>
      </c>
      <c r="R1682" t="s">
        <v>411</v>
      </c>
      <c r="S1682" t="s">
        <v>224</v>
      </c>
      <c r="T1682" t="s">
        <v>707</v>
      </c>
      <c r="U1682" t="s">
        <v>700</v>
      </c>
      <c r="V1682" s="6" t="s">
        <v>694</v>
      </c>
      <c r="W1682" t="s">
        <v>100</v>
      </c>
      <c r="X1682" t="s">
        <v>821</v>
      </c>
      <c r="Y1682" t="s">
        <v>98</v>
      </c>
    </row>
    <row r="1683" spans="2:25" x14ac:dyDescent="0.3">
      <c r="B1683" s="5" t="s">
        <v>65</v>
      </c>
      <c r="C1683" s="5" t="str">
        <f>VLOOKUP(B1683,[1]물질정보!B:C,2,0)</f>
        <v>141-32-2</v>
      </c>
      <c r="D1683" t="str">
        <f>VLOOKUP(B1683,[1]물질정보!B:D,3,0)</f>
        <v>butyl acrylate</v>
      </c>
      <c r="E1683" t="str">
        <f>VLOOKUP(B1683,[1]물질정보!B:E,4,0)</f>
        <v>C7H12O2</v>
      </c>
      <c r="F1683" t="str">
        <f>VLOOKUP(B1683,[1]물질정보!B:F,5,0)</f>
        <v>128.169 g/mol</v>
      </c>
      <c r="G1683" s="5" t="str">
        <f>VLOOKUP(B1683,[1]물질정보!B:G,6,0)</f>
        <v>CCCCOC(=O)C=C</v>
      </c>
      <c r="H1683" t="s">
        <v>698</v>
      </c>
      <c r="I1683" t="s">
        <v>97</v>
      </c>
      <c r="J1683" t="s">
        <v>98</v>
      </c>
      <c r="K1683" t="s">
        <v>90</v>
      </c>
      <c r="L1683" t="s">
        <v>29</v>
      </c>
      <c r="M1683" t="s">
        <v>100</v>
      </c>
      <c r="N1683" t="s">
        <v>699</v>
      </c>
      <c r="O1683" t="s">
        <v>29</v>
      </c>
      <c r="P1683" t="s">
        <v>29</v>
      </c>
      <c r="Q1683" t="s">
        <v>29</v>
      </c>
      <c r="R1683" t="s">
        <v>411</v>
      </c>
      <c r="S1683" t="s">
        <v>224</v>
      </c>
      <c r="T1683" t="s">
        <v>714</v>
      </c>
      <c r="U1683" t="s">
        <v>700</v>
      </c>
      <c r="V1683" s="6" t="s">
        <v>694</v>
      </c>
      <c r="W1683" t="s">
        <v>100</v>
      </c>
      <c r="X1683" t="s">
        <v>821</v>
      </c>
      <c r="Y1683" t="s">
        <v>98</v>
      </c>
    </row>
    <row r="1684" spans="2:25" x14ac:dyDescent="0.3">
      <c r="B1684" s="5" t="s">
        <v>64</v>
      </c>
      <c r="C1684" s="5" t="str">
        <f>VLOOKUP(B1684,[1]물질정보!B:C,2,0)</f>
        <v>2478-10-6</v>
      </c>
      <c r="D1684" t="str">
        <f>VLOOKUP(B1684,[1]물질정보!B:D,3,0)</f>
        <v>4-hydroxybutyl acrylate</v>
      </c>
      <c r="E1684" t="str">
        <f>VLOOKUP(B1684,[1]물질정보!B:E,4,0)</f>
        <v>C7H12O3</v>
      </c>
      <c r="F1684" t="str">
        <f>VLOOKUP(B1684,[1]물질정보!B:F,5,0)</f>
        <v>144.17 g/mol</v>
      </c>
      <c r="G1684" s="5" t="str">
        <f>VLOOKUP(B1684,[1]물질정보!B:G,6,0)</f>
        <v>C=CC(=O)OCCCCO</v>
      </c>
      <c r="H1684" t="s">
        <v>698</v>
      </c>
      <c r="I1684" t="s">
        <v>97</v>
      </c>
      <c r="J1684" t="s">
        <v>98</v>
      </c>
      <c r="K1684" t="s">
        <v>90</v>
      </c>
      <c r="L1684" t="s">
        <v>29</v>
      </c>
      <c r="M1684" t="s">
        <v>100</v>
      </c>
      <c r="N1684" t="s">
        <v>699</v>
      </c>
      <c r="O1684" t="s">
        <v>29</v>
      </c>
      <c r="P1684" t="s">
        <v>29</v>
      </c>
      <c r="Q1684" t="s">
        <v>29</v>
      </c>
      <c r="R1684" t="s">
        <v>411</v>
      </c>
      <c r="S1684" t="s">
        <v>224</v>
      </c>
      <c r="T1684" t="s">
        <v>715</v>
      </c>
      <c r="U1684" t="s">
        <v>700</v>
      </c>
      <c r="V1684" s="6" t="s">
        <v>694</v>
      </c>
      <c r="W1684" t="s">
        <v>100</v>
      </c>
      <c r="X1684" t="s">
        <v>821</v>
      </c>
      <c r="Y1684" t="s">
        <v>98</v>
      </c>
    </row>
    <row r="1685" spans="2:25" x14ac:dyDescent="0.3">
      <c r="B1685" s="5" t="s">
        <v>59</v>
      </c>
      <c r="C1685" s="5" t="str">
        <f>VLOOKUP(B1685,[1]물질정보!B:C,2,0)</f>
        <v>2499-95-8</v>
      </c>
      <c r="D1685" t="str">
        <f>VLOOKUP(B1685,[1]물질정보!B:D,3,0)</f>
        <v>hexyl acrylate</v>
      </c>
      <c r="E1685" t="str">
        <f>VLOOKUP(B1685,[1]물질정보!B:E,4,0)</f>
        <v>C9H16O2</v>
      </c>
      <c r="F1685" t="str">
        <f>VLOOKUP(B1685,[1]물질정보!B:F,5,0)</f>
        <v>156.22 g/mol</v>
      </c>
      <c r="G1685" s="5" t="str">
        <f>VLOOKUP(B1685,[1]물질정보!B:G,6,0)</f>
        <v>CCCCCCOC(=O)C=C</v>
      </c>
      <c r="H1685" t="s">
        <v>698</v>
      </c>
      <c r="I1685" t="s">
        <v>97</v>
      </c>
      <c r="J1685" t="s">
        <v>98</v>
      </c>
      <c r="K1685" t="s">
        <v>90</v>
      </c>
      <c r="L1685" t="s">
        <v>29</v>
      </c>
      <c r="M1685" t="s">
        <v>100</v>
      </c>
      <c r="N1685" t="s">
        <v>699</v>
      </c>
      <c r="O1685" t="s">
        <v>29</v>
      </c>
      <c r="P1685" t="s">
        <v>29</v>
      </c>
      <c r="Q1685" t="s">
        <v>29</v>
      </c>
      <c r="R1685" t="s">
        <v>411</v>
      </c>
      <c r="S1685" t="s">
        <v>224</v>
      </c>
      <c r="T1685" t="s">
        <v>716</v>
      </c>
      <c r="U1685" t="s">
        <v>700</v>
      </c>
      <c r="V1685" s="6" t="s">
        <v>694</v>
      </c>
      <c r="W1685" t="s">
        <v>100</v>
      </c>
      <c r="X1685" t="s">
        <v>821</v>
      </c>
      <c r="Y1685" t="s">
        <v>98</v>
      </c>
    </row>
    <row r="1686" spans="2:25" x14ac:dyDescent="0.3">
      <c r="B1686" s="5" t="s">
        <v>70</v>
      </c>
      <c r="C1686" s="5" t="str">
        <f>VLOOKUP(B1686,[1]물질정보!B:C,2,0)</f>
        <v>10095-14-4</v>
      </c>
      <c r="D1686" t="str">
        <f>VLOOKUP(B1686,[1]물질정보!B:D,3,0)</f>
        <v>6-hydroxybutyl acrylate</v>
      </c>
      <c r="E1686" t="str">
        <f>VLOOKUP(B1686,[1]물질정보!B:E,4,0)</f>
        <v>C9H16O3</v>
      </c>
      <c r="F1686" t="str">
        <f>VLOOKUP(B1686,[1]물질정보!B:F,5,0)</f>
        <v>172.22 g/mol</v>
      </c>
      <c r="G1686" s="5" t="str">
        <f>VLOOKUP(B1686,[1]물질정보!B:G,6,0)</f>
        <v>C=CC(=O)OCCCCCCO</v>
      </c>
      <c r="H1686" t="s">
        <v>698</v>
      </c>
      <c r="I1686" t="s">
        <v>97</v>
      </c>
      <c r="J1686" t="s">
        <v>98</v>
      </c>
      <c r="K1686" t="s">
        <v>90</v>
      </c>
      <c r="L1686" t="s">
        <v>29</v>
      </c>
      <c r="M1686" t="s">
        <v>100</v>
      </c>
      <c r="N1686" t="s">
        <v>699</v>
      </c>
      <c r="O1686" t="s">
        <v>29</v>
      </c>
      <c r="P1686" t="s">
        <v>29</v>
      </c>
      <c r="Q1686" t="s">
        <v>29</v>
      </c>
      <c r="R1686" t="s">
        <v>411</v>
      </c>
      <c r="S1686" t="s">
        <v>224</v>
      </c>
      <c r="T1686" t="s">
        <v>717</v>
      </c>
      <c r="U1686" t="s">
        <v>700</v>
      </c>
      <c r="V1686" s="6" t="s">
        <v>694</v>
      </c>
      <c r="W1686" t="s">
        <v>100</v>
      </c>
      <c r="X1686" t="s">
        <v>821</v>
      </c>
      <c r="Y1686" t="s">
        <v>98</v>
      </c>
    </row>
    <row r="1687" spans="2:25" x14ac:dyDescent="0.3">
      <c r="B1687" s="5" t="s">
        <v>78</v>
      </c>
      <c r="C1687" s="5" t="str">
        <f>VLOOKUP(B1687,[1]물질정보!B:C,2,0)</f>
        <v>-</v>
      </c>
      <c r="D1687" t="str">
        <f>VLOOKUP(B1687,[1]물질정보!B:D,3,0)</f>
        <v xml:space="preserve">9-(9H-Carbazol-9-yl)-7H-benzo[c]carbazole </v>
      </c>
      <c r="E1687" t="str">
        <f>VLOOKUP(B1687,[1]물질정보!B:E,4,0)</f>
        <v>C28H18N2</v>
      </c>
      <c r="F1687" t="str">
        <f>VLOOKUP(B1687,[1]물질정보!B:F,5,0)</f>
        <v>382.5 g/mol</v>
      </c>
      <c r="G1687" s="5" t="str">
        <f>VLOOKUP(B1687,[1]물질정보!B:G,6,0)</f>
        <v>C1=CC=C2C(=C1)C=CC3=C2C4=C(N3)C=C(C=C4)N5C6=CC=CC=C6C7=CC=CC=C75</v>
      </c>
      <c r="H1687" t="s">
        <v>690</v>
      </c>
      <c r="I1687" t="s">
        <v>45</v>
      </c>
      <c r="J1687" t="s">
        <v>28</v>
      </c>
      <c r="K1687">
        <v>5.0199999999999996</v>
      </c>
      <c r="L1687" t="s">
        <v>39</v>
      </c>
      <c r="M1687" t="s">
        <v>47</v>
      </c>
      <c r="N1687" t="s">
        <v>29</v>
      </c>
      <c r="O1687" t="s">
        <v>29</v>
      </c>
      <c r="P1687">
        <v>48</v>
      </c>
      <c r="Q1687" t="s">
        <v>31</v>
      </c>
      <c r="R1687" t="s">
        <v>695</v>
      </c>
      <c r="S1687" t="s">
        <v>273</v>
      </c>
      <c r="T1687" t="s">
        <v>718</v>
      </c>
      <c r="U1687" t="s">
        <v>701</v>
      </c>
      <c r="V1687" s="6" t="s">
        <v>694</v>
      </c>
      <c r="W1687" t="s">
        <v>47</v>
      </c>
      <c r="X1687" t="s">
        <v>822</v>
      </c>
      <c r="Y1687" t="s">
        <v>28</v>
      </c>
    </row>
    <row r="1688" spans="2:25" x14ac:dyDescent="0.3">
      <c r="B1688" s="5" t="s">
        <v>359</v>
      </c>
      <c r="C1688" s="5" t="str">
        <f>VLOOKUP(B1688,[1]물질정보!B:C,2,0)</f>
        <v>205-25-4</v>
      </c>
      <c r="D1688" t="str">
        <f>VLOOKUP(B1688,[1]물질정보!B:D,3,0)</f>
        <v xml:space="preserve">7H-Benzo[c]carbazole </v>
      </c>
      <c r="E1688" t="str">
        <f>VLOOKUP(B1688,[1]물질정보!B:E,4,0)</f>
        <v>C16H11N</v>
      </c>
      <c r="F1688" t="str">
        <f>VLOOKUP(B1688,[1]물질정보!B:F,5,0)</f>
        <v>217.26 g/mol</v>
      </c>
      <c r="G1688" s="5" t="str">
        <f>VLOOKUP(B1688,[1]물질정보!B:G,6,0)</f>
        <v>C1=CC=C2C(=C1)C=CC3=C2C4=CC=CC=C4N3</v>
      </c>
      <c r="H1688" t="s">
        <v>690</v>
      </c>
      <c r="I1688" t="s">
        <v>45</v>
      </c>
      <c r="J1688" t="s">
        <v>28</v>
      </c>
      <c r="K1688">
        <v>0.25019999999999998</v>
      </c>
      <c r="L1688" t="s">
        <v>39</v>
      </c>
      <c r="M1688" t="s">
        <v>47</v>
      </c>
      <c r="N1688" t="s">
        <v>29</v>
      </c>
      <c r="O1688" t="s">
        <v>29</v>
      </c>
      <c r="P1688">
        <v>48</v>
      </c>
      <c r="Q1688" t="s">
        <v>31</v>
      </c>
      <c r="R1688" t="s">
        <v>695</v>
      </c>
      <c r="S1688" t="s">
        <v>273</v>
      </c>
      <c r="T1688" t="s">
        <v>703</v>
      </c>
      <c r="U1688" t="s">
        <v>701</v>
      </c>
      <c r="V1688" s="6" t="s">
        <v>694</v>
      </c>
      <c r="W1688" t="s">
        <v>47</v>
      </c>
      <c r="X1688" t="s">
        <v>822</v>
      </c>
      <c r="Y1688" t="s">
        <v>28</v>
      </c>
    </row>
    <row r="1689" spans="2:25" x14ac:dyDescent="0.3">
      <c r="B1689" s="5" t="s">
        <v>503</v>
      </c>
      <c r="C1689" s="5" t="str">
        <f>VLOOKUP(B1689,[1]물질정보!B:C,2,0)</f>
        <v>97-63-2</v>
      </c>
      <c r="D1689" t="str">
        <f>VLOOKUP(B1689,[1]물질정보!B:D,3,0)</f>
        <v>ethyl methacrylate</v>
      </c>
      <c r="E1689" t="str">
        <f>VLOOKUP(B1689,[1]물질정보!B:E,4,0)</f>
        <v>C6H10O2</v>
      </c>
      <c r="F1689" t="str">
        <f>VLOOKUP(B1689,[1]물질정보!B:F,5,0)</f>
        <v>114.14 g/mol</v>
      </c>
      <c r="G1689" s="5" t="str">
        <f>VLOOKUP(B1689,[1]물질정보!B:G,6,0)</f>
        <v>CCOC(=O)C(=C)C</v>
      </c>
      <c r="H1689" t="s">
        <v>690</v>
      </c>
      <c r="I1689" t="s">
        <v>45</v>
      </c>
      <c r="J1689" t="s">
        <v>28</v>
      </c>
      <c r="K1689">
        <v>44.11</v>
      </c>
      <c r="L1689" t="s">
        <v>39</v>
      </c>
      <c r="M1689" t="s">
        <v>47</v>
      </c>
      <c r="N1689" t="s">
        <v>29</v>
      </c>
      <c r="O1689" t="s">
        <v>29</v>
      </c>
      <c r="P1689">
        <v>48</v>
      </c>
      <c r="Q1689" t="s">
        <v>31</v>
      </c>
      <c r="R1689" t="s">
        <v>695</v>
      </c>
      <c r="S1689" t="s">
        <v>273</v>
      </c>
      <c r="T1689" t="s">
        <v>719</v>
      </c>
      <c r="U1689" t="s">
        <v>701</v>
      </c>
      <c r="V1689" s="6" t="s">
        <v>694</v>
      </c>
      <c r="W1689" t="s">
        <v>47</v>
      </c>
      <c r="X1689" t="s">
        <v>822</v>
      </c>
      <c r="Y1689" t="s">
        <v>28</v>
      </c>
    </row>
    <row r="1690" spans="2:25" x14ac:dyDescent="0.3">
      <c r="B1690" s="5" t="s">
        <v>69</v>
      </c>
      <c r="C1690" s="5" t="str">
        <f>VLOOKUP(B1690,[1]물질정보!B:C,2,0)</f>
        <v>868-77-9</v>
      </c>
      <c r="D1690" t="str">
        <f>VLOOKUP(B1690,[1]물질정보!B:D,3,0)</f>
        <v>2-hydroxyethyl methacrylate</v>
      </c>
      <c r="E1690" t="str">
        <f>VLOOKUP(B1690,[1]물질정보!B:E,4,0)</f>
        <v>C6H10O3</v>
      </c>
      <c r="F1690" t="str">
        <f>VLOOKUP(B1690,[1]물질정보!B:F,5,0)</f>
        <v>130.139 g/mol</v>
      </c>
      <c r="G1690" s="5" t="str">
        <f>VLOOKUP(B1690,[1]물질정보!B:G,6,0)</f>
        <v>CC(=C)C(=O)OCCO</v>
      </c>
      <c r="H1690" t="s">
        <v>690</v>
      </c>
      <c r="I1690" t="s">
        <v>45</v>
      </c>
      <c r="J1690" t="s">
        <v>28</v>
      </c>
      <c r="K1690">
        <v>41.06</v>
      </c>
      <c r="L1690" t="s">
        <v>39</v>
      </c>
      <c r="M1690" t="s">
        <v>47</v>
      </c>
      <c r="N1690" t="s">
        <v>29</v>
      </c>
      <c r="O1690" t="s">
        <v>29</v>
      </c>
      <c r="P1690">
        <v>48</v>
      </c>
      <c r="Q1690" t="s">
        <v>31</v>
      </c>
      <c r="R1690" t="s">
        <v>695</v>
      </c>
      <c r="S1690" t="s">
        <v>273</v>
      </c>
      <c r="T1690" t="s">
        <v>720</v>
      </c>
      <c r="U1690" t="s">
        <v>701</v>
      </c>
      <c r="V1690" s="6" t="s">
        <v>694</v>
      </c>
      <c r="W1690" t="s">
        <v>47</v>
      </c>
      <c r="X1690" t="s">
        <v>822</v>
      </c>
      <c r="Y1690" t="s">
        <v>28</v>
      </c>
    </row>
    <row r="1691" spans="2:25" x14ac:dyDescent="0.3">
      <c r="B1691" s="5" t="s">
        <v>25</v>
      </c>
      <c r="C1691" s="5" t="str">
        <f>VLOOKUP(B1691,[1]물질정보!B:C,2,0)</f>
        <v>97-88-1</v>
      </c>
      <c r="D1691" t="str">
        <f>VLOOKUP(B1691,[1]물질정보!B:D,3,0)</f>
        <v>butyl methacrylate</v>
      </c>
      <c r="E1691" t="str">
        <f>VLOOKUP(B1691,[1]물질정보!B:E,4,0)</f>
        <v>C8H14O2</v>
      </c>
      <c r="F1691" t="str">
        <f>VLOOKUP(B1691,[1]물질정보!B:F,5,0)</f>
        <v>142.2 g/mol</v>
      </c>
      <c r="G1691" s="5" t="str">
        <f>VLOOKUP(B1691,[1]물질정보!B:G,6,0)</f>
        <v>CCCCOC(=O)C(=C)C</v>
      </c>
      <c r="H1691" t="s">
        <v>690</v>
      </c>
      <c r="I1691" t="s">
        <v>45</v>
      </c>
      <c r="J1691" t="s">
        <v>28</v>
      </c>
      <c r="K1691">
        <v>24.91</v>
      </c>
      <c r="L1691" t="s">
        <v>39</v>
      </c>
      <c r="M1691" t="s">
        <v>47</v>
      </c>
      <c r="N1691" t="s">
        <v>29</v>
      </c>
      <c r="O1691" t="s">
        <v>29</v>
      </c>
      <c r="P1691">
        <v>48</v>
      </c>
      <c r="Q1691" t="s">
        <v>31</v>
      </c>
      <c r="R1691" t="s">
        <v>695</v>
      </c>
      <c r="S1691" t="s">
        <v>273</v>
      </c>
      <c r="T1691" t="s">
        <v>721</v>
      </c>
      <c r="U1691" t="s">
        <v>701</v>
      </c>
      <c r="V1691" s="6" t="s">
        <v>694</v>
      </c>
      <c r="W1691" t="s">
        <v>47</v>
      </c>
      <c r="X1691" t="s">
        <v>822</v>
      </c>
      <c r="Y1691" t="s">
        <v>28</v>
      </c>
    </row>
    <row r="1692" spans="2:25" x14ac:dyDescent="0.3">
      <c r="B1692" s="5" t="s">
        <v>68</v>
      </c>
      <c r="C1692" s="5" t="str">
        <f>VLOOKUP(B1692,[1]물질정보!B:C,2,0)</f>
        <v>997-46-6</v>
      </c>
      <c r="D1692" t="str">
        <f>VLOOKUP(B1692,[1]물질정보!B:D,3,0)</f>
        <v>4-hydroxybutyl methacrylate</v>
      </c>
      <c r="E1692" t="str">
        <f>VLOOKUP(B1692,[1]물질정보!B:E,4,0)</f>
        <v>C8H14O3</v>
      </c>
      <c r="F1692" t="str">
        <f>VLOOKUP(B1692,[1]물질정보!B:F,5,0)</f>
        <v>158.19 g/mol</v>
      </c>
      <c r="G1692" s="5" t="str">
        <f>VLOOKUP(B1692,[1]물질정보!B:G,6,0)</f>
        <v>CC(=C)C(=O)OCCCCO</v>
      </c>
      <c r="H1692" t="s">
        <v>690</v>
      </c>
      <c r="I1692" t="s">
        <v>45</v>
      </c>
      <c r="J1692" t="s">
        <v>28</v>
      </c>
      <c r="K1692">
        <v>22.63</v>
      </c>
      <c r="L1692" t="s">
        <v>39</v>
      </c>
      <c r="M1692" t="s">
        <v>47</v>
      </c>
      <c r="N1692" t="s">
        <v>29</v>
      </c>
      <c r="O1692" t="s">
        <v>29</v>
      </c>
      <c r="P1692">
        <v>48</v>
      </c>
      <c r="Q1692" t="s">
        <v>31</v>
      </c>
      <c r="R1692" t="s">
        <v>695</v>
      </c>
      <c r="S1692" t="s">
        <v>273</v>
      </c>
      <c r="T1692" t="s">
        <v>722</v>
      </c>
      <c r="U1692" t="s">
        <v>701</v>
      </c>
      <c r="V1692" s="6" t="s">
        <v>694</v>
      </c>
      <c r="W1692" t="s">
        <v>47</v>
      </c>
      <c r="X1692" t="s">
        <v>822</v>
      </c>
      <c r="Y1692" t="s">
        <v>28</v>
      </c>
    </row>
    <row r="1693" spans="2:25" x14ac:dyDescent="0.3">
      <c r="B1693" s="5" t="s">
        <v>77</v>
      </c>
      <c r="C1693" s="5" t="str">
        <f>VLOOKUP(B1693,[1]물질정보!B:C,2,0)</f>
        <v>140-88-5</v>
      </c>
      <c r="D1693" t="str">
        <f>VLOOKUP(B1693,[1]물질정보!B:D,3,0)</f>
        <v>ethyl acrylate</v>
      </c>
      <c r="E1693" t="str">
        <f>VLOOKUP(B1693,[1]물질정보!B:E,4,0)</f>
        <v>C5H8O2</v>
      </c>
      <c r="F1693" t="str">
        <f>VLOOKUP(B1693,[1]물질정보!B:F,5,0)</f>
        <v>100.12 g/mol</v>
      </c>
      <c r="G1693" s="5" t="str">
        <f>VLOOKUP(B1693,[1]물질정보!B:G,6,0)</f>
        <v>CCOC(=O)C=C</v>
      </c>
      <c r="H1693" t="s">
        <v>690</v>
      </c>
      <c r="I1693" t="s">
        <v>45</v>
      </c>
      <c r="J1693" t="s">
        <v>28</v>
      </c>
      <c r="K1693">
        <v>29.68</v>
      </c>
      <c r="L1693" t="s">
        <v>39</v>
      </c>
      <c r="M1693" t="s">
        <v>47</v>
      </c>
      <c r="N1693" t="s">
        <v>29</v>
      </c>
      <c r="O1693" t="s">
        <v>29</v>
      </c>
      <c r="P1693">
        <v>48</v>
      </c>
      <c r="Q1693" t="s">
        <v>31</v>
      </c>
      <c r="R1693" t="s">
        <v>695</v>
      </c>
      <c r="S1693" t="s">
        <v>273</v>
      </c>
      <c r="T1693" t="s">
        <v>723</v>
      </c>
      <c r="U1693" t="s">
        <v>743</v>
      </c>
      <c r="V1693" s="6" t="s">
        <v>694</v>
      </c>
      <c r="W1693" t="s">
        <v>47</v>
      </c>
      <c r="X1693" t="s">
        <v>822</v>
      </c>
      <c r="Y1693" t="s">
        <v>28</v>
      </c>
    </row>
    <row r="1694" spans="2:25" x14ac:dyDescent="0.3">
      <c r="B1694" s="5" t="s">
        <v>67</v>
      </c>
      <c r="C1694" s="5" t="str">
        <f>VLOOKUP(B1694,[1]물질정보!B:C,2,0)</f>
        <v>818-61-1</v>
      </c>
      <c r="D1694" t="str">
        <f>VLOOKUP(B1694,[1]물질정보!B:D,3,0)</f>
        <v>2-hydroxyethyl acrylate</v>
      </c>
      <c r="E1694" t="str">
        <f>VLOOKUP(B1694,[1]물질정보!B:E,4,0)</f>
        <v>C5H8O3</v>
      </c>
      <c r="F1694" t="str">
        <f>VLOOKUP(B1694,[1]물질정보!B:F,5,0)</f>
        <v>116.11 g/mol</v>
      </c>
      <c r="G1694" s="5" t="str">
        <f>VLOOKUP(B1694,[1]물질정보!B:G,6,0)</f>
        <v>C=CC(=O)OCCO</v>
      </c>
      <c r="H1694" t="s">
        <v>690</v>
      </c>
      <c r="I1694" t="s">
        <v>45</v>
      </c>
      <c r="J1694" t="s">
        <v>28</v>
      </c>
      <c r="K1694">
        <v>28.1</v>
      </c>
      <c r="L1694" t="s">
        <v>39</v>
      </c>
      <c r="M1694" t="s">
        <v>47</v>
      </c>
      <c r="N1694" t="s">
        <v>29</v>
      </c>
      <c r="O1694" t="s">
        <v>29</v>
      </c>
      <c r="P1694">
        <v>48</v>
      </c>
      <c r="Q1694" t="s">
        <v>31</v>
      </c>
      <c r="R1694" t="s">
        <v>695</v>
      </c>
      <c r="S1694" t="s">
        <v>273</v>
      </c>
      <c r="T1694" t="s">
        <v>724</v>
      </c>
      <c r="U1694" t="s">
        <v>701</v>
      </c>
      <c r="V1694" s="6" t="s">
        <v>694</v>
      </c>
      <c r="W1694" t="s">
        <v>47</v>
      </c>
      <c r="X1694" t="s">
        <v>822</v>
      </c>
      <c r="Y1694" t="s">
        <v>28</v>
      </c>
    </row>
    <row r="1695" spans="2:25" x14ac:dyDescent="0.3">
      <c r="B1695" s="5" t="s">
        <v>65</v>
      </c>
      <c r="C1695" s="5" t="str">
        <f>VLOOKUP(B1695,[1]물질정보!B:C,2,0)</f>
        <v>141-32-2</v>
      </c>
      <c r="D1695" t="str">
        <f>VLOOKUP(B1695,[1]물질정보!B:D,3,0)</f>
        <v>butyl acrylate</v>
      </c>
      <c r="E1695" t="str">
        <f>VLOOKUP(B1695,[1]물질정보!B:E,4,0)</f>
        <v>C7H12O2</v>
      </c>
      <c r="F1695" t="str">
        <f>VLOOKUP(B1695,[1]물질정보!B:F,5,0)</f>
        <v>128.169 g/mol</v>
      </c>
      <c r="G1695" s="5" t="str">
        <f>VLOOKUP(B1695,[1]물질정보!B:G,6,0)</f>
        <v>CCCCOC(=O)C=C</v>
      </c>
      <c r="H1695" t="s">
        <v>690</v>
      </c>
      <c r="I1695" t="s">
        <v>45</v>
      </c>
      <c r="J1695" t="s">
        <v>28</v>
      </c>
      <c r="K1695">
        <v>17.23</v>
      </c>
      <c r="L1695" t="s">
        <v>39</v>
      </c>
      <c r="M1695" t="s">
        <v>47</v>
      </c>
      <c r="N1695" t="s">
        <v>29</v>
      </c>
      <c r="O1695" t="s">
        <v>29</v>
      </c>
      <c r="P1695">
        <v>48</v>
      </c>
      <c r="Q1695" t="s">
        <v>31</v>
      </c>
      <c r="R1695" t="s">
        <v>695</v>
      </c>
      <c r="S1695" t="s">
        <v>273</v>
      </c>
      <c r="T1695" t="s">
        <v>725</v>
      </c>
      <c r="U1695" t="s">
        <v>701</v>
      </c>
      <c r="V1695" s="6" t="s">
        <v>694</v>
      </c>
      <c r="W1695" t="s">
        <v>47</v>
      </c>
      <c r="X1695" t="s">
        <v>822</v>
      </c>
      <c r="Y1695" t="s">
        <v>28</v>
      </c>
    </row>
    <row r="1696" spans="2:25" x14ac:dyDescent="0.3">
      <c r="B1696" s="5" t="s">
        <v>64</v>
      </c>
      <c r="C1696" s="5" t="str">
        <f>VLOOKUP(B1696,[1]물질정보!B:C,2,0)</f>
        <v>2478-10-6</v>
      </c>
      <c r="D1696" t="str">
        <f>VLOOKUP(B1696,[1]물질정보!B:D,3,0)</f>
        <v>4-hydroxybutyl acrylate</v>
      </c>
      <c r="E1696" t="str">
        <f>VLOOKUP(B1696,[1]물질정보!B:E,4,0)</f>
        <v>C7H12O3</v>
      </c>
      <c r="F1696" t="str">
        <f>VLOOKUP(B1696,[1]물질정보!B:F,5,0)</f>
        <v>144.17 g/mol</v>
      </c>
      <c r="G1696" s="5" t="str">
        <f>VLOOKUP(B1696,[1]물질정보!B:G,6,0)</f>
        <v>C=CC(=O)OCCCCO</v>
      </c>
      <c r="H1696" t="s">
        <v>690</v>
      </c>
      <c r="I1696" t="s">
        <v>45</v>
      </c>
      <c r="J1696" t="s">
        <v>28</v>
      </c>
      <c r="K1696">
        <v>15.82</v>
      </c>
      <c r="L1696" t="s">
        <v>39</v>
      </c>
      <c r="M1696" t="s">
        <v>47</v>
      </c>
      <c r="N1696" t="s">
        <v>29</v>
      </c>
      <c r="O1696" t="s">
        <v>29</v>
      </c>
      <c r="P1696">
        <v>48</v>
      </c>
      <c r="Q1696" t="s">
        <v>31</v>
      </c>
      <c r="R1696" t="s">
        <v>695</v>
      </c>
      <c r="S1696" t="s">
        <v>273</v>
      </c>
      <c r="T1696" t="s">
        <v>726</v>
      </c>
      <c r="U1696" t="s">
        <v>701</v>
      </c>
      <c r="V1696" s="6" t="s">
        <v>694</v>
      </c>
      <c r="W1696" t="s">
        <v>47</v>
      </c>
      <c r="X1696" t="s">
        <v>822</v>
      </c>
      <c r="Y1696" t="s">
        <v>28</v>
      </c>
    </row>
    <row r="1697" spans="2:25" x14ac:dyDescent="0.3">
      <c r="B1697" s="5" t="s">
        <v>59</v>
      </c>
      <c r="C1697" s="5" t="str">
        <f>VLOOKUP(B1697,[1]물질정보!B:C,2,0)</f>
        <v>2499-95-8</v>
      </c>
      <c r="D1697" t="str">
        <f>VLOOKUP(B1697,[1]물질정보!B:D,3,0)</f>
        <v>hexyl acrylate</v>
      </c>
      <c r="E1697" t="str">
        <f>VLOOKUP(B1697,[1]물질정보!B:E,4,0)</f>
        <v>C9H16O2</v>
      </c>
      <c r="F1697" t="str">
        <f>VLOOKUP(B1697,[1]물질정보!B:F,5,0)</f>
        <v>156.22 g/mol</v>
      </c>
      <c r="G1697" s="5" t="str">
        <f>VLOOKUP(B1697,[1]물질정보!B:G,6,0)</f>
        <v>CCCCCCOC(=O)C=C</v>
      </c>
      <c r="H1697" t="s">
        <v>690</v>
      </c>
      <c r="I1697" t="s">
        <v>45</v>
      </c>
      <c r="J1697" t="s">
        <v>28</v>
      </c>
      <c r="K1697">
        <v>9.52</v>
      </c>
      <c r="L1697" t="s">
        <v>39</v>
      </c>
      <c r="M1697" t="s">
        <v>47</v>
      </c>
      <c r="N1697" t="s">
        <v>29</v>
      </c>
      <c r="O1697" t="s">
        <v>29</v>
      </c>
      <c r="P1697">
        <v>48</v>
      </c>
      <c r="Q1697" t="s">
        <v>31</v>
      </c>
      <c r="R1697" t="s">
        <v>695</v>
      </c>
      <c r="S1697" t="s">
        <v>273</v>
      </c>
      <c r="T1697" t="s">
        <v>727</v>
      </c>
      <c r="U1697" t="s">
        <v>701</v>
      </c>
      <c r="V1697" s="6" t="s">
        <v>694</v>
      </c>
      <c r="W1697" t="s">
        <v>47</v>
      </c>
      <c r="X1697" t="s">
        <v>822</v>
      </c>
      <c r="Y1697" t="s">
        <v>28</v>
      </c>
    </row>
    <row r="1698" spans="2:25" x14ac:dyDescent="0.3">
      <c r="B1698" s="5" t="s">
        <v>70</v>
      </c>
      <c r="C1698" s="5" t="str">
        <f>VLOOKUP(B1698,[1]물질정보!B:C,2,0)</f>
        <v>10095-14-4</v>
      </c>
      <c r="D1698" t="str">
        <f>VLOOKUP(B1698,[1]물질정보!B:D,3,0)</f>
        <v>6-hydroxybutyl acrylate</v>
      </c>
      <c r="E1698" t="str">
        <f>VLOOKUP(B1698,[1]물질정보!B:E,4,0)</f>
        <v>C9H16O3</v>
      </c>
      <c r="F1698" t="str">
        <f>VLOOKUP(B1698,[1]물질정보!B:F,5,0)</f>
        <v>172.22 g/mol</v>
      </c>
      <c r="G1698" s="5" t="str">
        <f>VLOOKUP(B1698,[1]물질정보!B:G,6,0)</f>
        <v>C=CC(=O)OCCCCCCO</v>
      </c>
      <c r="H1698" t="s">
        <v>690</v>
      </c>
      <c r="I1698" t="s">
        <v>45</v>
      </c>
      <c r="J1698" t="s">
        <v>28</v>
      </c>
      <c r="K1698">
        <v>8.57</v>
      </c>
      <c r="L1698" t="s">
        <v>39</v>
      </c>
      <c r="M1698" t="s">
        <v>47</v>
      </c>
      <c r="N1698" t="s">
        <v>29</v>
      </c>
      <c r="O1698" t="s">
        <v>29</v>
      </c>
      <c r="P1698">
        <v>48</v>
      </c>
      <c r="Q1698" t="s">
        <v>31</v>
      </c>
      <c r="R1698" t="s">
        <v>695</v>
      </c>
      <c r="S1698" t="s">
        <v>273</v>
      </c>
      <c r="T1698" t="s">
        <v>728</v>
      </c>
      <c r="U1698" t="s">
        <v>701</v>
      </c>
      <c r="V1698" s="6" t="s">
        <v>694</v>
      </c>
      <c r="W1698" t="s">
        <v>47</v>
      </c>
      <c r="X1698" t="s">
        <v>822</v>
      </c>
      <c r="Y1698" t="s">
        <v>28</v>
      </c>
    </row>
    <row r="1699" spans="2:25" x14ac:dyDescent="0.3">
      <c r="B1699" s="5" t="s">
        <v>78</v>
      </c>
      <c r="C1699" s="5" t="str">
        <f>VLOOKUP(B1699,[1]물질정보!B:C,2,0)</f>
        <v>-</v>
      </c>
      <c r="D1699" t="str">
        <f>VLOOKUP(B1699,[1]물질정보!B:D,3,0)</f>
        <v xml:space="preserve">9-(9H-Carbazol-9-yl)-7H-benzo[c]carbazole </v>
      </c>
      <c r="E1699" t="str">
        <f>VLOOKUP(B1699,[1]물질정보!B:E,4,0)</f>
        <v>C28H18N2</v>
      </c>
      <c r="F1699" t="str">
        <f>VLOOKUP(B1699,[1]물질정보!B:F,5,0)</f>
        <v>382.5 g/mol</v>
      </c>
      <c r="G1699" s="5" t="str">
        <f>VLOOKUP(B1699,[1]물질정보!B:G,6,0)</f>
        <v>C1=CC=C2C(=C1)C=CC3=C2C4=C(N3)C=C(C=C4)N5C6=CC=CC=C6C7=CC=CC=C75</v>
      </c>
      <c r="H1699" t="s">
        <v>690</v>
      </c>
      <c r="I1699" t="s">
        <v>45</v>
      </c>
      <c r="J1699" t="s">
        <v>49</v>
      </c>
      <c r="K1699">
        <v>0.109</v>
      </c>
      <c r="L1699" t="s">
        <v>39</v>
      </c>
      <c r="M1699" t="s">
        <v>47</v>
      </c>
      <c r="N1699" t="s">
        <v>29</v>
      </c>
      <c r="O1699" t="s">
        <v>29</v>
      </c>
      <c r="P1699">
        <v>48</v>
      </c>
      <c r="Q1699" t="s">
        <v>31</v>
      </c>
      <c r="R1699" t="s">
        <v>411</v>
      </c>
      <c r="S1699" t="s">
        <v>273</v>
      </c>
      <c r="T1699" t="s">
        <v>729</v>
      </c>
      <c r="U1699" t="s">
        <v>730</v>
      </c>
      <c r="V1699" s="6" t="s">
        <v>694</v>
      </c>
      <c r="W1699" t="s">
        <v>47</v>
      </c>
      <c r="X1699" t="s">
        <v>822</v>
      </c>
      <c r="Y1699" t="s">
        <v>49</v>
      </c>
    </row>
    <row r="1700" spans="2:25" x14ac:dyDescent="0.3">
      <c r="B1700" s="5" t="s">
        <v>359</v>
      </c>
      <c r="C1700" s="5" t="str">
        <f>VLOOKUP(B1700,[1]물질정보!B:C,2,0)</f>
        <v>205-25-4</v>
      </c>
      <c r="D1700" t="str">
        <f>VLOOKUP(B1700,[1]물질정보!B:D,3,0)</f>
        <v xml:space="preserve">7H-Benzo[c]carbazole </v>
      </c>
      <c r="E1700" t="str">
        <f>VLOOKUP(B1700,[1]물질정보!B:E,4,0)</f>
        <v>C16H11N</v>
      </c>
      <c r="F1700" t="str">
        <f>VLOOKUP(B1700,[1]물질정보!B:F,5,0)</f>
        <v>217.26 g/mol</v>
      </c>
      <c r="G1700" s="5" t="str">
        <f>VLOOKUP(B1700,[1]물질정보!B:G,6,0)</f>
        <v>C1=CC=C2C(=C1)C=CC3=C2C4=CC=CC=C4N3</v>
      </c>
      <c r="H1700" t="s">
        <v>690</v>
      </c>
      <c r="I1700" t="s">
        <v>45</v>
      </c>
      <c r="J1700" t="s">
        <v>49</v>
      </c>
      <c r="K1700">
        <v>0.43890000000000001</v>
      </c>
      <c r="L1700" t="s">
        <v>39</v>
      </c>
      <c r="M1700" t="s">
        <v>47</v>
      </c>
      <c r="N1700" t="s">
        <v>29</v>
      </c>
      <c r="O1700" t="s">
        <v>29</v>
      </c>
      <c r="P1700">
        <v>48</v>
      </c>
      <c r="Q1700" t="s">
        <v>31</v>
      </c>
      <c r="R1700" t="s">
        <v>411</v>
      </c>
      <c r="S1700" t="s">
        <v>273</v>
      </c>
      <c r="T1700" t="s">
        <v>731</v>
      </c>
      <c r="U1700" t="s">
        <v>730</v>
      </c>
      <c r="V1700" s="6" t="s">
        <v>694</v>
      </c>
      <c r="W1700" t="s">
        <v>47</v>
      </c>
      <c r="X1700" t="s">
        <v>822</v>
      </c>
      <c r="Y1700" t="s">
        <v>49</v>
      </c>
    </row>
    <row r="1701" spans="2:25" x14ac:dyDescent="0.3">
      <c r="B1701" s="5" t="s">
        <v>503</v>
      </c>
      <c r="C1701" s="5" t="str">
        <f>VLOOKUP(B1701,[1]물질정보!B:C,2,0)</f>
        <v>97-63-2</v>
      </c>
      <c r="D1701" t="str">
        <f>VLOOKUP(B1701,[1]물질정보!B:D,3,0)</f>
        <v>ethyl methacrylate</v>
      </c>
      <c r="E1701" t="str">
        <f>VLOOKUP(B1701,[1]물질정보!B:E,4,0)</f>
        <v>C6H10O2</v>
      </c>
      <c r="F1701" t="str">
        <f>VLOOKUP(B1701,[1]물질정보!B:F,5,0)</f>
        <v>114.14 g/mol</v>
      </c>
      <c r="G1701" s="5" t="str">
        <f>VLOOKUP(B1701,[1]물질정보!B:G,6,0)</f>
        <v>CCOC(=O)C(=C)C</v>
      </c>
      <c r="H1701" t="s">
        <v>690</v>
      </c>
      <c r="I1701" t="s">
        <v>45</v>
      </c>
      <c r="J1701" t="s">
        <v>49</v>
      </c>
      <c r="K1701">
        <v>0.89780000000000004</v>
      </c>
      <c r="L1701" t="s">
        <v>39</v>
      </c>
      <c r="M1701" t="s">
        <v>47</v>
      </c>
      <c r="N1701" t="s">
        <v>29</v>
      </c>
      <c r="O1701" t="s">
        <v>29</v>
      </c>
      <c r="P1701">
        <v>48</v>
      </c>
      <c r="Q1701" t="s">
        <v>31</v>
      </c>
      <c r="R1701" t="s">
        <v>411</v>
      </c>
      <c r="S1701" t="s">
        <v>273</v>
      </c>
      <c r="T1701" t="s">
        <v>818</v>
      </c>
      <c r="U1701" t="s">
        <v>730</v>
      </c>
      <c r="V1701" s="6" t="s">
        <v>694</v>
      </c>
      <c r="W1701" t="s">
        <v>47</v>
      </c>
      <c r="X1701" t="s">
        <v>822</v>
      </c>
      <c r="Y1701" t="s">
        <v>49</v>
      </c>
    </row>
    <row r="1702" spans="2:25" x14ac:dyDescent="0.3">
      <c r="B1702" s="5" t="s">
        <v>69</v>
      </c>
      <c r="C1702" s="5" t="str">
        <f>VLOOKUP(B1702,[1]물질정보!B:C,2,0)</f>
        <v>868-77-9</v>
      </c>
      <c r="D1702" t="str">
        <f>VLOOKUP(B1702,[1]물질정보!B:D,3,0)</f>
        <v>2-hydroxyethyl methacrylate</v>
      </c>
      <c r="E1702" t="str">
        <f>VLOOKUP(B1702,[1]물질정보!B:E,4,0)</f>
        <v>C6H10O3</v>
      </c>
      <c r="F1702" t="str">
        <f>VLOOKUP(B1702,[1]물질정보!B:F,5,0)</f>
        <v>130.139 g/mol</v>
      </c>
      <c r="G1702" s="5" t="str">
        <f>VLOOKUP(B1702,[1]물질정보!B:G,6,0)</f>
        <v>CC(=C)C(=O)OCCO</v>
      </c>
      <c r="H1702" t="s">
        <v>690</v>
      </c>
      <c r="I1702" t="s">
        <v>45</v>
      </c>
      <c r="J1702" t="s">
        <v>49</v>
      </c>
      <c r="K1702">
        <v>3.39</v>
      </c>
      <c r="L1702" t="s">
        <v>39</v>
      </c>
      <c r="M1702" t="s">
        <v>47</v>
      </c>
      <c r="N1702" t="s">
        <v>29</v>
      </c>
      <c r="O1702" t="s">
        <v>29</v>
      </c>
      <c r="P1702">
        <v>48</v>
      </c>
      <c r="Q1702" t="s">
        <v>31</v>
      </c>
      <c r="R1702" t="s">
        <v>411</v>
      </c>
      <c r="S1702" t="s">
        <v>273</v>
      </c>
      <c r="T1702" t="s">
        <v>731</v>
      </c>
      <c r="U1702" t="s">
        <v>730</v>
      </c>
      <c r="V1702" s="6" t="s">
        <v>694</v>
      </c>
      <c r="W1702" t="s">
        <v>47</v>
      </c>
      <c r="X1702" t="s">
        <v>822</v>
      </c>
      <c r="Y1702" t="s">
        <v>49</v>
      </c>
    </row>
    <row r="1703" spans="2:25" x14ac:dyDescent="0.3">
      <c r="B1703" s="5" t="s">
        <v>25</v>
      </c>
      <c r="C1703" s="5" t="str">
        <f>VLOOKUP(B1703,[1]물질정보!B:C,2,0)</f>
        <v>97-88-1</v>
      </c>
      <c r="D1703" t="str">
        <f>VLOOKUP(B1703,[1]물질정보!B:D,3,0)</f>
        <v>butyl methacrylate</v>
      </c>
      <c r="E1703" t="str">
        <f>VLOOKUP(B1703,[1]물질정보!B:E,4,0)</f>
        <v>C8H14O2</v>
      </c>
      <c r="F1703" t="str">
        <f>VLOOKUP(B1703,[1]물질정보!B:F,5,0)</f>
        <v>142.2 g/mol</v>
      </c>
      <c r="G1703" s="5" t="str">
        <f>VLOOKUP(B1703,[1]물질정보!B:G,6,0)</f>
        <v>CCCCOC(=O)C(=C)C</v>
      </c>
      <c r="H1703" t="s">
        <v>690</v>
      </c>
      <c r="I1703" t="s">
        <v>45</v>
      </c>
      <c r="J1703" t="s">
        <v>49</v>
      </c>
      <c r="K1703">
        <v>0.6492</v>
      </c>
      <c r="L1703" t="s">
        <v>39</v>
      </c>
      <c r="M1703" t="s">
        <v>47</v>
      </c>
      <c r="N1703" t="s">
        <v>29</v>
      </c>
      <c r="O1703" t="s">
        <v>29</v>
      </c>
      <c r="P1703">
        <v>48</v>
      </c>
      <c r="Q1703" t="s">
        <v>31</v>
      </c>
      <c r="R1703" t="s">
        <v>411</v>
      </c>
      <c r="S1703" t="s">
        <v>273</v>
      </c>
      <c r="T1703" t="s">
        <v>732</v>
      </c>
      <c r="U1703" t="s">
        <v>730</v>
      </c>
      <c r="V1703" s="6" t="s">
        <v>694</v>
      </c>
      <c r="W1703" t="s">
        <v>47</v>
      </c>
      <c r="X1703" t="s">
        <v>822</v>
      </c>
      <c r="Y1703" t="s">
        <v>49</v>
      </c>
    </row>
    <row r="1704" spans="2:25" x14ac:dyDescent="0.3">
      <c r="B1704" s="5" t="s">
        <v>68</v>
      </c>
      <c r="C1704" s="5" t="str">
        <f>VLOOKUP(B1704,[1]물질정보!B:C,2,0)</f>
        <v>997-46-6</v>
      </c>
      <c r="D1704" t="str">
        <f>VLOOKUP(B1704,[1]물질정보!B:D,3,0)</f>
        <v>4-hydroxybutyl methacrylate</v>
      </c>
      <c r="E1704" t="str">
        <f>VLOOKUP(B1704,[1]물질정보!B:E,4,0)</f>
        <v>C8H14O3</v>
      </c>
      <c r="F1704" t="str">
        <f>VLOOKUP(B1704,[1]물질정보!B:F,5,0)</f>
        <v>158.19 g/mol</v>
      </c>
      <c r="G1704" s="5" t="str">
        <f>VLOOKUP(B1704,[1]물질정보!B:G,6,0)</f>
        <v>CC(=C)C(=O)OCCCCO</v>
      </c>
      <c r="H1704" t="s">
        <v>690</v>
      </c>
      <c r="I1704" t="s">
        <v>45</v>
      </c>
      <c r="J1704" t="s">
        <v>49</v>
      </c>
      <c r="K1704">
        <v>2.95</v>
      </c>
      <c r="L1704" t="s">
        <v>39</v>
      </c>
      <c r="M1704" t="s">
        <v>47</v>
      </c>
      <c r="N1704" t="s">
        <v>29</v>
      </c>
      <c r="O1704" t="s">
        <v>29</v>
      </c>
      <c r="P1704">
        <v>48</v>
      </c>
      <c r="Q1704" t="s">
        <v>31</v>
      </c>
      <c r="R1704" t="s">
        <v>411</v>
      </c>
      <c r="S1704" t="s">
        <v>273</v>
      </c>
      <c r="T1704" t="s">
        <v>732</v>
      </c>
      <c r="U1704" t="s">
        <v>730</v>
      </c>
      <c r="V1704" s="6" t="s">
        <v>694</v>
      </c>
      <c r="W1704" t="s">
        <v>47</v>
      </c>
      <c r="X1704" t="s">
        <v>822</v>
      </c>
      <c r="Y1704" t="s">
        <v>49</v>
      </c>
    </row>
    <row r="1705" spans="2:25" x14ac:dyDescent="0.3">
      <c r="B1705" s="5" t="s">
        <v>77</v>
      </c>
      <c r="C1705" s="5" t="str">
        <f>VLOOKUP(B1705,[1]물질정보!B:C,2,0)</f>
        <v>140-88-5</v>
      </c>
      <c r="D1705" t="str">
        <f>VLOOKUP(B1705,[1]물질정보!B:D,3,0)</f>
        <v>ethyl acrylate</v>
      </c>
      <c r="E1705" t="str">
        <f>VLOOKUP(B1705,[1]물질정보!B:E,4,0)</f>
        <v>C5H8O2</v>
      </c>
      <c r="F1705" t="str">
        <f>VLOOKUP(B1705,[1]물질정보!B:F,5,0)</f>
        <v>100.12 g/mol</v>
      </c>
      <c r="G1705" s="5" t="str">
        <f>VLOOKUP(B1705,[1]물질정보!B:G,6,0)</f>
        <v>CCOC(=O)C=C</v>
      </c>
      <c r="H1705" t="s">
        <v>690</v>
      </c>
      <c r="I1705" t="s">
        <v>45</v>
      </c>
      <c r="J1705" t="s">
        <v>49</v>
      </c>
      <c r="K1705">
        <v>0.75249999999999995</v>
      </c>
      <c r="L1705" t="s">
        <v>39</v>
      </c>
      <c r="M1705" t="s">
        <v>47</v>
      </c>
      <c r="N1705" t="s">
        <v>29</v>
      </c>
      <c r="O1705" t="s">
        <v>29</v>
      </c>
      <c r="P1705">
        <v>48</v>
      </c>
      <c r="Q1705" t="s">
        <v>31</v>
      </c>
      <c r="R1705" t="s">
        <v>411</v>
      </c>
      <c r="S1705" t="s">
        <v>273</v>
      </c>
      <c r="T1705" t="s">
        <v>732</v>
      </c>
      <c r="U1705" t="s">
        <v>730</v>
      </c>
      <c r="V1705" s="6" t="s">
        <v>694</v>
      </c>
      <c r="W1705" t="s">
        <v>47</v>
      </c>
      <c r="X1705" t="s">
        <v>822</v>
      </c>
      <c r="Y1705" t="s">
        <v>49</v>
      </c>
    </row>
    <row r="1706" spans="2:25" x14ac:dyDescent="0.3">
      <c r="B1706" s="5" t="s">
        <v>67</v>
      </c>
      <c r="C1706" s="5" t="str">
        <f>VLOOKUP(B1706,[1]물질정보!B:C,2,0)</f>
        <v>818-61-1</v>
      </c>
      <c r="D1706" t="str">
        <f>VLOOKUP(B1706,[1]물질정보!B:D,3,0)</f>
        <v>2-hydroxyethyl acrylate</v>
      </c>
      <c r="E1706" t="str">
        <f>VLOOKUP(B1706,[1]물질정보!B:E,4,0)</f>
        <v>C5H8O3</v>
      </c>
      <c r="F1706" t="str">
        <f>VLOOKUP(B1706,[1]물질정보!B:F,5,0)</f>
        <v>116.11 g/mol</v>
      </c>
      <c r="G1706" s="5" t="str">
        <f>VLOOKUP(B1706,[1]물질정보!B:G,6,0)</f>
        <v>C=CC(=O)OCCO</v>
      </c>
      <c r="H1706" t="s">
        <v>690</v>
      </c>
      <c r="I1706" t="s">
        <v>45</v>
      </c>
      <c r="J1706" t="s">
        <v>49</v>
      </c>
      <c r="K1706">
        <v>3.01</v>
      </c>
      <c r="L1706" t="s">
        <v>39</v>
      </c>
      <c r="M1706" t="s">
        <v>47</v>
      </c>
      <c r="N1706" t="s">
        <v>29</v>
      </c>
      <c r="O1706" t="s">
        <v>29</v>
      </c>
      <c r="P1706">
        <v>48</v>
      </c>
      <c r="Q1706" t="s">
        <v>31</v>
      </c>
      <c r="R1706" t="s">
        <v>411</v>
      </c>
      <c r="S1706" t="s">
        <v>273</v>
      </c>
      <c r="T1706" t="s">
        <v>731</v>
      </c>
      <c r="U1706" t="s">
        <v>730</v>
      </c>
      <c r="V1706" s="6" t="s">
        <v>694</v>
      </c>
      <c r="W1706" t="s">
        <v>47</v>
      </c>
      <c r="X1706" t="s">
        <v>822</v>
      </c>
      <c r="Y1706" t="s">
        <v>49</v>
      </c>
    </row>
    <row r="1707" spans="2:25" x14ac:dyDescent="0.3">
      <c r="B1707" s="5" t="s">
        <v>65</v>
      </c>
      <c r="C1707" s="5" t="str">
        <f>VLOOKUP(B1707,[1]물질정보!B:C,2,0)</f>
        <v>141-32-2</v>
      </c>
      <c r="D1707" t="str">
        <f>VLOOKUP(B1707,[1]물질정보!B:D,3,0)</f>
        <v>butyl acrylate</v>
      </c>
      <c r="E1707" t="str">
        <f>VLOOKUP(B1707,[1]물질정보!B:E,4,0)</f>
        <v>C7H12O2</v>
      </c>
      <c r="F1707" t="str">
        <f>VLOOKUP(B1707,[1]물질정보!B:F,5,0)</f>
        <v>128.169 g/mol</v>
      </c>
      <c r="G1707" s="5" t="str">
        <f>VLOOKUP(B1707,[1]물질정보!B:G,6,0)</f>
        <v>CCCCOC(=O)C=C</v>
      </c>
      <c r="H1707" t="s">
        <v>690</v>
      </c>
      <c r="I1707" t="s">
        <v>45</v>
      </c>
      <c r="J1707" t="s">
        <v>49</v>
      </c>
      <c r="K1707">
        <v>0.57469999999999999</v>
      </c>
      <c r="L1707" t="s">
        <v>39</v>
      </c>
      <c r="M1707" t="s">
        <v>47</v>
      </c>
      <c r="N1707" t="s">
        <v>29</v>
      </c>
      <c r="O1707" t="s">
        <v>29</v>
      </c>
      <c r="P1707">
        <v>48</v>
      </c>
      <c r="Q1707" t="s">
        <v>31</v>
      </c>
      <c r="R1707" t="s">
        <v>411</v>
      </c>
      <c r="S1707" t="s">
        <v>273</v>
      </c>
      <c r="T1707" t="s">
        <v>732</v>
      </c>
      <c r="U1707" t="s">
        <v>730</v>
      </c>
      <c r="V1707" s="6" t="s">
        <v>694</v>
      </c>
      <c r="W1707" t="s">
        <v>47</v>
      </c>
      <c r="X1707" t="s">
        <v>822</v>
      </c>
      <c r="Y1707" t="s">
        <v>49</v>
      </c>
    </row>
    <row r="1708" spans="2:25" x14ac:dyDescent="0.3">
      <c r="B1708" s="5" t="s">
        <v>64</v>
      </c>
      <c r="C1708" s="5" t="str">
        <f>VLOOKUP(B1708,[1]물질정보!B:C,2,0)</f>
        <v>2478-10-6</v>
      </c>
      <c r="D1708" t="str">
        <f>VLOOKUP(B1708,[1]물질정보!B:D,3,0)</f>
        <v>4-hydroxybutyl acrylate</v>
      </c>
      <c r="E1708" t="str">
        <f>VLOOKUP(B1708,[1]물질정보!B:E,4,0)</f>
        <v>C7H12O3</v>
      </c>
      <c r="F1708" t="str">
        <f>VLOOKUP(B1708,[1]물질정보!B:F,5,0)</f>
        <v>144.17 g/mol</v>
      </c>
      <c r="G1708" s="5" t="str">
        <f>VLOOKUP(B1708,[1]물질정보!B:G,6,0)</f>
        <v>C=CC(=O)OCCCCO</v>
      </c>
      <c r="H1708" t="s">
        <v>690</v>
      </c>
      <c r="I1708" t="s">
        <v>45</v>
      </c>
      <c r="J1708" t="s">
        <v>49</v>
      </c>
      <c r="K1708">
        <v>2.81</v>
      </c>
      <c r="L1708" t="s">
        <v>39</v>
      </c>
      <c r="M1708" t="s">
        <v>47</v>
      </c>
      <c r="N1708" t="s">
        <v>29</v>
      </c>
      <c r="O1708" t="s">
        <v>29</v>
      </c>
      <c r="P1708">
        <v>48</v>
      </c>
      <c r="Q1708" t="s">
        <v>31</v>
      </c>
      <c r="R1708" t="s">
        <v>411</v>
      </c>
      <c r="S1708" t="s">
        <v>273</v>
      </c>
      <c r="T1708" t="s">
        <v>732</v>
      </c>
      <c r="U1708" t="s">
        <v>730</v>
      </c>
      <c r="V1708" s="6" t="s">
        <v>694</v>
      </c>
      <c r="W1708" t="s">
        <v>47</v>
      </c>
      <c r="X1708" t="s">
        <v>822</v>
      </c>
      <c r="Y1708" t="s">
        <v>49</v>
      </c>
    </row>
    <row r="1709" spans="2:25" x14ac:dyDescent="0.3">
      <c r="B1709" s="5" t="s">
        <v>59</v>
      </c>
      <c r="C1709" s="5" t="str">
        <f>VLOOKUP(B1709,[1]물질정보!B:C,2,0)</f>
        <v>2499-95-8</v>
      </c>
      <c r="D1709" t="str">
        <f>VLOOKUP(B1709,[1]물질정보!B:D,3,0)</f>
        <v>hexyl acrylate</v>
      </c>
      <c r="E1709" t="str">
        <f>VLOOKUP(B1709,[1]물질정보!B:E,4,0)</f>
        <v>C9H16O2</v>
      </c>
      <c r="F1709" t="str">
        <f>VLOOKUP(B1709,[1]물질정보!B:F,5,0)</f>
        <v>156.22 g/mol</v>
      </c>
      <c r="G1709" s="5" t="str">
        <f>VLOOKUP(B1709,[1]물질정보!B:G,6,0)</f>
        <v>CCCCCCOC(=O)C=C</v>
      </c>
      <c r="H1709" t="s">
        <v>690</v>
      </c>
      <c r="I1709" t="s">
        <v>45</v>
      </c>
      <c r="J1709" t="s">
        <v>49</v>
      </c>
      <c r="K1709">
        <v>0.55889999999999995</v>
      </c>
      <c r="L1709" t="s">
        <v>39</v>
      </c>
      <c r="M1709" t="s">
        <v>47</v>
      </c>
      <c r="N1709" t="s">
        <v>29</v>
      </c>
      <c r="O1709" t="s">
        <v>29</v>
      </c>
      <c r="P1709">
        <v>48</v>
      </c>
      <c r="Q1709" t="s">
        <v>31</v>
      </c>
      <c r="R1709" t="s">
        <v>411</v>
      </c>
      <c r="S1709" t="s">
        <v>273</v>
      </c>
      <c r="T1709" t="s">
        <v>732</v>
      </c>
      <c r="U1709" t="s">
        <v>730</v>
      </c>
      <c r="V1709" s="6" t="s">
        <v>694</v>
      </c>
      <c r="W1709" t="s">
        <v>47</v>
      </c>
      <c r="X1709" t="s">
        <v>822</v>
      </c>
      <c r="Y1709" t="s">
        <v>49</v>
      </c>
    </row>
    <row r="1710" spans="2:25" x14ac:dyDescent="0.3">
      <c r="B1710" s="5" t="s">
        <v>70</v>
      </c>
      <c r="C1710" s="5" t="str">
        <f>VLOOKUP(B1710,[1]물질정보!B:C,2,0)</f>
        <v>10095-14-4</v>
      </c>
      <c r="D1710" t="str">
        <f>VLOOKUP(B1710,[1]물질정보!B:D,3,0)</f>
        <v>6-hydroxybutyl acrylate</v>
      </c>
      <c r="E1710" t="str">
        <f>VLOOKUP(B1710,[1]물질정보!B:E,4,0)</f>
        <v>C9H16O3</v>
      </c>
      <c r="F1710" t="str">
        <f>VLOOKUP(B1710,[1]물질정보!B:F,5,0)</f>
        <v>172.22 g/mol</v>
      </c>
      <c r="G1710" s="5" t="str">
        <f>VLOOKUP(B1710,[1]물질정보!B:G,6,0)</f>
        <v>C=CC(=O)OCCCCCCO</v>
      </c>
      <c r="H1710" t="s">
        <v>690</v>
      </c>
      <c r="I1710" t="s">
        <v>45</v>
      </c>
      <c r="J1710" t="s">
        <v>49</v>
      </c>
      <c r="K1710">
        <v>1.1499999999999999</v>
      </c>
      <c r="L1710" t="s">
        <v>39</v>
      </c>
      <c r="M1710" t="s">
        <v>47</v>
      </c>
      <c r="N1710" t="s">
        <v>29</v>
      </c>
      <c r="O1710" t="s">
        <v>29</v>
      </c>
      <c r="P1710">
        <v>48</v>
      </c>
      <c r="Q1710" t="s">
        <v>31</v>
      </c>
      <c r="R1710" t="s">
        <v>411</v>
      </c>
      <c r="S1710" t="s">
        <v>273</v>
      </c>
      <c r="T1710" t="s">
        <v>732</v>
      </c>
      <c r="U1710" t="s">
        <v>730</v>
      </c>
      <c r="V1710" s="6" t="s">
        <v>694</v>
      </c>
      <c r="W1710" t="s">
        <v>47</v>
      </c>
      <c r="X1710" t="s">
        <v>822</v>
      </c>
      <c r="Y1710" t="s">
        <v>49</v>
      </c>
    </row>
    <row r="1711" spans="2:25" x14ac:dyDescent="0.3">
      <c r="B1711" s="5" t="s">
        <v>78</v>
      </c>
      <c r="C1711" s="5" t="str">
        <f>VLOOKUP(B1711,[1]물질정보!B:C,2,0)</f>
        <v>-</v>
      </c>
      <c r="D1711" t="str">
        <f>VLOOKUP(B1711,[1]물질정보!B:D,3,0)</f>
        <v xml:space="preserve">9-(9H-Carbazol-9-yl)-7H-benzo[c]carbazole </v>
      </c>
      <c r="E1711" t="str">
        <f>VLOOKUP(B1711,[1]물질정보!B:E,4,0)</f>
        <v>C28H18N2</v>
      </c>
      <c r="F1711" t="str">
        <f>VLOOKUP(B1711,[1]물질정보!B:F,5,0)</f>
        <v>382.5 g/mol</v>
      </c>
      <c r="G1711" s="5" t="str">
        <f>VLOOKUP(B1711,[1]물질정보!B:G,6,0)</f>
        <v>C1=CC=C2C(=C1)C=CC3=C2C4=C(N3)C=C(C=C4)N5C6=CC=CC=C6C7=CC=CC=C75</v>
      </c>
      <c r="H1711" t="s">
        <v>690</v>
      </c>
      <c r="I1711" t="s">
        <v>45</v>
      </c>
      <c r="J1711" t="s">
        <v>28</v>
      </c>
      <c r="K1711">
        <v>3.1699999999999999E-2</v>
      </c>
      <c r="L1711" t="s">
        <v>39</v>
      </c>
      <c r="M1711" t="s">
        <v>47</v>
      </c>
      <c r="N1711" t="s">
        <v>29</v>
      </c>
      <c r="O1711" t="s">
        <v>29</v>
      </c>
      <c r="P1711">
        <v>48</v>
      </c>
      <c r="Q1711" t="s">
        <v>31</v>
      </c>
      <c r="R1711" t="s">
        <v>695</v>
      </c>
      <c r="S1711" t="s">
        <v>273</v>
      </c>
      <c r="T1711" t="s">
        <v>707</v>
      </c>
      <c r="U1711" t="s">
        <v>744</v>
      </c>
      <c r="V1711" s="6" t="s">
        <v>694</v>
      </c>
      <c r="W1711" t="s">
        <v>47</v>
      </c>
      <c r="X1711" t="s">
        <v>822</v>
      </c>
      <c r="Y1711" t="s">
        <v>28</v>
      </c>
    </row>
    <row r="1712" spans="2:25" x14ac:dyDescent="0.3">
      <c r="B1712" s="5" t="s">
        <v>359</v>
      </c>
      <c r="C1712" s="5" t="str">
        <f>VLOOKUP(B1712,[1]물질정보!B:C,2,0)</f>
        <v>205-25-4</v>
      </c>
      <c r="D1712" t="str">
        <f>VLOOKUP(B1712,[1]물질정보!B:D,3,0)</f>
        <v xml:space="preserve">7H-Benzo[c]carbazole </v>
      </c>
      <c r="E1712" t="str">
        <f>VLOOKUP(B1712,[1]물질정보!B:E,4,0)</f>
        <v>C16H11N</v>
      </c>
      <c r="F1712" t="str">
        <f>VLOOKUP(B1712,[1]물질정보!B:F,5,0)</f>
        <v>217.26 g/mol</v>
      </c>
      <c r="G1712" s="5" t="str">
        <f>VLOOKUP(B1712,[1]물질정보!B:G,6,0)</f>
        <v>C1=CC=C2C(=C1)C=CC3=C2C4=CC=CC=C4N3</v>
      </c>
      <c r="H1712" t="s">
        <v>690</v>
      </c>
      <c r="I1712" t="s">
        <v>45</v>
      </c>
      <c r="J1712" t="s">
        <v>28</v>
      </c>
      <c r="K1712">
        <v>0.47489999999999999</v>
      </c>
      <c r="L1712" t="s">
        <v>39</v>
      </c>
      <c r="M1712" t="s">
        <v>47</v>
      </c>
      <c r="N1712" t="s">
        <v>29</v>
      </c>
      <c r="O1712" t="s">
        <v>29</v>
      </c>
      <c r="P1712">
        <v>48</v>
      </c>
      <c r="Q1712" t="s">
        <v>31</v>
      </c>
      <c r="R1712" t="s">
        <v>695</v>
      </c>
      <c r="S1712" t="s">
        <v>273</v>
      </c>
      <c r="T1712" t="s">
        <v>704</v>
      </c>
      <c r="U1712" t="s">
        <v>733</v>
      </c>
      <c r="V1712" s="6" t="s">
        <v>694</v>
      </c>
      <c r="W1712" t="s">
        <v>47</v>
      </c>
      <c r="X1712" t="s">
        <v>822</v>
      </c>
      <c r="Y1712" t="s">
        <v>28</v>
      </c>
    </row>
    <row r="1713" spans="2:25" x14ac:dyDescent="0.3">
      <c r="B1713" s="5" t="s">
        <v>503</v>
      </c>
      <c r="C1713" s="5" t="str">
        <f>VLOOKUP(B1713,[1]물질정보!B:C,2,0)</f>
        <v>97-63-2</v>
      </c>
      <c r="D1713" t="str">
        <f>VLOOKUP(B1713,[1]물질정보!B:D,3,0)</f>
        <v>ethyl methacrylate</v>
      </c>
      <c r="E1713" t="str">
        <f>VLOOKUP(B1713,[1]물질정보!B:E,4,0)</f>
        <v>C6H10O2</v>
      </c>
      <c r="F1713" t="str">
        <f>VLOOKUP(B1713,[1]물질정보!B:F,5,0)</f>
        <v>114.14 g/mol</v>
      </c>
      <c r="G1713" s="5" t="str">
        <f>VLOOKUP(B1713,[1]물질정보!B:G,6,0)</f>
        <v>CCOC(=O)C(=C)C</v>
      </c>
      <c r="H1713" t="s">
        <v>690</v>
      </c>
      <c r="I1713" t="s">
        <v>45</v>
      </c>
      <c r="J1713" t="s">
        <v>28</v>
      </c>
      <c r="K1713">
        <v>31.73</v>
      </c>
      <c r="L1713" t="s">
        <v>39</v>
      </c>
      <c r="M1713" t="s">
        <v>47</v>
      </c>
      <c r="N1713" t="s">
        <v>29</v>
      </c>
      <c r="O1713" t="s">
        <v>29</v>
      </c>
      <c r="P1713">
        <v>48</v>
      </c>
      <c r="Q1713" t="s">
        <v>31</v>
      </c>
      <c r="R1713" t="s">
        <v>695</v>
      </c>
      <c r="S1713" t="s">
        <v>273</v>
      </c>
      <c r="T1713" t="s">
        <v>706</v>
      </c>
      <c r="U1713" t="s">
        <v>733</v>
      </c>
      <c r="V1713" s="6" t="s">
        <v>694</v>
      </c>
      <c r="W1713" t="s">
        <v>47</v>
      </c>
      <c r="X1713" t="s">
        <v>822</v>
      </c>
      <c r="Y1713" t="s">
        <v>28</v>
      </c>
    </row>
    <row r="1714" spans="2:25" x14ac:dyDescent="0.3">
      <c r="B1714" s="5" t="s">
        <v>69</v>
      </c>
      <c r="C1714" s="5" t="str">
        <f>VLOOKUP(B1714,[1]물질정보!B:C,2,0)</f>
        <v>868-77-9</v>
      </c>
      <c r="D1714" t="str">
        <f>VLOOKUP(B1714,[1]물질정보!B:D,3,0)</f>
        <v>2-hydroxyethyl methacrylate</v>
      </c>
      <c r="E1714" t="str">
        <f>VLOOKUP(B1714,[1]물질정보!B:E,4,0)</f>
        <v>C6H10O3</v>
      </c>
      <c r="F1714" t="str">
        <f>VLOOKUP(B1714,[1]물질정보!B:F,5,0)</f>
        <v>130.139 g/mol</v>
      </c>
      <c r="G1714" s="5" t="str">
        <f>VLOOKUP(B1714,[1]물질정보!B:G,6,0)</f>
        <v>CC(=C)C(=O)OCCO</v>
      </c>
      <c r="H1714" t="s">
        <v>690</v>
      </c>
      <c r="I1714" t="s">
        <v>45</v>
      </c>
      <c r="J1714" t="s">
        <v>28</v>
      </c>
      <c r="K1714">
        <v>135.31</v>
      </c>
      <c r="L1714" t="s">
        <v>39</v>
      </c>
      <c r="M1714" t="s">
        <v>47</v>
      </c>
      <c r="N1714" t="s">
        <v>29</v>
      </c>
      <c r="O1714" t="s">
        <v>29</v>
      </c>
      <c r="P1714">
        <v>48</v>
      </c>
      <c r="Q1714" t="s">
        <v>31</v>
      </c>
      <c r="R1714" t="s">
        <v>695</v>
      </c>
      <c r="S1714" t="s">
        <v>273</v>
      </c>
      <c r="T1714" t="s">
        <v>705</v>
      </c>
      <c r="U1714" t="s">
        <v>733</v>
      </c>
      <c r="V1714" s="6" t="s">
        <v>694</v>
      </c>
      <c r="W1714" t="s">
        <v>47</v>
      </c>
      <c r="X1714" t="s">
        <v>822</v>
      </c>
      <c r="Y1714" t="s">
        <v>28</v>
      </c>
    </row>
    <row r="1715" spans="2:25" x14ac:dyDescent="0.3">
      <c r="B1715" s="5" t="s">
        <v>25</v>
      </c>
      <c r="C1715" s="5" t="str">
        <f>VLOOKUP(B1715,[1]물질정보!B:C,2,0)</f>
        <v>97-88-1</v>
      </c>
      <c r="D1715" t="str">
        <f>VLOOKUP(B1715,[1]물질정보!B:D,3,0)</f>
        <v>butyl methacrylate</v>
      </c>
      <c r="E1715" t="str">
        <f>VLOOKUP(B1715,[1]물질정보!B:E,4,0)</f>
        <v>C8H14O2</v>
      </c>
      <c r="F1715" t="str">
        <f>VLOOKUP(B1715,[1]물질정보!B:F,5,0)</f>
        <v>142.2 g/mol</v>
      </c>
      <c r="G1715" s="5" t="str">
        <f>VLOOKUP(B1715,[1]물질정보!B:G,6,0)</f>
        <v>CCCCOC(=O)C(=C)C</v>
      </c>
      <c r="H1715" t="s">
        <v>690</v>
      </c>
      <c r="I1715" t="s">
        <v>45</v>
      </c>
      <c r="J1715" t="s">
        <v>28</v>
      </c>
      <c r="K1715">
        <v>27.05</v>
      </c>
      <c r="L1715" t="s">
        <v>39</v>
      </c>
      <c r="M1715" t="s">
        <v>47</v>
      </c>
      <c r="N1715" t="s">
        <v>29</v>
      </c>
      <c r="O1715" t="s">
        <v>29</v>
      </c>
      <c r="P1715">
        <v>48</v>
      </c>
      <c r="Q1715" t="s">
        <v>31</v>
      </c>
      <c r="R1715" t="s">
        <v>695</v>
      </c>
      <c r="S1715" t="s">
        <v>273</v>
      </c>
      <c r="T1715" t="s">
        <v>705</v>
      </c>
      <c r="U1715" t="s">
        <v>733</v>
      </c>
      <c r="V1715" s="6" t="s">
        <v>694</v>
      </c>
      <c r="W1715" t="s">
        <v>47</v>
      </c>
      <c r="X1715" t="s">
        <v>822</v>
      </c>
      <c r="Y1715" t="s">
        <v>28</v>
      </c>
    </row>
    <row r="1716" spans="2:25" x14ac:dyDescent="0.3">
      <c r="B1716" s="5" t="s">
        <v>68</v>
      </c>
      <c r="C1716" s="5" t="str">
        <f>VLOOKUP(B1716,[1]물질정보!B:C,2,0)</f>
        <v>997-46-6</v>
      </c>
      <c r="D1716" t="str">
        <f>VLOOKUP(B1716,[1]물질정보!B:D,3,0)</f>
        <v>4-hydroxybutyl methacrylate</v>
      </c>
      <c r="E1716" t="str">
        <f>VLOOKUP(B1716,[1]물질정보!B:E,4,0)</f>
        <v>C8H14O3</v>
      </c>
      <c r="F1716" t="str">
        <f>VLOOKUP(B1716,[1]물질정보!B:F,5,0)</f>
        <v>158.19 g/mol</v>
      </c>
      <c r="G1716" s="5" t="str">
        <f>VLOOKUP(B1716,[1]물질정보!B:G,6,0)</f>
        <v>CC(=C)C(=O)OCCCCO</v>
      </c>
      <c r="H1716" t="s">
        <v>690</v>
      </c>
      <c r="I1716" t="s">
        <v>45</v>
      </c>
      <c r="J1716" t="s">
        <v>28</v>
      </c>
      <c r="K1716">
        <v>24.46</v>
      </c>
      <c r="L1716" t="s">
        <v>39</v>
      </c>
      <c r="M1716" t="s">
        <v>47</v>
      </c>
      <c r="N1716" t="s">
        <v>29</v>
      </c>
      <c r="O1716" t="s">
        <v>29</v>
      </c>
      <c r="P1716">
        <v>48</v>
      </c>
      <c r="Q1716" t="s">
        <v>31</v>
      </c>
      <c r="R1716" t="s">
        <v>695</v>
      </c>
      <c r="S1716" t="s">
        <v>273</v>
      </c>
      <c r="T1716" t="s">
        <v>706</v>
      </c>
      <c r="U1716" t="s">
        <v>733</v>
      </c>
      <c r="V1716" s="6" t="s">
        <v>694</v>
      </c>
      <c r="W1716" t="s">
        <v>47</v>
      </c>
      <c r="X1716" t="s">
        <v>822</v>
      </c>
      <c r="Y1716" t="s">
        <v>28</v>
      </c>
    </row>
    <row r="1717" spans="2:25" x14ac:dyDescent="0.3">
      <c r="B1717" s="5" t="s">
        <v>77</v>
      </c>
      <c r="C1717" s="5" t="str">
        <f>VLOOKUP(B1717,[1]물질정보!B:C,2,0)</f>
        <v>140-88-5</v>
      </c>
      <c r="D1717" t="str">
        <f>VLOOKUP(B1717,[1]물질정보!B:D,3,0)</f>
        <v>ethyl acrylate</v>
      </c>
      <c r="E1717" t="str">
        <f>VLOOKUP(B1717,[1]물질정보!B:E,4,0)</f>
        <v>C5H8O2</v>
      </c>
      <c r="F1717" t="str">
        <f>VLOOKUP(B1717,[1]물질정보!B:F,5,0)</f>
        <v>100.12 g/mol</v>
      </c>
      <c r="G1717" s="5" t="str">
        <f>VLOOKUP(B1717,[1]물질정보!B:G,6,0)</f>
        <v>CCOC(=O)C=C</v>
      </c>
      <c r="H1717" t="s">
        <v>690</v>
      </c>
      <c r="I1717" t="s">
        <v>45</v>
      </c>
      <c r="J1717" t="s">
        <v>28</v>
      </c>
      <c r="K1717">
        <v>25.1</v>
      </c>
      <c r="L1717" t="s">
        <v>39</v>
      </c>
      <c r="M1717" t="s">
        <v>47</v>
      </c>
      <c r="N1717" t="s">
        <v>29</v>
      </c>
      <c r="O1717" t="s">
        <v>29</v>
      </c>
      <c r="P1717">
        <v>48</v>
      </c>
      <c r="Q1717" t="s">
        <v>31</v>
      </c>
      <c r="R1717" t="s">
        <v>695</v>
      </c>
      <c r="S1717" t="s">
        <v>273</v>
      </c>
      <c r="T1717" t="s">
        <v>705</v>
      </c>
      <c r="U1717" t="s">
        <v>733</v>
      </c>
      <c r="V1717" s="6" t="s">
        <v>694</v>
      </c>
      <c r="W1717" t="s">
        <v>47</v>
      </c>
      <c r="X1717" t="s">
        <v>822</v>
      </c>
      <c r="Y1717" t="s">
        <v>28</v>
      </c>
    </row>
    <row r="1718" spans="2:25" x14ac:dyDescent="0.3">
      <c r="B1718" s="5" t="s">
        <v>67</v>
      </c>
      <c r="C1718" s="5" t="str">
        <f>VLOOKUP(B1718,[1]물질정보!B:C,2,0)</f>
        <v>818-61-1</v>
      </c>
      <c r="D1718" t="str">
        <f>VLOOKUP(B1718,[1]물질정보!B:D,3,0)</f>
        <v>2-hydroxyethyl acrylate</v>
      </c>
      <c r="E1718" t="str">
        <f>VLOOKUP(B1718,[1]물질정보!B:E,4,0)</f>
        <v>C5H8O3</v>
      </c>
      <c r="F1718" t="str">
        <f>VLOOKUP(B1718,[1]물질정보!B:F,5,0)</f>
        <v>116.11 g/mol</v>
      </c>
      <c r="G1718" s="5" t="str">
        <f>VLOOKUP(B1718,[1]물질정보!B:G,6,0)</f>
        <v>C=CC(=O)OCCO</v>
      </c>
      <c r="H1718" t="s">
        <v>690</v>
      </c>
      <c r="I1718" t="s">
        <v>45</v>
      </c>
      <c r="J1718" t="s">
        <v>28</v>
      </c>
      <c r="K1718">
        <v>20.71</v>
      </c>
      <c r="L1718" t="s">
        <v>39</v>
      </c>
      <c r="M1718" t="s">
        <v>47</v>
      </c>
      <c r="N1718" t="s">
        <v>29</v>
      </c>
      <c r="O1718" t="s">
        <v>29</v>
      </c>
      <c r="P1718">
        <v>48</v>
      </c>
      <c r="Q1718" t="s">
        <v>31</v>
      </c>
      <c r="R1718" t="s">
        <v>695</v>
      </c>
      <c r="S1718" t="s">
        <v>273</v>
      </c>
      <c r="T1718" t="s">
        <v>705</v>
      </c>
      <c r="U1718" t="s">
        <v>733</v>
      </c>
      <c r="V1718" s="6" t="s">
        <v>694</v>
      </c>
      <c r="W1718" t="s">
        <v>47</v>
      </c>
      <c r="X1718" t="s">
        <v>822</v>
      </c>
      <c r="Y1718" t="s">
        <v>28</v>
      </c>
    </row>
    <row r="1719" spans="2:25" x14ac:dyDescent="0.3">
      <c r="B1719" s="5" t="s">
        <v>65</v>
      </c>
      <c r="C1719" s="5" t="str">
        <f>VLOOKUP(B1719,[1]물질정보!B:C,2,0)</f>
        <v>141-32-2</v>
      </c>
      <c r="D1719" t="str">
        <f>VLOOKUP(B1719,[1]물질정보!B:D,3,0)</f>
        <v>butyl acrylate</v>
      </c>
      <c r="E1719" t="str">
        <f>VLOOKUP(B1719,[1]물질정보!B:E,4,0)</f>
        <v>C7H12O2</v>
      </c>
      <c r="F1719" t="str">
        <f>VLOOKUP(B1719,[1]물질정보!B:F,5,0)</f>
        <v>128.169 g/mol</v>
      </c>
      <c r="G1719" s="5" t="str">
        <f>VLOOKUP(B1719,[1]물질정보!B:G,6,0)</f>
        <v>CCCCOC(=O)C=C</v>
      </c>
      <c r="H1719" t="s">
        <v>690</v>
      </c>
      <c r="I1719" t="s">
        <v>45</v>
      </c>
      <c r="J1719" t="s">
        <v>28</v>
      </c>
      <c r="K1719">
        <v>121.46</v>
      </c>
      <c r="L1719" t="s">
        <v>39</v>
      </c>
      <c r="M1719" t="s">
        <v>47</v>
      </c>
      <c r="N1719" t="s">
        <v>29</v>
      </c>
      <c r="O1719" t="s">
        <v>29</v>
      </c>
      <c r="P1719">
        <v>48</v>
      </c>
      <c r="Q1719" t="s">
        <v>31</v>
      </c>
      <c r="R1719" t="s">
        <v>695</v>
      </c>
      <c r="S1719" t="s">
        <v>273</v>
      </c>
      <c r="T1719" t="s">
        <v>709</v>
      </c>
      <c r="U1719" t="s">
        <v>733</v>
      </c>
      <c r="V1719" s="6" t="s">
        <v>694</v>
      </c>
      <c r="W1719" t="s">
        <v>47</v>
      </c>
      <c r="X1719" t="s">
        <v>822</v>
      </c>
      <c r="Y1719" t="s">
        <v>28</v>
      </c>
    </row>
    <row r="1720" spans="2:25" x14ac:dyDescent="0.3">
      <c r="B1720" s="5" t="s">
        <v>64</v>
      </c>
      <c r="C1720" s="5" t="str">
        <f>VLOOKUP(B1720,[1]물질정보!B:C,2,0)</f>
        <v>2478-10-6</v>
      </c>
      <c r="D1720" t="str">
        <f>VLOOKUP(B1720,[1]물질정보!B:D,3,0)</f>
        <v>4-hydroxybutyl acrylate</v>
      </c>
      <c r="E1720" t="str">
        <f>VLOOKUP(B1720,[1]물질정보!B:E,4,0)</f>
        <v>C7H12O3</v>
      </c>
      <c r="F1720" t="str">
        <f>VLOOKUP(B1720,[1]물질정보!B:F,5,0)</f>
        <v>144.17 g/mol</v>
      </c>
      <c r="G1720" s="5" t="str">
        <f>VLOOKUP(B1720,[1]물질정보!B:G,6,0)</f>
        <v>C=CC(=O)OCCCCO</v>
      </c>
      <c r="H1720" t="s">
        <v>690</v>
      </c>
      <c r="I1720" t="s">
        <v>45</v>
      </c>
      <c r="J1720" t="s">
        <v>28</v>
      </c>
      <c r="K1720">
        <v>20.96</v>
      </c>
      <c r="L1720" t="s">
        <v>39</v>
      </c>
      <c r="M1720" t="s">
        <v>47</v>
      </c>
      <c r="N1720" t="s">
        <v>29</v>
      </c>
      <c r="O1720" t="s">
        <v>29</v>
      </c>
      <c r="P1720">
        <v>48</v>
      </c>
      <c r="Q1720" t="s">
        <v>31</v>
      </c>
      <c r="R1720" t="s">
        <v>695</v>
      </c>
      <c r="S1720" t="s">
        <v>273</v>
      </c>
      <c r="T1720" t="s">
        <v>703</v>
      </c>
      <c r="U1720" t="s">
        <v>733</v>
      </c>
      <c r="V1720" s="6" t="s">
        <v>694</v>
      </c>
      <c r="W1720" t="s">
        <v>47</v>
      </c>
      <c r="X1720" t="s">
        <v>822</v>
      </c>
      <c r="Y1720" t="s">
        <v>28</v>
      </c>
    </row>
    <row r="1721" spans="2:25" x14ac:dyDescent="0.3">
      <c r="B1721" s="5" t="s">
        <v>59</v>
      </c>
      <c r="C1721" s="5" t="str">
        <f>VLOOKUP(B1721,[1]물질정보!B:C,2,0)</f>
        <v>2499-95-8</v>
      </c>
      <c r="D1721" t="str">
        <f>VLOOKUP(B1721,[1]물질정보!B:D,3,0)</f>
        <v>hexyl acrylate</v>
      </c>
      <c r="E1721" t="str">
        <f>VLOOKUP(B1721,[1]물질정보!B:E,4,0)</f>
        <v>C9H16O2</v>
      </c>
      <c r="F1721" t="str">
        <f>VLOOKUP(B1721,[1]물질정보!B:F,5,0)</f>
        <v>156.22 g/mol</v>
      </c>
      <c r="G1721" s="5" t="str">
        <f>VLOOKUP(B1721,[1]물질정보!B:G,6,0)</f>
        <v>CCCCCCOC(=O)C=C</v>
      </c>
      <c r="H1721" t="s">
        <v>690</v>
      </c>
      <c r="I1721" t="s">
        <v>45</v>
      </c>
      <c r="J1721" t="s">
        <v>28</v>
      </c>
      <c r="K1721">
        <v>13.28</v>
      </c>
      <c r="L1721" t="s">
        <v>39</v>
      </c>
      <c r="M1721" t="s">
        <v>47</v>
      </c>
      <c r="N1721" t="s">
        <v>29</v>
      </c>
      <c r="O1721" t="s">
        <v>29</v>
      </c>
      <c r="P1721">
        <v>48</v>
      </c>
      <c r="Q1721" t="s">
        <v>31</v>
      </c>
      <c r="R1721" t="s">
        <v>695</v>
      </c>
      <c r="S1721" t="s">
        <v>273</v>
      </c>
      <c r="T1721" t="s">
        <v>703</v>
      </c>
      <c r="U1721" t="s">
        <v>733</v>
      </c>
      <c r="V1721" s="6" t="s">
        <v>694</v>
      </c>
      <c r="W1721" t="s">
        <v>47</v>
      </c>
      <c r="X1721" t="s">
        <v>822</v>
      </c>
      <c r="Y1721" t="s">
        <v>28</v>
      </c>
    </row>
    <row r="1722" spans="2:25" x14ac:dyDescent="0.3">
      <c r="B1722" s="5" t="s">
        <v>70</v>
      </c>
      <c r="C1722" s="5" t="str">
        <f>VLOOKUP(B1722,[1]물질정보!B:C,2,0)</f>
        <v>10095-14-4</v>
      </c>
      <c r="D1722" t="str">
        <f>VLOOKUP(B1722,[1]물질정보!B:D,3,0)</f>
        <v>6-hydroxybutyl acrylate</v>
      </c>
      <c r="E1722" t="str">
        <f>VLOOKUP(B1722,[1]물질정보!B:E,4,0)</f>
        <v>C9H16O3</v>
      </c>
      <c r="F1722" t="str">
        <f>VLOOKUP(B1722,[1]물질정보!B:F,5,0)</f>
        <v>172.22 g/mol</v>
      </c>
      <c r="G1722" s="5" t="str">
        <f>VLOOKUP(B1722,[1]물질정보!B:G,6,0)</f>
        <v>C=CC(=O)OCCCCCCO</v>
      </c>
      <c r="H1722" t="s">
        <v>690</v>
      </c>
      <c r="I1722" t="s">
        <v>45</v>
      </c>
      <c r="J1722" t="s">
        <v>28</v>
      </c>
      <c r="K1722">
        <v>48.72</v>
      </c>
      <c r="L1722" t="s">
        <v>39</v>
      </c>
      <c r="M1722" t="s">
        <v>47</v>
      </c>
      <c r="N1722" t="s">
        <v>29</v>
      </c>
      <c r="O1722" t="s">
        <v>29</v>
      </c>
      <c r="P1722">
        <v>48</v>
      </c>
      <c r="Q1722" t="s">
        <v>31</v>
      </c>
      <c r="R1722" t="s">
        <v>695</v>
      </c>
      <c r="S1722" t="s">
        <v>273</v>
      </c>
      <c r="T1722" t="s">
        <v>703</v>
      </c>
      <c r="U1722" t="s">
        <v>733</v>
      </c>
      <c r="V1722" s="6" t="s">
        <v>694</v>
      </c>
      <c r="W1722" t="s">
        <v>47</v>
      </c>
      <c r="X1722" t="s">
        <v>822</v>
      </c>
      <c r="Y1722" t="s">
        <v>28</v>
      </c>
    </row>
    <row r="1723" spans="2:25" x14ac:dyDescent="0.3">
      <c r="B1723" s="5" t="s">
        <v>78</v>
      </c>
      <c r="C1723" s="5" t="str">
        <f>VLOOKUP(B1723,[1]물질정보!B:C,2,0)</f>
        <v>-</v>
      </c>
      <c r="D1723" t="str">
        <f>VLOOKUP(B1723,[1]물질정보!B:D,3,0)</f>
        <v xml:space="preserve">9-(9H-Carbazol-9-yl)-7H-benzo[c]carbazole </v>
      </c>
      <c r="E1723" t="str">
        <f>VLOOKUP(B1723,[1]물질정보!B:E,4,0)</f>
        <v>C28H18N2</v>
      </c>
      <c r="F1723" t="str">
        <f>VLOOKUP(B1723,[1]물질정보!B:F,5,0)</f>
        <v>382.5 g/mol</v>
      </c>
      <c r="G1723" s="5" t="str">
        <f>VLOOKUP(B1723,[1]물질정보!B:G,6,0)</f>
        <v>C1=CC=C2C(=C1)C=CC3=C2C4=C(N3)C=C(C=C4)N5C6=CC=CC=C6C7=CC=CC=C75</v>
      </c>
      <c r="H1723" t="s">
        <v>690</v>
      </c>
      <c r="I1723" t="s">
        <v>45</v>
      </c>
      <c r="J1723" t="s">
        <v>49</v>
      </c>
      <c r="K1723">
        <v>8.9800000000000005E-2</v>
      </c>
      <c r="L1723" t="s">
        <v>39</v>
      </c>
      <c r="M1723" t="s">
        <v>47</v>
      </c>
      <c r="N1723" t="s">
        <v>29</v>
      </c>
      <c r="O1723" t="s">
        <v>29</v>
      </c>
      <c r="P1723">
        <v>48</v>
      </c>
      <c r="Q1723" t="s">
        <v>31</v>
      </c>
      <c r="R1723" t="s">
        <v>411</v>
      </c>
      <c r="S1723" t="s">
        <v>273</v>
      </c>
      <c r="T1723" t="s">
        <v>734</v>
      </c>
      <c r="U1723" t="s">
        <v>735</v>
      </c>
      <c r="V1723" s="6" t="s">
        <v>694</v>
      </c>
      <c r="W1723" t="s">
        <v>47</v>
      </c>
      <c r="X1723" t="s">
        <v>822</v>
      </c>
      <c r="Y1723" t="s">
        <v>49</v>
      </c>
    </row>
    <row r="1724" spans="2:25" x14ac:dyDescent="0.3">
      <c r="B1724" s="5" t="s">
        <v>359</v>
      </c>
      <c r="C1724" s="5" t="str">
        <f>VLOOKUP(B1724,[1]물질정보!B:C,2,0)</f>
        <v>205-25-4</v>
      </c>
      <c r="D1724" t="str">
        <f>VLOOKUP(B1724,[1]물질정보!B:D,3,0)</f>
        <v xml:space="preserve">7H-Benzo[c]carbazole </v>
      </c>
      <c r="E1724" t="str">
        <f>VLOOKUP(B1724,[1]물질정보!B:E,4,0)</f>
        <v>C16H11N</v>
      </c>
      <c r="F1724" t="str">
        <f>VLOOKUP(B1724,[1]물질정보!B:F,5,0)</f>
        <v>217.26 g/mol</v>
      </c>
      <c r="G1724" s="5" t="str">
        <f>VLOOKUP(B1724,[1]물질정보!B:G,6,0)</f>
        <v>C1=CC=C2C(=C1)C=CC3=C2C4=CC=CC=C4N3</v>
      </c>
      <c r="H1724" t="s">
        <v>690</v>
      </c>
      <c r="I1724" t="s">
        <v>45</v>
      </c>
      <c r="J1724" t="s">
        <v>49</v>
      </c>
      <c r="K1724">
        <v>0.25109999999999999</v>
      </c>
      <c r="L1724" t="s">
        <v>39</v>
      </c>
      <c r="M1724" t="s">
        <v>47</v>
      </c>
      <c r="N1724" t="s">
        <v>29</v>
      </c>
      <c r="O1724" t="s">
        <v>29</v>
      </c>
      <c r="P1724">
        <v>48</v>
      </c>
      <c r="Q1724" t="s">
        <v>31</v>
      </c>
      <c r="R1724" t="s">
        <v>411</v>
      </c>
      <c r="S1724" t="s">
        <v>273</v>
      </c>
      <c r="T1724" t="s">
        <v>703</v>
      </c>
      <c r="U1724" t="s">
        <v>735</v>
      </c>
      <c r="V1724" s="6" t="s">
        <v>694</v>
      </c>
      <c r="W1724" t="s">
        <v>47</v>
      </c>
      <c r="X1724" t="s">
        <v>822</v>
      </c>
      <c r="Y1724" t="s">
        <v>49</v>
      </c>
    </row>
    <row r="1725" spans="2:25" x14ac:dyDescent="0.3">
      <c r="B1725" s="5" t="s">
        <v>503</v>
      </c>
      <c r="C1725" s="5" t="str">
        <f>VLOOKUP(B1725,[1]물질정보!B:C,2,0)</f>
        <v>97-63-2</v>
      </c>
      <c r="D1725" t="str">
        <f>VLOOKUP(B1725,[1]물질정보!B:D,3,0)</f>
        <v>ethyl methacrylate</v>
      </c>
      <c r="E1725" t="str">
        <f>VLOOKUP(B1725,[1]물질정보!B:E,4,0)</f>
        <v>C6H10O2</v>
      </c>
      <c r="F1725" t="str">
        <f>VLOOKUP(B1725,[1]물질정보!B:F,5,0)</f>
        <v>114.14 g/mol</v>
      </c>
      <c r="G1725" s="5" t="str">
        <f>VLOOKUP(B1725,[1]물질정보!B:G,6,0)</f>
        <v>CCOC(=O)C(=C)C</v>
      </c>
      <c r="H1725" t="s">
        <v>690</v>
      </c>
      <c r="I1725" t="s">
        <v>45</v>
      </c>
      <c r="J1725" t="s">
        <v>49</v>
      </c>
      <c r="K1725">
        <v>106.28</v>
      </c>
      <c r="L1725" t="s">
        <v>39</v>
      </c>
      <c r="M1725" t="s">
        <v>47</v>
      </c>
      <c r="N1725" t="s">
        <v>29</v>
      </c>
      <c r="O1725" t="s">
        <v>29</v>
      </c>
      <c r="P1725">
        <v>48</v>
      </c>
      <c r="Q1725" t="s">
        <v>31</v>
      </c>
      <c r="R1725" t="s">
        <v>411</v>
      </c>
      <c r="S1725" t="s">
        <v>273</v>
      </c>
      <c r="T1725" t="s">
        <v>706</v>
      </c>
      <c r="U1725" t="s">
        <v>735</v>
      </c>
      <c r="V1725" s="6" t="s">
        <v>694</v>
      </c>
      <c r="W1725" t="s">
        <v>47</v>
      </c>
      <c r="X1725" t="s">
        <v>822</v>
      </c>
      <c r="Y1725" t="s">
        <v>49</v>
      </c>
    </row>
    <row r="1726" spans="2:25" x14ac:dyDescent="0.3">
      <c r="B1726" s="5" t="s">
        <v>69</v>
      </c>
      <c r="C1726" s="5" t="str">
        <f>VLOOKUP(B1726,[1]물질정보!B:C,2,0)</f>
        <v>868-77-9</v>
      </c>
      <c r="D1726" t="str">
        <f>VLOOKUP(B1726,[1]물질정보!B:D,3,0)</f>
        <v>2-hydroxyethyl methacrylate</v>
      </c>
      <c r="E1726" t="str">
        <f>VLOOKUP(B1726,[1]물질정보!B:E,4,0)</f>
        <v>C6H10O3</v>
      </c>
      <c r="F1726" t="str">
        <f>VLOOKUP(B1726,[1]물질정보!B:F,5,0)</f>
        <v>130.139 g/mol</v>
      </c>
      <c r="G1726" s="5" t="str">
        <f>VLOOKUP(B1726,[1]물질정보!B:G,6,0)</f>
        <v>CC(=C)C(=O)OCCO</v>
      </c>
      <c r="H1726" t="s">
        <v>690</v>
      </c>
      <c r="I1726" t="s">
        <v>45</v>
      </c>
      <c r="J1726" t="s">
        <v>49</v>
      </c>
      <c r="K1726">
        <v>100.03</v>
      </c>
      <c r="L1726" t="s">
        <v>39</v>
      </c>
      <c r="M1726" t="s">
        <v>47</v>
      </c>
      <c r="N1726" t="s">
        <v>29</v>
      </c>
      <c r="O1726" t="s">
        <v>29</v>
      </c>
      <c r="P1726">
        <v>48</v>
      </c>
      <c r="Q1726" t="s">
        <v>31</v>
      </c>
      <c r="R1726" t="s">
        <v>411</v>
      </c>
      <c r="S1726" t="s">
        <v>273</v>
      </c>
      <c r="T1726" t="s">
        <v>703</v>
      </c>
      <c r="U1726" t="s">
        <v>735</v>
      </c>
      <c r="V1726" s="6" t="s">
        <v>694</v>
      </c>
      <c r="W1726" t="s">
        <v>47</v>
      </c>
      <c r="X1726" t="s">
        <v>822</v>
      </c>
      <c r="Y1726" t="s">
        <v>49</v>
      </c>
    </row>
    <row r="1727" spans="2:25" x14ac:dyDescent="0.3">
      <c r="B1727" s="5" t="s">
        <v>25</v>
      </c>
      <c r="C1727" s="5" t="str">
        <f>VLOOKUP(B1727,[1]물질정보!B:C,2,0)</f>
        <v>97-88-1</v>
      </c>
      <c r="D1727" t="str">
        <f>VLOOKUP(B1727,[1]물질정보!B:D,3,0)</f>
        <v>butyl methacrylate</v>
      </c>
      <c r="E1727" t="str">
        <f>VLOOKUP(B1727,[1]물질정보!B:E,4,0)</f>
        <v>C8H14O2</v>
      </c>
      <c r="F1727" t="str">
        <f>VLOOKUP(B1727,[1]물질정보!B:F,5,0)</f>
        <v>142.2 g/mol</v>
      </c>
      <c r="G1727" s="5" t="str">
        <f>VLOOKUP(B1727,[1]물질정보!B:G,6,0)</f>
        <v>CCCCOC(=O)C(=C)C</v>
      </c>
      <c r="H1727" t="s">
        <v>690</v>
      </c>
      <c r="I1727" t="s">
        <v>45</v>
      </c>
      <c r="J1727" t="s">
        <v>49</v>
      </c>
      <c r="K1727">
        <v>59.56</v>
      </c>
      <c r="L1727" t="s">
        <v>39</v>
      </c>
      <c r="M1727" t="s">
        <v>47</v>
      </c>
      <c r="N1727" t="s">
        <v>29</v>
      </c>
      <c r="O1727" t="s">
        <v>29</v>
      </c>
      <c r="P1727">
        <v>48</v>
      </c>
      <c r="Q1727" t="s">
        <v>31</v>
      </c>
      <c r="R1727" t="s">
        <v>411</v>
      </c>
      <c r="S1727" t="s">
        <v>273</v>
      </c>
      <c r="T1727" t="s">
        <v>704</v>
      </c>
      <c r="U1727" t="s">
        <v>735</v>
      </c>
      <c r="V1727" s="6" t="s">
        <v>694</v>
      </c>
      <c r="W1727" t="s">
        <v>47</v>
      </c>
      <c r="X1727" t="s">
        <v>822</v>
      </c>
      <c r="Y1727" t="s">
        <v>49</v>
      </c>
    </row>
    <row r="1728" spans="2:25" x14ac:dyDescent="0.3">
      <c r="B1728" s="5" t="s">
        <v>68</v>
      </c>
      <c r="C1728" s="5" t="str">
        <f>VLOOKUP(B1728,[1]물질정보!B:C,2,0)</f>
        <v>997-46-6</v>
      </c>
      <c r="D1728" t="str">
        <f>VLOOKUP(B1728,[1]물질정보!B:D,3,0)</f>
        <v>4-hydroxybutyl methacrylate</v>
      </c>
      <c r="E1728" t="str">
        <f>VLOOKUP(B1728,[1]물질정보!B:E,4,0)</f>
        <v>C8H14O3</v>
      </c>
      <c r="F1728" t="str">
        <f>VLOOKUP(B1728,[1]물질정보!B:F,5,0)</f>
        <v>158.19 g/mol</v>
      </c>
      <c r="G1728" s="5" t="str">
        <f>VLOOKUP(B1728,[1]물질정보!B:G,6,0)</f>
        <v>CC(=C)C(=O)OCCCCO</v>
      </c>
      <c r="H1728" t="s">
        <v>690</v>
      </c>
      <c r="I1728" t="s">
        <v>45</v>
      </c>
      <c r="J1728" t="s">
        <v>49</v>
      </c>
      <c r="K1728">
        <v>116.68</v>
      </c>
      <c r="L1728" t="s">
        <v>39</v>
      </c>
      <c r="M1728" t="s">
        <v>47</v>
      </c>
      <c r="N1728" t="s">
        <v>29</v>
      </c>
      <c r="O1728" t="s">
        <v>29</v>
      </c>
      <c r="P1728">
        <v>48</v>
      </c>
      <c r="Q1728" t="s">
        <v>31</v>
      </c>
      <c r="R1728" t="s">
        <v>411</v>
      </c>
      <c r="S1728" t="s">
        <v>273</v>
      </c>
      <c r="T1728" t="s">
        <v>703</v>
      </c>
      <c r="U1728" t="s">
        <v>735</v>
      </c>
      <c r="V1728" s="6" t="s">
        <v>694</v>
      </c>
      <c r="W1728" t="s">
        <v>47</v>
      </c>
      <c r="X1728" t="s">
        <v>822</v>
      </c>
      <c r="Y1728" t="s">
        <v>49</v>
      </c>
    </row>
    <row r="1729" spans="2:25" x14ac:dyDescent="0.3">
      <c r="B1729" s="5" t="s">
        <v>77</v>
      </c>
      <c r="C1729" s="5" t="str">
        <f>VLOOKUP(B1729,[1]물질정보!B:C,2,0)</f>
        <v>140-88-5</v>
      </c>
      <c r="D1729" t="str">
        <f>VLOOKUP(B1729,[1]물질정보!B:D,3,0)</f>
        <v>ethyl acrylate</v>
      </c>
      <c r="E1729" t="str">
        <f>VLOOKUP(B1729,[1]물질정보!B:E,4,0)</f>
        <v>C5H8O2</v>
      </c>
      <c r="F1729" t="str">
        <f>VLOOKUP(B1729,[1]물질정보!B:F,5,0)</f>
        <v>100.12 g/mol</v>
      </c>
      <c r="G1729" s="5" t="str">
        <f>VLOOKUP(B1729,[1]물질정보!B:G,6,0)</f>
        <v>CCOC(=O)C=C</v>
      </c>
      <c r="H1729" t="s">
        <v>690</v>
      </c>
      <c r="I1729" t="s">
        <v>45</v>
      </c>
      <c r="J1729" t="s">
        <v>49</v>
      </c>
      <c r="K1729">
        <v>104.06</v>
      </c>
      <c r="L1729" t="s">
        <v>39</v>
      </c>
      <c r="M1729" t="s">
        <v>47</v>
      </c>
      <c r="N1729" t="s">
        <v>29</v>
      </c>
      <c r="O1729" t="s">
        <v>29</v>
      </c>
      <c r="P1729">
        <v>48</v>
      </c>
      <c r="Q1729" t="s">
        <v>31</v>
      </c>
      <c r="R1729" t="s">
        <v>411</v>
      </c>
      <c r="S1729" t="s">
        <v>273</v>
      </c>
      <c r="T1729" t="s">
        <v>704</v>
      </c>
      <c r="U1729" t="s">
        <v>735</v>
      </c>
      <c r="V1729" s="6" t="s">
        <v>694</v>
      </c>
      <c r="W1729" t="s">
        <v>47</v>
      </c>
      <c r="X1729" t="s">
        <v>822</v>
      </c>
      <c r="Y1729" t="s">
        <v>49</v>
      </c>
    </row>
    <row r="1730" spans="2:25" x14ac:dyDescent="0.3">
      <c r="B1730" s="5" t="s">
        <v>67</v>
      </c>
      <c r="C1730" s="5" t="str">
        <f>VLOOKUP(B1730,[1]물질정보!B:C,2,0)</f>
        <v>818-61-1</v>
      </c>
      <c r="D1730" t="str">
        <f>VLOOKUP(B1730,[1]물질정보!B:D,3,0)</f>
        <v>2-hydroxyethyl acrylate</v>
      </c>
      <c r="E1730" t="str">
        <f>VLOOKUP(B1730,[1]물질정보!B:E,4,0)</f>
        <v>C5H8O3</v>
      </c>
      <c r="F1730" t="str">
        <f>VLOOKUP(B1730,[1]물질정보!B:F,5,0)</f>
        <v>116.11 g/mol</v>
      </c>
      <c r="G1730" s="5" t="str">
        <f>VLOOKUP(B1730,[1]물질정보!B:G,6,0)</f>
        <v>C=CC(=O)OCCO</v>
      </c>
      <c r="H1730" t="s">
        <v>690</v>
      </c>
      <c r="I1730" t="s">
        <v>45</v>
      </c>
      <c r="J1730" t="s">
        <v>49</v>
      </c>
      <c r="K1730">
        <v>150.65</v>
      </c>
      <c r="L1730" t="s">
        <v>39</v>
      </c>
      <c r="M1730" t="s">
        <v>47</v>
      </c>
      <c r="N1730" t="s">
        <v>29</v>
      </c>
      <c r="O1730" t="s">
        <v>29</v>
      </c>
      <c r="P1730">
        <v>48</v>
      </c>
      <c r="Q1730" t="s">
        <v>31</v>
      </c>
      <c r="R1730" t="s">
        <v>411</v>
      </c>
      <c r="S1730" t="s">
        <v>273</v>
      </c>
      <c r="T1730" t="s">
        <v>703</v>
      </c>
      <c r="U1730" t="s">
        <v>735</v>
      </c>
      <c r="V1730" s="6" t="s">
        <v>694</v>
      </c>
      <c r="W1730" t="s">
        <v>47</v>
      </c>
      <c r="X1730" t="s">
        <v>822</v>
      </c>
      <c r="Y1730" t="s">
        <v>49</v>
      </c>
    </row>
    <row r="1731" spans="2:25" x14ac:dyDescent="0.3">
      <c r="B1731" s="5" t="s">
        <v>65</v>
      </c>
      <c r="C1731" s="5" t="str">
        <f>VLOOKUP(B1731,[1]물질정보!B:C,2,0)</f>
        <v>141-32-2</v>
      </c>
      <c r="D1731" t="str">
        <f>VLOOKUP(B1731,[1]물질정보!B:D,3,0)</f>
        <v>butyl acrylate</v>
      </c>
      <c r="E1731" t="str">
        <f>VLOOKUP(B1731,[1]물질정보!B:E,4,0)</f>
        <v>C7H12O2</v>
      </c>
      <c r="F1731" t="str">
        <f>VLOOKUP(B1731,[1]물질정보!B:F,5,0)</f>
        <v>128.169 g/mol</v>
      </c>
      <c r="G1731" s="5" t="str">
        <f>VLOOKUP(B1731,[1]물질정보!B:G,6,0)</f>
        <v>CCCCOC(=O)C=C</v>
      </c>
      <c r="H1731" t="s">
        <v>690</v>
      </c>
      <c r="I1731" t="s">
        <v>45</v>
      </c>
      <c r="J1731" t="s">
        <v>49</v>
      </c>
      <c r="K1731">
        <v>53.61</v>
      </c>
      <c r="L1731" t="s">
        <v>39</v>
      </c>
      <c r="M1731" t="s">
        <v>47</v>
      </c>
      <c r="N1731" t="s">
        <v>29</v>
      </c>
      <c r="O1731" t="s">
        <v>29</v>
      </c>
      <c r="P1731">
        <v>48</v>
      </c>
      <c r="Q1731" t="s">
        <v>31</v>
      </c>
      <c r="R1731" t="s">
        <v>411</v>
      </c>
      <c r="S1731" t="s">
        <v>273</v>
      </c>
      <c r="T1731" t="s">
        <v>704</v>
      </c>
      <c r="U1731" t="s">
        <v>735</v>
      </c>
      <c r="V1731" s="6" t="s">
        <v>694</v>
      </c>
      <c r="W1731" t="s">
        <v>47</v>
      </c>
      <c r="X1731" t="s">
        <v>822</v>
      </c>
      <c r="Y1731" t="s">
        <v>49</v>
      </c>
    </row>
    <row r="1732" spans="2:25" x14ac:dyDescent="0.3">
      <c r="B1732" s="5" t="s">
        <v>64</v>
      </c>
      <c r="C1732" s="5" t="str">
        <f>VLOOKUP(B1732,[1]물질정보!B:C,2,0)</f>
        <v>2478-10-6</v>
      </c>
      <c r="D1732" t="str">
        <f>VLOOKUP(B1732,[1]물질정보!B:D,3,0)</f>
        <v>4-hydroxybutyl acrylate</v>
      </c>
      <c r="E1732" t="str">
        <f>VLOOKUP(B1732,[1]물질정보!B:E,4,0)</f>
        <v>C7H12O3</v>
      </c>
      <c r="F1732" t="str">
        <f>VLOOKUP(B1732,[1]물질정보!B:F,5,0)</f>
        <v>144.17 g/mol</v>
      </c>
      <c r="G1732" s="5" t="str">
        <f>VLOOKUP(B1732,[1]물질정보!B:G,6,0)</f>
        <v>C=CC(=O)OCCCCO</v>
      </c>
      <c r="H1732" t="s">
        <v>690</v>
      </c>
      <c r="I1732" t="s">
        <v>45</v>
      </c>
      <c r="J1732" t="s">
        <v>49</v>
      </c>
      <c r="K1732">
        <v>167.17</v>
      </c>
      <c r="L1732" t="s">
        <v>39</v>
      </c>
      <c r="M1732" t="s">
        <v>47</v>
      </c>
      <c r="N1732" t="s">
        <v>29</v>
      </c>
      <c r="O1732" t="s">
        <v>29</v>
      </c>
      <c r="P1732">
        <v>48</v>
      </c>
      <c r="Q1732" t="s">
        <v>31</v>
      </c>
      <c r="R1732" t="s">
        <v>411</v>
      </c>
      <c r="S1732" t="s">
        <v>273</v>
      </c>
      <c r="T1732" t="s">
        <v>704</v>
      </c>
      <c r="U1732" t="s">
        <v>735</v>
      </c>
      <c r="V1732" s="6" t="s">
        <v>694</v>
      </c>
      <c r="W1732" t="s">
        <v>47</v>
      </c>
      <c r="X1732" t="s">
        <v>822</v>
      </c>
      <c r="Y1732" t="s">
        <v>49</v>
      </c>
    </row>
    <row r="1733" spans="2:25" x14ac:dyDescent="0.3">
      <c r="B1733" s="5" t="s">
        <v>59</v>
      </c>
      <c r="C1733" s="5" t="str">
        <f>VLOOKUP(B1733,[1]물질정보!B:C,2,0)</f>
        <v>2499-95-8</v>
      </c>
      <c r="D1733" t="str">
        <f>VLOOKUP(B1733,[1]물질정보!B:D,3,0)</f>
        <v>hexyl acrylate</v>
      </c>
      <c r="E1733" t="str">
        <f>VLOOKUP(B1733,[1]물질정보!B:E,4,0)</f>
        <v>C9H16O2</v>
      </c>
      <c r="F1733" t="str">
        <f>VLOOKUP(B1733,[1]물질정보!B:F,5,0)</f>
        <v>156.22 g/mol</v>
      </c>
      <c r="G1733" s="5" t="str">
        <f>VLOOKUP(B1733,[1]물질정보!B:G,6,0)</f>
        <v>CCCCCCOC(=O)C=C</v>
      </c>
      <c r="H1733" t="s">
        <v>690</v>
      </c>
      <c r="I1733" t="s">
        <v>45</v>
      </c>
      <c r="J1733" t="s">
        <v>49</v>
      </c>
      <c r="K1733">
        <v>20.37</v>
      </c>
      <c r="L1733" t="s">
        <v>39</v>
      </c>
      <c r="M1733" t="s">
        <v>47</v>
      </c>
      <c r="N1733" t="s">
        <v>29</v>
      </c>
      <c r="O1733" t="s">
        <v>29</v>
      </c>
      <c r="P1733">
        <v>48</v>
      </c>
      <c r="Q1733" t="s">
        <v>31</v>
      </c>
      <c r="R1733" t="s">
        <v>411</v>
      </c>
      <c r="S1733" t="s">
        <v>273</v>
      </c>
      <c r="T1733" t="s">
        <v>704</v>
      </c>
      <c r="U1733" t="s">
        <v>735</v>
      </c>
      <c r="V1733" s="6" t="s">
        <v>694</v>
      </c>
      <c r="W1733" t="s">
        <v>47</v>
      </c>
      <c r="X1733" t="s">
        <v>822</v>
      </c>
      <c r="Y1733" t="s">
        <v>49</v>
      </c>
    </row>
    <row r="1734" spans="2:25" x14ac:dyDescent="0.3">
      <c r="B1734" s="5" t="s">
        <v>70</v>
      </c>
      <c r="C1734" s="5" t="str">
        <f>VLOOKUP(B1734,[1]물질정보!B:C,2,0)</f>
        <v>10095-14-4</v>
      </c>
      <c r="D1734" t="str">
        <f>VLOOKUP(B1734,[1]물질정보!B:D,3,0)</f>
        <v>6-hydroxybutyl acrylate</v>
      </c>
      <c r="E1734" t="str">
        <f>VLOOKUP(B1734,[1]물질정보!B:E,4,0)</f>
        <v>C9H16O3</v>
      </c>
      <c r="F1734" t="str">
        <f>VLOOKUP(B1734,[1]물질정보!B:F,5,0)</f>
        <v>172.22 g/mol</v>
      </c>
      <c r="G1734" s="5" t="str">
        <f>VLOOKUP(B1734,[1]물질정보!B:G,6,0)</f>
        <v>C=CC(=O)OCCCCCCO</v>
      </c>
      <c r="H1734" t="s">
        <v>690</v>
      </c>
      <c r="I1734" t="s">
        <v>45</v>
      </c>
      <c r="J1734" t="s">
        <v>49</v>
      </c>
      <c r="K1734">
        <v>66.38</v>
      </c>
      <c r="L1734" t="s">
        <v>39</v>
      </c>
      <c r="M1734" t="s">
        <v>47</v>
      </c>
      <c r="N1734" t="s">
        <v>29</v>
      </c>
      <c r="O1734" t="s">
        <v>29</v>
      </c>
      <c r="P1734">
        <v>48</v>
      </c>
      <c r="Q1734" t="s">
        <v>31</v>
      </c>
      <c r="R1734" t="s">
        <v>411</v>
      </c>
      <c r="S1734" t="s">
        <v>273</v>
      </c>
      <c r="T1734" t="s">
        <v>704</v>
      </c>
      <c r="U1734" t="s">
        <v>735</v>
      </c>
      <c r="V1734" s="6" t="s">
        <v>694</v>
      </c>
      <c r="W1734" t="s">
        <v>47</v>
      </c>
      <c r="X1734" t="s">
        <v>822</v>
      </c>
      <c r="Y1734" t="s">
        <v>49</v>
      </c>
    </row>
    <row r="1735" spans="2:25" x14ac:dyDescent="0.3">
      <c r="B1735" s="5" t="s">
        <v>78</v>
      </c>
      <c r="C1735" s="5" t="str">
        <f>VLOOKUP(B1735,[1]물질정보!B:C,2,0)</f>
        <v>-</v>
      </c>
      <c r="D1735" t="str">
        <f>VLOOKUP(B1735,[1]물질정보!B:D,3,0)</f>
        <v xml:space="preserve">9-(9H-Carbazol-9-yl)-7H-benzo[c]carbazole </v>
      </c>
      <c r="E1735" t="str">
        <f>VLOOKUP(B1735,[1]물질정보!B:E,4,0)</f>
        <v>C28H18N2</v>
      </c>
      <c r="F1735" t="str">
        <f>VLOOKUP(B1735,[1]물질정보!B:F,5,0)</f>
        <v>382.5 g/mol</v>
      </c>
      <c r="G1735" s="5" t="str">
        <f>VLOOKUP(B1735,[1]물질정보!B:G,6,0)</f>
        <v>C1=CC=C2C(=C1)C=CC3=C2C4=C(N3)C=C(C=C4)N5C6=CC=CC=C6C7=CC=CC=C75</v>
      </c>
      <c r="H1735" t="s">
        <v>690</v>
      </c>
      <c r="I1735" t="s">
        <v>51</v>
      </c>
      <c r="J1735" t="s">
        <v>49</v>
      </c>
      <c r="K1735">
        <v>1E-4</v>
      </c>
      <c r="L1735" t="s">
        <v>39</v>
      </c>
      <c r="M1735" t="s">
        <v>736</v>
      </c>
      <c r="N1735" t="s">
        <v>29</v>
      </c>
      <c r="O1735" t="s">
        <v>29</v>
      </c>
      <c r="P1735">
        <v>96</v>
      </c>
      <c r="Q1735" t="s">
        <v>31</v>
      </c>
      <c r="R1735" t="s">
        <v>411</v>
      </c>
      <c r="S1735" t="s">
        <v>243</v>
      </c>
      <c r="T1735" t="s">
        <v>737</v>
      </c>
      <c r="U1735" t="s">
        <v>738</v>
      </c>
      <c r="V1735" s="6" t="s">
        <v>694</v>
      </c>
      <c r="W1735" t="s">
        <v>736</v>
      </c>
      <c r="X1735" t="s">
        <v>823</v>
      </c>
      <c r="Y1735" t="s">
        <v>49</v>
      </c>
    </row>
    <row r="1736" spans="2:25" x14ac:dyDescent="0.3">
      <c r="B1736" s="5" t="s">
        <v>359</v>
      </c>
      <c r="C1736" s="5" t="str">
        <f>VLOOKUP(B1736,[1]물질정보!B:C,2,0)</f>
        <v>205-25-4</v>
      </c>
      <c r="D1736" t="str">
        <f>VLOOKUP(B1736,[1]물질정보!B:D,3,0)</f>
        <v xml:space="preserve">7H-Benzo[c]carbazole </v>
      </c>
      <c r="E1736" t="str">
        <f>VLOOKUP(B1736,[1]물질정보!B:E,4,0)</f>
        <v>C16H11N</v>
      </c>
      <c r="F1736" t="str">
        <f>VLOOKUP(B1736,[1]물질정보!B:F,5,0)</f>
        <v>217.26 g/mol</v>
      </c>
      <c r="G1736" s="5" t="str">
        <f>VLOOKUP(B1736,[1]물질정보!B:G,6,0)</f>
        <v>C1=CC=C2C(=C1)C=CC3=C2C4=CC=CC=C4N3</v>
      </c>
      <c r="H1736" t="s">
        <v>690</v>
      </c>
      <c r="I1736" t="s">
        <v>51</v>
      </c>
      <c r="J1736" t="s">
        <v>49</v>
      </c>
      <c r="K1736">
        <v>0.12620000000000001</v>
      </c>
      <c r="L1736" t="s">
        <v>39</v>
      </c>
      <c r="M1736" t="s">
        <v>736</v>
      </c>
      <c r="N1736" t="s">
        <v>29</v>
      </c>
      <c r="O1736" t="s">
        <v>29</v>
      </c>
      <c r="P1736">
        <v>96</v>
      </c>
      <c r="Q1736" t="s">
        <v>31</v>
      </c>
      <c r="R1736" t="s">
        <v>411</v>
      </c>
      <c r="S1736" t="s">
        <v>243</v>
      </c>
      <c r="T1736" t="s">
        <v>704</v>
      </c>
      <c r="U1736" t="s">
        <v>738</v>
      </c>
      <c r="V1736" s="6" t="s">
        <v>694</v>
      </c>
      <c r="W1736" t="s">
        <v>736</v>
      </c>
      <c r="X1736" t="s">
        <v>823</v>
      </c>
      <c r="Y1736" t="s">
        <v>49</v>
      </c>
    </row>
    <row r="1737" spans="2:25" x14ac:dyDescent="0.3">
      <c r="B1737" s="5" t="s">
        <v>503</v>
      </c>
      <c r="C1737" s="5" t="str">
        <f>VLOOKUP(B1737,[1]물질정보!B:C,2,0)</f>
        <v>97-63-2</v>
      </c>
      <c r="D1737" t="str">
        <f>VLOOKUP(B1737,[1]물질정보!B:D,3,0)</f>
        <v>ethyl methacrylate</v>
      </c>
      <c r="E1737" t="str">
        <f>VLOOKUP(B1737,[1]물질정보!B:E,4,0)</f>
        <v>C6H10O2</v>
      </c>
      <c r="F1737" t="str">
        <f>VLOOKUP(B1737,[1]물질정보!B:F,5,0)</f>
        <v>114.14 g/mol</v>
      </c>
      <c r="G1737" s="5" t="str">
        <f>VLOOKUP(B1737,[1]물질정보!B:G,6,0)</f>
        <v>CCOC(=O)C(=C)C</v>
      </c>
      <c r="H1737" t="s">
        <v>690</v>
      </c>
      <c r="I1737" t="s">
        <v>51</v>
      </c>
      <c r="J1737" t="s">
        <v>49</v>
      </c>
      <c r="K1737">
        <v>40.78</v>
      </c>
      <c r="L1737" t="s">
        <v>39</v>
      </c>
      <c r="M1737" t="s">
        <v>736</v>
      </c>
      <c r="N1737" t="s">
        <v>29</v>
      </c>
      <c r="O1737" t="s">
        <v>29</v>
      </c>
      <c r="P1737">
        <v>96</v>
      </c>
      <c r="Q1737" t="s">
        <v>31</v>
      </c>
      <c r="R1737" t="s">
        <v>411</v>
      </c>
      <c r="S1737" t="s">
        <v>243</v>
      </c>
      <c r="T1737" t="s">
        <v>703</v>
      </c>
      <c r="U1737" t="s">
        <v>738</v>
      </c>
      <c r="V1737" s="6" t="s">
        <v>694</v>
      </c>
      <c r="W1737" t="s">
        <v>736</v>
      </c>
      <c r="X1737" t="s">
        <v>823</v>
      </c>
      <c r="Y1737" t="s">
        <v>49</v>
      </c>
    </row>
    <row r="1738" spans="2:25" x14ac:dyDescent="0.3">
      <c r="B1738" s="5" t="s">
        <v>69</v>
      </c>
      <c r="C1738" s="5" t="str">
        <f>VLOOKUP(B1738,[1]물질정보!B:C,2,0)</f>
        <v>868-77-9</v>
      </c>
      <c r="D1738" t="str">
        <f>VLOOKUP(B1738,[1]물질정보!B:D,3,0)</f>
        <v>2-hydroxyethyl methacrylate</v>
      </c>
      <c r="E1738" t="str">
        <f>VLOOKUP(B1738,[1]물질정보!B:E,4,0)</f>
        <v>C6H10O3</v>
      </c>
      <c r="F1738" t="str">
        <f>VLOOKUP(B1738,[1]물질정보!B:F,5,0)</f>
        <v>130.139 g/mol</v>
      </c>
      <c r="G1738" s="5" t="str">
        <f>VLOOKUP(B1738,[1]물질정보!B:G,6,0)</f>
        <v>CC(=C)C(=O)OCCO</v>
      </c>
      <c r="H1738" t="s">
        <v>690</v>
      </c>
      <c r="I1738" t="s">
        <v>51</v>
      </c>
      <c r="J1738" t="s">
        <v>49</v>
      </c>
      <c r="K1738">
        <v>147.54</v>
      </c>
      <c r="L1738" t="s">
        <v>39</v>
      </c>
      <c r="M1738" t="s">
        <v>736</v>
      </c>
      <c r="N1738" t="s">
        <v>29</v>
      </c>
      <c r="O1738" t="s">
        <v>29</v>
      </c>
      <c r="P1738">
        <v>96</v>
      </c>
      <c r="Q1738" t="s">
        <v>31</v>
      </c>
      <c r="R1738" t="s">
        <v>411</v>
      </c>
      <c r="S1738" t="s">
        <v>243</v>
      </c>
      <c r="T1738" t="s">
        <v>739</v>
      </c>
      <c r="U1738" t="s">
        <v>738</v>
      </c>
      <c r="V1738" s="6" t="s">
        <v>694</v>
      </c>
      <c r="W1738" t="s">
        <v>736</v>
      </c>
      <c r="X1738" t="s">
        <v>823</v>
      </c>
      <c r="Y1738" t="s">
        <v>49</v>
      </c>
    </row>
    <row r="1739" spans="2:25" x14ac:dyDescent="0.3">
      <c r="B1739" s="5" t="s">
        <v>25</v>
      </c>
      <c r="C1739" s="5" t="str">
        <f>VLOOKUP(B1739,[1]물질정보!B:C,2,0)</f>
        <v>97-88-1</v>
      </c>
      <c r="D1739" t="str">
        <f>VLOOKUP(B1739,[1]물질정보!B:D,3,0)</f>
        <v>butyl methacrylate</v>
      </c>
      <c r="E1739" t="str">
        <f>VLOOKUP(B1739,[1]물질정보!B:E,4,0)</f>
        <v>C8H14O2</v>
      </c>
      <c r="F1739" t="str">
        <f>VLOOKUP(B1739,[1]물질정보!B:F,5,0)</f>
        <v>142.2 g/mol</v>
      </c>
      <c r="G1739" s="5" t="str">
        <f>VLOOKUP(B1739,[1]물질정보!B:G,6,0)</f>
        <v>CCCCOC(=O)C(=C)C</v>
      </c>
      <c r="H1739" t="s">
        <v>690</v>
      </c>
      <c r="I1739" t="s">
        <v>51</v>
      </c>
      <c r="J1739" t="s">
        <v>49</v>
      </c>
      <c r="K1739">
        <v>8.74</v>
      </c>
      <c r="L1739" t="s">
        <v>39</v>
      </c>
      <c r="M1739" t="s">
        <v>736</v>
      </c>
      <c r="N1739" t="s">
        <v>29</v>
      </c>
      <c r="O1739" t="s">
        <v>29</v>
      </c>
      <c r="P1739">
        <v>96</v>
      </c>
      <c r="Q1739" t="s">
        <v>31</v>
      </c>
      <c r="R1739" t="s">
        <v>411</v>
      </c>
      <c r="S1739" t="s">
        <v>243</v>
      </c>
      <c r="T1739" t="s">
        <v>704</v>
      </c>
      <c r="U1739" t="s">
        <v>738</v>
      </c>
      <c r="V1739" s="6" t="s">
        <v>694</v>
      </c>
      <c r="W1739" t="s">
        <v>736</v>
      </c>
      <c r="X1739" t="s">
        <v>823</v>
      </c>
      <c r="Y1739" t="s">
        <v>49</v>
      </c>
    </row>
    <row r="1740" spans="2:25" x14ac:dyDescent="0.3">
      <c r="B1740" s="5" t="s">
        <v>68</v>
      </c>
      <c r="C1740" s="5" t="str">
        <f>VLOOKUP(B1740,[1]물질정보!B:C,2,0)</f>
        <v>997-46-6</v>
      </c>
      <c r="D1740" t="str">
        <f>VLOOKUP(B1740,[1]물질정보!B:D,3,0)</f>
        <v>4-hydroxybutyl methacrylate</v>
      </c>
      <c r="E1740" t="str">
        <f>VLOOKUP(B1740,[1]물질정보!B:E,4,0)</f>
        <v>C8H14O3</v>
      </c>
      <c r="F1740" t="str">
        <f>VLOOKUP(B1740,[1]물질정보!B:F,5,0)</f>
        <v>158.19 g/mol</v>
      </c>
      <c r="G1740" s="5" t="str">
        <f>VLOOKUP(B1740,[1]물질정보!B:G,6,0)</f>
        <v>CC(=C)C(=O)OCCCCO</v>
      </c>
      <c r="H1740" t="s">
        <v>690</v>
      </c>
      <c r="I1740" t="s">
        <v>51</v>
      </c>
      <c r="J1740" t="s">
        <v>49</v>
      </c>
      <c r="K1740">
        <v>42.58</v>
      </c>
      <c r="L1740" t="s">
        <v>39</v>
      </c>
      <c r="M1740" t="s">
        <v>736</v>
      </c>
      <c r="N1740" t="s">
        <v>29</v>
      </c>
      <c r="O1740" t="s">
        <v>29</v>
      </c>
      <c r="P1740">
        <v>96</v>
      </c>
      <c r="Q1740" t="s">
        <v>31</v>
      </c>
      <c r="R1740" t="s">
        <v>411</v>
      </c>
      <c r="S1740" t="s">
        <v>243</v>
      </c>
      <c r="T1740" t="s">
        <v>740</v>
      </c>
      <c r="U1740" t="s">
        <v>738</v>
      </c>
      <c r="V1740" s="6" t="s">
        <v>694</v>
      </c>
      <c r="W1740" t="s">
        <v>736</v>
      </c>
      <c r="X1740" t="s">
        <v>823</v>
      </c>
      <c r="Y1740" t="s">
        <v>49</v>
      </c>
    </row>
    <row r="1741" spans="2:25" x14ac:dyDescent="0.3">
      <c r="B1741" s="5" t="s">
        <v>77</v>
      </c>
      <c r="C1741" s="5" t="str">
        <f>VLOOKUP(B1741,[1]물질정보!B:C,2,0)</f>
        <v>140-88-5</v>
      </c>
      <c r="D1741" t="str">
        <f>VLOOKUP(B1741,[1]물질정보!B:D,3,0)</f>
        <v>ethyl acrylate</v>
      </c>
      <c r="E1741" t="str">
        <f>VLOOKUP(B1741,[1]물질정보!B:E,4,0)</f>
        <v>C5H8O2</v>
      </c>
      <c r="F1741" t="str">
        <f>VLOOKUP(B1741,[1]물질정보!B:F,5,0)</f>
        <v>100.12 g/mol</v>
      </c>
      <c r="G1741" s="5" t="str">
        <f>VLOOKUP(B1741,[1]물질정보!B:G,6,0)</f>
        <v>CCOC(=O)C=C</v>
      </c>
      <c r="H1741" t="s">
        <v>690</v>
      </c>
      <c r="I1741" t="s">
        <v>51</v>
      </c>
      <c r="J1741" t="s">
        <v>49</v>
      </c>
      <c r="K1741">
        <v>101.55</v>
      </c>
      <c r="L1741" t="s">
        <v>39</v>
      </c>
      <c r="M1741" t="s">
        <v>736</v>
      </c>
      <c r="N1741" t="s">
        <v>29</v>
      </c>
      <c r="O1741" t="s">
        <v>29</v>
      </c>
      <c r="P1741">
        <v>96</v>
      </c>
      <c r="Q1741" t="s">
        <v>31</v>
      </c>
      <c r="R1741" t="s">
        <v>411</v>
      </c>
      <c r="S1741" t="s">
        <v>243</v>
      </c>
      <c r="T1741" t="s">
        <v>709</v>
      </c>
      <c r="U1741" t="s">
        <v>738</v>
      </c>
      <c r="V1741" s="6" t="s">
        <v>694</v>
      </c>
      <c r="W1741" t="s">
        <v>736</v>
      </c>
      <c r="X1741" t="s">
        <v>823</v>
      </c>
      <c r="Y1741" t="s">
        <v>49</v>
      </c>
    </row>
    <row r="1742" spans="2:25" x14ac:dyDescent="0.3">
      <c r="B1742" s="5" t="s">
        <v>67</v>
      </c>
      <c r="C1742" s="5" t="str">
        <f>VLOOKUP(B1742,[1]물질정보!B:C,2,0)</f>
        <v>818-61-1</v>
      </c>
      <c r="D1742" t="str">
        <f>VLOOKUP(B1742,[1]물질정보!B:D,3,0)</f>
        <v>2-hydroxyethyl acrylate</v>
      </c>
      <c r="E1742" t="str">
        <f>VLOOKUP(B1742,[1]물질정보!B:E,4,0)</f>
        <v>C5H8O3</v>
      </c>
      <c r="F1742" t="str">
        <f>VLOOKUP(B1742,[1]물질정보!B:F,5,0)</f>
        <v>116.11 g/mol</v>
      </c>
      <c r="G1742" s="5" t="str">
        <f>VLOOKUP(B1742,[1]물질정보!B:G,6,0)</f>
        <v>C=CC(=O)OCCO</v>
      </c>
      <c r="H1742" t="s">
        <v>690</v>
      </c>
      <c r="I1742" t="s">
        <v>51</v>
      </c>
      <c r="J1742" t="s">
        <v>49</v>
      </c>
      <c r="K1742">
        <v>338.5</v>
      </c>
      <c r="L1742" t="s">
        <v>39</v>
      </c>
      <c r="M1742" t="s">
        <v>736</v>
      </c>
      <c r="N1742" t="s">
        <v>29</v>
      </c>
      <c r="O1742" t="s">
        <v>29</v>
      </c>
      <c r="P1742">
        <v>96</v>
      </c>
      <c r="Q1742" t="s">
        <v>31</v>
      </c>
      <c r="R1742" t="s">
        <v>411</v>
      </c>
      <c r="S1742" t="s">
        <v>243</v>
      </c>
      <c r="T1742" t="s">
        <v>709</v>
      </c>
      <c r="U1742" t="s">
        <v>738</v>
      </c>
      <c r="V1742" s="6" t="s">
        <v>694</v>
      </c>
      <c r="W1742" t="s">
        <v>736</v>
      </c>
      <c r="X1742" t="s">
        <v>823</v>
      </c>
      <c r="Y1742" t="s">
        <v>49</v>
      </c>
    </row>
    <row r="1743" spans="2:25" x14ac:dyDescent="0.3">
      <c r="B1743" s="5" t="s">
        <v>65</v>
      </c>
      <c r="C1743" s="5" t="str">
        <f>VLOOKUP(B1743,[1]물질정보!B:C,2,0)</f>
        <v>141-32-2</v>
      </c>
      <c r="D1743" t="str">
        <f>VLOOKUP(B1743,[1]물질정보!B:D,3,0)</f>
        <v>butyl acrylate</v>
      </c>
      <c r="E1743" t="str">
        <f>VLOOKUP(B1743,[1]물질정보!B:E,4,0)</f>
        <v>C7H12O2</v>
      </c>
      <c r="F1743" t="str">
        <f>VLOOKUP(B1743,[1]물질정보!B:F,5,0)</f>
        <v>128.169 g/mol</v>
      </c>
      <c r="G1743" s="5" t="str">
        <f>VLOOKUP(B1743,[1]물질정보!B:G,6,0)</f>
        <v>CCCCOC(=O)C=C</v>
      </c>
      <c r="H1743" t="s">
        <v>690</v>
      </c>
      <c r="I1743" t="s">
        <v>51</v>
      </c>
      <c r="J1743" t="s">
        <v>49</v>
      </c>
      <c r="K1743">
        <v>19.899999999999999</v>
      </c>
      <c r="L1743" t="s">
        <v>39</v>
      </c>
      <c r="M1743" t="s">
        <v>736</v>
      </c>
      <c r="N1743" t="s">
        <v>29</v>
      </c>
      <c r="O1743" t="s">
        <v>29</v>
      </c>
      <c r="P1743">
        <v>96</v>
      </c>
      <c r="Q1743" t="s">
        <v>31</v>
      </c>
      <c r="R1743" t="s">
        <v>411</v>
      </c>
      <c r="S1743" t="s">
        <v>243</v>
      </c>
      <c r="T1743" t="s">
        <v>704</v>
      </c>
      <c r="U1743" t="s">
        <v>738</v>
      </c>
      <c r="V1743" s="6" t="s">
        <v>694</v>
      </c>
      <c r="W1743" t="s">
        <v>736</v>
      </c>
      <c r="X1743" t="s">
        <v>823</v>
      </c>
      <c r="Y1743" t="s">
        <v>49</v>
      </c>
    </row>
    <row r="1744" spans="2:25" x14ac:dyDescent="0.3">
      <c r="B1744" s="5" t="s">
        <v>64</v>
      </c>
      <c r="C1744" s="5" t="str">
        <f>VLOOKUP(B1744,[1]물질정보!B:C,2,0)</f>
        <v>2478-10-6</v>
      </c>
      <c r="D1744" t="str">
        <f>VLOOKUP(B1744,[1]물질정보!B:D,3,0)</f>
        <v>4-hydroxybutyl acrylate</v>
      </c>
      <c r="E1744" t="str">
        <f>VLOOKUP(B1744,[1]물질정보!B:E,4,0)</f>
        <v>C7H12O3</v>
      </c>
      <c r="F1744" t="str">
        <f>VLOOKUP(B1744,[1]물질정보!B:F,5,0)</f>
        <v>144.17 g/mol</v>
      </c>
      <c r="G1744" s="5" t="str">
        <f>VLOOKUP(B1744,[1]물질정보!B:G,6,0)</f>
        <v>C=CC(=O)OCCCCO</v>
      </c>
      <c r="H1744" t="s">
        <v>690</v>
      </c>
      <c r="I1744" t="s">
        <v>51</v>
      </c>
      <c r="J1744" t="s">
        <v>49</v>
      </c>
      <c r="K1744">
        <v>93.05</v>
      </c>
      <c r="L1744" t="s">
        <v>39</v>
      </c>
      <c r="M1744" t="s">
        <v>736</v>
      </c>
      <c r="N1744" t="s">
        <v>29</v>
      </c>
      <c r="O1744" t="s">
        <v>29</v>
      </c>
      <c r="P1744">
        <v>96</v>
      </c>
      <c r="Q1744" t="s">
        <v>31</v>
      </c>
      <c r="R1744" t="s">
        <v>411</v>
      </c>
      <c r="S1744" t="s">
        <v>243</v>
      </c>
      <c r="T1744" t="s">
        <v>703</v>
      </c>
      <c r="U1744" t="s">
        <v>738</v>
      </c>
      <c r="V1744" s="6" t="s">
        <v>694</v>
      </c>
      <c r="W1744" t="s">
        <v>736</v>
      </c>
      <c r="X1744" t="s">
        <v>823</v>
      </c>
      <c r="Y1744" t="s">
        <v>49</v>
      </c>
    </row>
    <row r="1745" spans="2:25" x14ac:dyDescent="0.3">
      <c r="B1745" s="5" t="s">
        <v>59</v>
      </c>
      <c r="C1745" s="5" t="str">
        <f>VLOOKUP(B1745,[1]물질정보!B:C,2,0)</f>
        <v>2499-95-8</v>
      </c>
      <c r="D1745" t="str">
        <f>VLOOKUP(B1745,[1]물질정보!B:D,3,0)</f>
        <v>hexyl acrylate</v>
      </c>
      <c r="E1745" t="str">
        <f>VLOOKUP(B1745,[1]물질정보!B:E,4,0)</f>
        <v>C9H16O2</v>
      </c>
      <c r="F1745" t="str">
        <f>VLOOKUP(B1745,[1]물질정보!B:F,5,0)</f>
        <v>156.22 g/mol</v>
      </c>
      <c r="G1745" s="5" t="str">
        <f>VLOOKUP(B1745,[1]물질정보!B:G,6,0)</f>
        <v>CCCCCCOC(=O)C=C</v>
      </c>
      <c r="H1745" t="s">
        <v>690</v>
      </c>
      <c r="I1745" t="s">
        <v>51</v>
      </c>
      <c r="J1745" t="s">
        <v>49</v>
      </c>
      <c r="K1745">
        <v>7.72</v>
      </c>
      <c r="L1745" t="s">
        <v>39</v>
      </c>
      <c r="M1745" t="s">
        <v>736</v>
      </c>
      <c r="N1745" t="s">
        <v>29</v>
      </c>
      <c r="O1745" t="s">
        <v>29</v>
      </c>
      <c r="P1745">
        <v>96</v>
      </c>
      <c r="Q1745" t="s">
        <v>31</v>
      </c>
      <c r="R1745" t="s">
        <v>411</v>
      </c>
      <c r="S1745" t="s">
        <v>243</v>
      </c>
      <c r="T1745" t="s">
        <v>708</v>
      </c>
      <c r="U1745" t="s">
        <v>738</v>
      </c>
      <c r="V1745" s="6" t="s">
        <v>694</v>
      </c>
      <c r="W1745" t="s">
        <v>736</v>
      </c>
      <c r="X1745" t="s">
        <v>823</v>
      </c>
      <c r="Y1745" t="s">
        <v>49</v>
      </c>
    </row>
    <row r="1746" spans="2:25" x14ac:dyDescent="0.3">
      <c r="B1746" s="5" t="s">
        <v>70</v>
      </c>
      <c r="C1746" s="5" t="str">
        <f>VLOOKUP(B1746,[1]물질정보!B:C,2,0)</f>
        <v>10095-14-4</v>
      </c>
      <c r="D1746" t="str">
        <f>VLOOKUP(B1746,[1]물질정보!B:D,3,0)</f>
        <v>6-hydroxybutyl acrylate</v>
      </c>
      <c r="E1746" t="str">
        <f>VLOOKUP(B1746,[1]물질정보!B:E,4,0)</f>
        <v>C9H16O3</v>
      </c>
      <c r="F1746" t="str">
        <f>VLOOKUP(B1746,[1]물질정보!B:F,5,0)</f>
        <v>172.22 g/mol</v>
      </c>
      <c r="G1746" s="5" t="str">
        <f>VLOOKUP(B1746,[1]물질정보!B:G,6,0)</f>
        <v>C=CC(=O)OCCCCCCO</v>
      </c>
      <c r="H1746" t="s">
        <v>690</v>
      </c>
      <c r="I1746" t="s">
        <v>51</v>
      </c>
      <c r="J1746" t="s">
        <v>49</v>
      </c>
      <c r="K1746">
        <v>30.82</v>
      </c>
      <c r="L1746" t="s">
        <v>39</v>
      </c>
      <c r="M1746" t="s">
        <v>736</v>
      </c>
      <c r="N1746" t="s">
        <v>29</v>
      </c>
      <c r="O1746" t="s">
        <v>29</v>
      </c>
      <c r="P1746">
        <v>96</v>
      </c>
      <c r="Q1746" t="s">
        <v>31</v>
      </c>
      <c r="R1746" t="s">
        <v>411</v>
      </c>
      <c r="S1746" t="s">
        <v>243</v>
      </c>
      <c r="T1746" t="s">
        <v>703</v>
      </c>
      <c r="U1746" t="s">
        <v>738</v>
      </c>
      <c r="V1746" s="6" t="s">
        <v>694</v>
      </c>
      <c r="W1746" t="s">
        <v>736</v>
      </c>
      <c r="X1746" t="s">
        <v>823</v>
      </c>
      <c r="Y1746" t="s">
        <v>49</v>
      </c>
    </row>
    <row r="1747" spans="2:25" x14ac:dyDescent="0.3">
      <c r="B1747" s="5" t="s">
        <v>78</v>
      </c>
      <c r="C1747" s="5" t="str">
        <f>VLOOKUP(B1747,[1]물질정보!B:C,2,0)</f>
        <v>-</v>
      </c>
      <c r="D1747" t="str">
        <f>VLOOKUP(B1747,[1]물질정보!B:D,3,0)</f>
        <v xml:space="preserve">9-(9H-Carbazol-9-yl)-7H-benzo[c]carbazole </v>
      </c>
      <c r="E1747" t="str">
        <f>VLOOKUP(B1747,[1]물질정보!B:E,4,0)</f>
        <v>C28H18N2</v>
      </c>
      <c r="F1747" t="str">
        <f>VLOOKUP(B1747,[1]물질정보!B:F,5,0)</f>
        <v>382.5 g/mol</v>
      </c>
      <c r="G1747" s="5" t="str">
        <f>VLOOKUP(B1747,[1]물질정보!B:G,6,0)</f>
        <v>C1=CC=C2C(=C1)C=CC3=C2C4=C(N3)C=C(C=C4)N5C6=CC=CC=C6C7=CC=CC=C75</v>
      </c>
      <c r="H1747" t="s">
        <v>690</v>
      </c>
      <c r="I1747" t="s">
        <v>51</v>
      </c>
      <c r="J1747" t="s">
        <v>49</v>
      </c>
      <c r="K1747" t="s">
        <v>29</v>
      </c>
      <c r="L1747" t="s">
        <v>39</v>
      </c>
      <c r="M1747" t="s">
        <v>736</v>
      </c>
      <c r="N1747" t="s">
        <v>29</v>
      </c>
      <c r="O1747" t="s">
        <v>29</v>
      </c>
      <c r="P1747">
        <v>96</v>
      </c>
      <c r="Q1747" t="s">
        <v>31</v>
      </c>
      <c r="R1747" t="s">
        <v>695</v>
      </c>
      <c r="S1747" t="s">
        <v>243</v>
      </c>
      <c r="T1747" t="s">
        <v>742</v>
      </c>
      <c r="U1747" t="s">
        <v>741</v>
      </c>
      <c r="V1747" s="6" t="s">
        <v>694</v>
      </c>
      <c r="W1747" t="s">
        <v>736</v>
      </c>
      <c r="X1747" t="s">
        <v>823</v>
      </c>
      <c r="Y1747" t="s">
        <v>49</v>
      </c>
    </row>
    <row r="1748" spans="2:25" x14ac:dyDescent="0.3">
      <c r="B1748" s="5" t="s">
        <v>359</v>
      </c>
      <c r="C1748" s="5" t="str">
        <f>VLOOKUP(B1748,[1]물질정보!B:C,2,0)</f>
        <v>205-25-4</v>
      </c>
      <c r="D1748" t="str">
        <f>VLOOKUP(B1748,[1]물질정보!B:D,3,0)</f>
        <v xml:space="preserve">7H-Benzo[c]carbazole </v>
      </c>
      <c r="E1748" t="str">
        <f>VLOOKUP(B1748,[1]물질정보!B:E,4,0)</f>
        <v>C16H11N</v>
      </c>
      <c r="F1748" t="str">
        <f>VLOOKUP(B1748,[1]물질정보!B:F,5,0)</f>
        <v>217.26 g/mol</v>
      </c>
      <c r="G1748" s="5" t="str">
        <f>VLOOKUP(B1748,[1]물질정보!B:G,6,0)</f>
        <v>C1=CC=C2C(=C1)C=CC3=C2C4=CC=CC=C4N3</v>
      </c>
      <c r="H1748" t="s">
        <v>690</v>
      </c>
      <c r="I1748" t="s">
        <v>51</v>
      </c>
      <c r="J1748" t="s">
        <v>49</v>
      </c>
      <c r="K1748" t="s">
        <v>29</v>
      </c>
      <c r="L1748" t="s">
        <v>39</v>
      </c>
      <c r="M1748" t="s">
        <v>736</v>
      </c>
      <c r="N1748" t="s">
        <v>29</v>
      </c>
      <c r="O1748" t="s">
        <v>29</v>
      </c>
      <c r="P1748">
        <v>96</v>
      </c>
      <c r="Q1748" t="s">
        <v>31</v>
      </c>
      <c r="R1748" t="s">
        <v>695</v>
      </c>
      <c r="S1748" t="s">
        <v>243</v>
      </c>
      <c r="T1748" t="s">
        <v>742</v>
      </c>
      <c r="U1748" t="s">
        <v>741</v>
      </c>
      <c r="V1748" s="6" t="s">
        <v>694</v>
      </c>
      <c r="W1748" t="s">
        <v>736</v>
      </c>
      <c r="X1748" t="s">
        <v>823</v>
      </c>
      <c r="Y1748" t="s">
        <v>49</v>
      </c>
    </row>
    <row r="1749" spans="2:25" x14ac:dyDescent="0.3">
      <c r="B1749" s="5" t="s">
        <v>503</v>
      </c>
      <c r="C1749" s="5" t="str">
        <f>VLOOKUP(B1749,[1]물질정보!B:C,2,0)</f>
        <v>97-63-2</v>
      </c>
      <c r="D1749" t="str">
        <f>VLOOKUP(B1749,[1]물질정보!B:D,3,0)</f>
        <v>ethyl methacrylate</v>
      </c>
      <c r="E1749" t="str">
        <f>VLOOKUP(B1749,[1]물질정보!B:E,4,0)</f>
        <v>C6H10O2</v>
      </c>
      <c r="F1749" t="str">
        <f>VLOOKUP(B1749,[1]물질정보!B:F,5,0)</f>
        <v>114.14 g/mol</v>
      </c>
      <c r="G1749" s="5" t="str">
        <f>VLOOKUP(B1749,[1]물질정보!B:G,6,0)</f>
        <v>CCOC(=O)C(=C)C</v>
      </c>
      <c r="H1749" t="s">
        <v>690</v>
      </c>
      <c r="I1749" t="s">
        <v>51</v>
      </c>
      <c r="J1749" t="s">
        <v>49</v>
      </c>
      <c r="K1749">
        <v>11.67</v>
      </c>
      <c r="L1749" t="s">
        <v>39</v>
      </c>
      <c r="M1749" t="s">
        <v>736</v>
      </c>
      <c r="N1749" t="s">
        <v>29</v>
      </c>
      <c r="O1749" t="s">
        <v>29</v>
      </c>
      <c r="P1749">
        <v>96</v>
      </c>
      <c r="Q1749" t="s">
        <v>31</v>
      </c>
      <c r="R1749" t="s">
        <v>695</v>
      </c>
      <c r="S1749" t="s">
        <v>243</v>
      </c>
      <c r="T1749" t="s">
        <v>703</v>
      </c>
      <c r="U1749" t="s">
        <v>741</v>
      </c>
      <c r="V1749" s="6" t="s">
        <v>694</v>
      </c>
      <c r="W1749" t="s">
        <v>736</v>
      </c>
      <c r="X1749" t="s">
        <v>823</v>
      </c>
      <c r="Y1749" t="s">
        <v>49</v>
      </c>
    </row>
    <row r="1750" spans="2:25" x14ac:dyDescent="0.3">
      <c r="B1750" s="5" t="s">
        <v>69</v>
      </c>
      <c r="C1750" s="5" t="str">
        <f>VLOOKUP(B1750,[1]물질정보!B:C,2,0)</f>
        <v>868-77-9</v>
      </c>
      <c r="D1750" t="str">
        <f>VLOOKUP(B1750,[1]물질정보!B:D,3,0)</f>
        <v>2-hydroxyethyl methacrylate</v>
      </c>
      <c r="E1750" t="str">
        <f>VLOOKUP(B1750,[1]물질정보!B:E,4,0)</f>
        <v>C6H10O3</v>
      </c>
      <c r="F1750" t="str">
        <f>VLOOKUP(B1750,[1]물질정보!B:F,5,0)</f>
        <v>130.139 g/mol</v>
      </c>
      <c r="G1750" s="5" t="str">
        <f>VLOOKUP(B1750,[1]물질정보!B:G,6,0)</f>
        <v>CC(=C)C(=O)OCCO</v>
      </c>
      <c r="H1750" t="s">
        <v>690</v>
      </c>
      <c r="I1750" t="s">
        <v>51</v>
      </c>
      <c r="J1750" t="s">
        <v>49</v>
      </c>
      <c r="K1750">
        <v>226.19</v>
      </c>
      <c r="L1750" t="s">
        <v>39</v>
      </c>
      <c r="M1750" t="s">
        <v>736</v>
      </c>
      <c r="N1750" t="s">
        <v>29</v>
      </c>
      <c r="O1750" t="s">
        <v>29</v>
      </c>
      <c r="P1750">
        <v>96</v>
      </c>
      <c r="Q1750" t="s">
        <v>31</v>
      </c>
      <c r="R1750" t="s">
        <v>695</v>
      </c>
      <c r="S1750" t="s">
        <v>243</v>
      </c>
      <c r="T1750" t="s">
        <v>709</v>
      </c>
      <c r="U1750" t="s">
        <v>741</v>
      </c>
      <c r="V1750" s="6" t="s">
        <v>694</v>
      </c>
      <c r="W1750" t="s">
        <v>736</v>
      </c>
      <c r="X1750" t="s">
        <v>823</v>
      </c>
      <c r="Y1750" t="s">
        <v>49</v>
      </c>
    </row>
    <row r="1751" spans="2:25" x14ac:dyDescent="0.3">
      <c r="B1751" s="5" t="s">
        <v>25</v>
      </c>
      <c r="C1751" s="5" t="str">
        <f>VLOOKUP(B1751,[1]물질정보!B:C,2,0)</f>
        <v>97-88-1</v>
      </c>
      <c r="D1751" t="str">
        <f>VLOOKUP(B1751,[1]물질정보!B:D,3,0)</f>
        <v>butyl methacrylate</v>
      </c>
      <c r="E1751" t="str">
        <f>VLOOKUP(B1751,[1]물질정보!B:E,4,0)</f>
        <v>C8H14O2</v>
      </c>
      <c r="F1751" t="str">
        <f>VLOOKUP(B1751,[1]물질정보!B:F,5,0)</f>
        <v>142.2 g/mol</v>
      </c>
      <c r="G1751" s="5" t="str">
        <f>VLOOKUP(B1751,[1]물질정보!B:G,6,0)</f>
        <v>CCCCOC(=O)C(=C)C</v>
      </c>
      <c r="H1751" t="s">
        <v>690</v>
      </c>
      <c r="I1751" t="s">
        <v>51</v>
      </c>
      <c r="J1751" t="s">
        <v>49</v>
      </c>
      <c r="K1751">
        <v>3.37</v>
      </c>
      <c r="L1751" t="s">
        <v>39</v>
      </c>
      <c r="M1751" t="s">
        <v>736</v>
      </c>
      <c r="N1751" t="s">
        <v>29</v>
      </c>
      <c r="O1751" t="s">
        <v>29</v>
      </c>
      <c r="P1751">
        <v>96</v>
      </c>
      <c r="Q1751" t="s">
        <v>31</v>
      </c>
      <c r="R1751" t="s">
        <v>695</v>
      </c>
      <c r="S1751" t="s">
        <v>243</v>
      </c>
      <c r="T1751" t="s">
        <v>703</v>
      </c>
      <c r="U1751" t="s">
        <v>741</v>
      </c>
      <c r="V1751" s="6" t="s">
        <v>694</v>
      </c>
      <c r="W1751" t="s">
        <v>736</v>
      </c>
      <c r="X1751" t="s">
        <v>823</v>
      </c>
      <c r="Y1751" t="s">
        <v>49</v>
      </c>
    </row>
    <row r="1752" spans="2:25" x14ac:dyDescent="0.3">
      <c r="B1752" s="5" t="s">
        <v>68</v>
      </c>
      <c r="C1752" s="5" t="str">
        <f>VLOOKUP(B1752,[1]물질정보!B:C,2,0)</f>
        <v>997-46-6</v>
      </c>
      <c r="D1752" t="str">
        <f>VLOOKUP(B1752,[1]물질정보!B:D,3,0)</f>
        <v>4-hydroxybutyl methacrylate</v>
      </c>
      <c r="E1752" t="str">
        <f>VLOOKUP(B1752,[1]물질정보!B:E,4,0)</f>
        <v>C8H14O3</v>
      </c>
      <c r="F1752" t="str">
        <f>VLOOKUP(B1752,[1]물질정보!B:F,5,0)</f>
        <v>158.19 g/mol</v>
      </c>
      <c r="G1752" s="5" t="str">
        <f>VLOOKUP(B1752,[1]물질정보!B:G,6,0)</f>
        <v>CC(=C)C(=O)OCCCCO</v>
      </c>
      <c r="H1752" t="s">
        <v>690</v>
      </c>
      <c r="I1752" t="s">
        <v>51</v>
      </c>
      <c r="J1752" t="s">
        <v>49</v>
      </c>
      <c r="K1752">
        <v>35.520000000000003</v>
      </c>
      <c r="L1752" t="s">
        <v>39</v>
      </c>
      <c r="M1752" t="s">
        <v>736</v>
      </c>
      <c r="N1752" t="s">
        <v>29</v>
      </c>
      <c r="O1752" t="s">
        <v>29</v>
      </c>
      <c r="P1752">
        <v>96</v>
      </c>
      <c r="Q1752" t="s">
        <v>31</v>
      </c>
      <c r="R1752" t="s">
        <v>695</v>
      </c>
      <c r="S1752" t="s">
        <v>243</v>
      </c>
      <c r="T1752" t="s">
        <v>703</v>
      </c>
      <c r="U1752" t="s">
        <v>741</v>
      </c>
      <c r="V1752" s="6" t="s">
        <v>694</v>
      </c>
      <c r="W1752" t="s">
        <v>736</v>
      </c>
      <c r="X1752" t="s">
        <v>823</v>
      </c>
      <c r="Y1752" t="s">
        <v>49</v>
      </c>
    </row>
    <row r="1753" spans="2:25" x14ac:dyDescent="0.3">
      <c r="B1753" s="5" t="s">
        <v>77</v>
      </c>
      <c r="C1753" s="5" t="str">
        <f>VLOOKUP(B1753,[1]물질정보!B:C,2,0)</f>
        <v>140-88-5</v>
      </c>
      <c r="D1753" t="str">
        <f>VLOOKUP(B1753,[1]물질정보!B:D,3,0)</f>
        <v>ethyl acrylate</v>
      </c>
      <c r="E1753" t="str">
        <f>VLOOKUP(B1753,[1]물질정보!B:E,4,0)</f>
        <v>C5H8O2</v>
      </c>
      <c r="F1753" t="str">
        <f>VLOOKUP(B1753,[1]물질정보!B:F,5,0)</f>
        <v>100.12 g/mol</v>
      </c>
      <c r="G1753" s="5" t="str">
        <f>VLOOKUP(B1753,[1]물질정보!B:G,6,0)</f>
        <v>CCOC(=O)C=C</v>
      </c>
      <c r="H1753" t="s">
        <v>690</v>
      </c>
      <c r="I1753" t="s">
        <v>51</v>
      </c>
      <c r="J1753" t="s">
        <v>49</v>
      </c>
      <c r="K1753">
        <v>6.51</v>
      </c>
      <c r="L1753" t="s">
        <v>39</v>
      </c>
      <c r="M1753" t="s">
        <v>736</v>
      </c>
      <c r="N1753" t="s">
        <v>29</v>
      </c>
      <c r="O1753" t="s">
        <v>29</v>
      </c>
      <c r="P1753">
        <v>96</v>
      </c>
      <c r="Q1753" t="s">
        <v>31</v>
      </c>
      <c r="R1753" t="s">
        <v>695</v>
      </c>
      <c r="S1753" t="s">
        <v>243</v>
      </c>
      <c r="T1753" t="s">
        <v>703</v>
      </c>
      <c r="U1753" t="s">
        <v>741</v>
      </c>
      <c r="V1753" s="6" t="s">
        <v>694</v>
      </c>
      <c r="W1753" t="s">
        <v>736</v>
      </c>
      <c r="X1753" t="s">
        <v>823</v>
      </c>
      <c r="Y1753" t="s">
        <v>49</v>
      </c>
    </row>
    <row r="1754" spans="2:25" x14ac:dyDescent="0.3">
      <c r="B1754" s="5" t="s">
        <v>67</v>
      </c>
      <c r="C1754" s="5" t="str">
        <f>VLOOKUP(B1754,[1]물질정보!B:C,2,0)</f>
        <v>818-61-1</v>
      </c>
      <c r="D1754" t="str">
        <f>VLOOKUP(B1754,[1]물질정보!B:D,3,0)</f>
        <v>2-hydroxyethyl acrylate</v>
      </c>
      <c r="E1754" t="str">
        <f>VLOOKUP(B1754,[1]물질정보!B:E,4,0)</f>
        <v>C5H8O3</v>
      </c>
      <c r="F1754" t="str">
        <f>VLOOKUP(B1754,[1]물질정보!B:F,5,0)</f>
        <v>116.11 g/mol</v>
      </c>
      <c r="G1754" s="5" t="str">
        <f>VLOOKUP(B1754,[1]물질정보!B:G,6,0)</f>
        <v>C=CC(=O)OCCO</v>
      </c>
      <c r="H1754" t="s">
        <v>690</v>
      </c>
      <c r="I1754" t="s">
        <v>51</v>
      </c>
      <c r="J1754" t="s">
        <v>49</v>
      </c>
      <c r="K1754">
        <v>4.84</v>
      </c>
      <c r="L1754" t="s">
        <v>39</v>
      </c>
      <c r="M1754" t="s">
        <v>736</v>
      </c>
      <c r="N1754" t="s">
        <v>29</v>
      </c>
      <c r="O1754" t="s">
        <v>29</v>
      </c>
      <c r="P1754">
        <v>96</v>
      </c>
      <c r="Q1754" t="s">
        <v>31</v>
      </c>
      <c r="R1754" t="s">
        <v>695</v>
      </c>
      <c r="S1754" t="s">
        <v>243</v>
      </c>
      <c r="T1754" t="s">
        <v>708</v>
      </c>
      <c r="U1754" t="s">
        <v>741</v>
      </c>
      <c r="V1754" s="6" t="s">
        <v>694</v>
      </c>
      <c r="W1754" t="s">
        <v>736</v>
      </c>
      <c r="X1754" t="s">
        <v>823</v>
      </c>
      <c r="Y1754" t="s">
        <v>49</v>
      </c>
    </row>
    <row r="1755" spans="2:25" x14ac:dyDescent="0.3">
      <c r="B1755" s="5" t="s">
        <v>65</v>
      </c>
      <c r="C1755" s="5" t="str">
        <f>VLOOKUP(B1755,[1]물질정보!B:C,2,0)</f>
        <v>141-32-2</v>
      </c>
      <c r="D1755" t="str">
        <f>VLOOKUP(B1755,[1]물질정보!B:D,3,0)</f>
        <v>butyl acrylate</v>
      </c>
      <c r="E1755" t="str">
        <f>VLOOKUP(B1755,[1]물질정보!B:E,4,0)</f>
        <v>C7H12O2</v>
      </c>
      <c r="F1755" t="str">
        <f>VLOOKUP(B1755,[1]물질정보!B:F,5,0)</f>
        <v>128.169 g/mol</v>
      </c>
      <c r="G1755" s="5" t="str">
        <f>VLOOKUP(B1755,[1]물질정보!B:G,6,0)</f>
        <v>CCCCOC(=O)C=C</v>
      </c>
      <c r="H1755" t="s">
        <v>690</v>
      </c>
      <c r="I1755" t="s">
        <v>51</v>
      </c>
      <c r="J1755" t="s">
        <v>49</v>
      </c>
      <c r="K1755">
        <v>2.93</v>
      </c>
      <c r="L1755" t="s">
        <v>39</v>
      </c>
      <c r="M1755" t="s">
        <v>736</v>
      </c>
      <c r="N1755" t="s">
        <v>29</v>
      </c>
      <c r="O1755" t="s">
        <v>29</v>
      </c>
      <c r="P1755">
        <v>96</v>
      </c>
      <c r="Q1755" t="s">
        <v>31</v>
      </c>
      <c r="R1755" t="s">
        <v>695</v>
      </c>
      <c r="S1755" t="s">
        <v>243</v>
      </c>
      <c r="T1755" t="s">
        <v>703</v>
      </c>
      <c r="U1755" t="s">
        <v>741</v>
      </c>
      <c r="V1755" s="6" t="s">
        <v>694</v>
      </c>
      <c r="W1755" t="s">
        <v>736</v>
      </c>
      <c r="X1755" t="s">
        <v>823</v>
      </c>
      <c r="Y1755" t="s">
        <v>49</v>
      </c>
    </row>
    <row r="1756" spans="2:25" x14ac:dyDescent="0.3">
      <c r="B1756" s="5" t="s">
        <v>64</v>
      </c>
      <c r="C1756" s="5" t="str">
        <f>VLOOKUP(B1756,[1]물질정보!B:C,2,0)</f>
        <v>2478-10-6</v>
      </c>
      <c r="D1756" t="str">
        <f>VLOOKUP(B1756,[1]물질정보!B:D,3,0)</f>
        <v>4-hydroxybutyl acrylate</v>
      </c>
      <c r="E1756" t="str">
        <f>VLOOKUP(B1756,[1]물질정보!B:E,4,0)</f>
        <v>C7H12O3</v>
      </c>
      <c r="F1756" t="str">
        <f>VLOOKUP(B1756,[1]물질정보!B:F,5,0)</f>
        <v>144.17 g/mol</v>
      </c>
      <c r="G1756" s="5" t="str">
        <f>VLOOKUP(B1756,[1]물질정보!B:G,6,0)</f>
        <v>C=CC(=O)OCCCCO</v>
      </c>
      <c r="H1756" t="s">
        <v>690</v>
      </c>
      <c r="I1756" t="s">
        <v>51</v>
      </c>
      <c r="J1756" t="s">
        <v>49</v>
      </c>
      <c r="K1756">
        <v>10.84</v>
      </c>
      <c r="L1756" t="s">
        <v>39</v>
      </c>
      <c r="M1756" t="s">
        <v>736</v>
      </c>
      <c r="N1756" t="s">
        <v>29</v>
      </c>
      <c r="O1756" t="s">
        <v>29</v>
      </c>
      <c r="P1756">
        <v>96</v>
      </c>
      <c r="Q1756" t="s">
        <v>31</v>
      </c>
      <c r="R1756" t="s">
        <v>695</v>
      </c>
      <c r="S1756" t="s">
        <v>243</v>
      </c>
      <c r="T1756" t="s">
        <v>703</v>
      </c>
      <c r="U1756" t="s">
        <v>741</v>
      </c>
      <c r="V1756" s="6" t="s">
        <v>694</v>
      </c>
      <c r="W1756" t="s">
        <v>736</v>
      </c>
      <c r="X1756" t="s">
        <v>823</v>
      </c>
      <c r="Y1756" t="s">
        <v>49</v>
      </c>
    </row>
    <row r="1757" spans="2:25" x14ac:dyDescent="0.3">
      <c r="B1757" s="5" t="s">
        <v>59</v>
      </c>
      <c r="C1757" s="5" t="str">
        <f>VLOOKUP(B1757,[1]물질정보!B:C,2,0)</f>
        <v>2499-95-8</v>
      </c>
      <c r="D1757" t="str">
        <f>VLOOKUP(B1757,[1]물질정보!B:D,3,0)</f>
        <v>hexyl acrylate</v>
      </c>
      <c r="E1757" t="str">
        <f>VLOOKUP(B1757,[1]물질정보!B:E,4,0)</f>
        <v>C9H16O2</v>
      </c>
      <c r="F1757" t="str">
        <f>VLOOKUP(B1757,[1]물질정보!B:F,5,0)</f>
        <v>156.22 g/mol</v>
      </c>
      <c r="G1757" s="5" t="str">
        <f>VLOOKUP(B1757,[1]물질정보!B:G,6,0)</f>
        <v>CCCCCCOC(=O)C=C</v>
      </c>
      <c r="H1757" t="s">
        <v>690</v>
      </c>
      <c r="I1757" t="s">
        <v>51</v>
      </c>
      <c r="J1757" t="s">
        <v>49</v>
      </c>
      <c r="K1757">
        <v>1.1100000000000001</v>
      </c>
      <c r="L1757" t="s">
        <v>39</v>
      </c>
      <c r="M1757" t="s">
        <v>736</v>
      </c>
      <c r="N1757" t="s">
        <v>29</v>
      </c>
      <c r="O1757" t="s">
        <v>29</v>
      </c>
      <c r="P1757">
        <v>96</v>
      </c>
      <c r="Q1757" t="s">
        <v>31</v>
      </c>
      <c r="R1757" t="s">
        <v>695</v>
      </c>
      <c r="S1757" t="s">
        <v>243</v>
      </c>
      <c r="T1757" t="s">
        <v>708</v>
      </c>
      <c r="U1757" t="s">
        <v>741</v>
      </c>
      <c r="V1757" s="6" t="s">
        <v>694</v>
      </c>
      <c r="W1757" t="s">
        <v>736</v>
      </c>
      <c r="X1757" t="s">
        <v>823</v>
      </c>
      <c r="Y1757" t="s">
        <v>49</v>
      </c>
    </row>
    <row r="1758" spans="2:25" x14ac:dyDescent="0.3">
      <c r="B1758" s="5" t="s">
        <v>70</v>
      </c>
      <c r="C1758" s="5" t="str">
        <f>VLOOKUP(B1758,[1]물질정보!B:C,2,0)</f>
        <v>10095-14-4</v>
      </c>
      <c r="D1758" t="str">
        <f>VLOOKUP(B1758,[1]물질정보!B:D,3,0)</f>
        <v>6-hydroxybutyl acrylate</v>
      </c>
      <c r="E1758" t="str">
        <f>VLOOKUP(B1758,[1]물질정보!B:E,4,0)</f>
        <v>C9H16O3</v>
      </c>
      <c r="F1758" t="str">
        <f>VLOOKUP(B1758,[1]물질정보!B:F,5,0)</f>
        <v>172.22 g/mol</v>
      </c>
      <c r="G1758" s="5" t="str">
        <f>VLOOKUP(B1758,[1]물질정보!B:G,6,0)</f>
        <v>C=CC(=O)OCCCCCCO</v>
      </c>
      <c r="H1758" t="s">
        <v>690</v>
      </c>
      <c r="I1758" t="s">
        <v>51</v>
      </c>
      <c r="J1758" t="s">
        <v>49</v>
      </c>
      <c r="K1758">
        <v>4.12</v>
      </c>
      <c r="L1758" t="s">
        <v>39</v>
      </c>
      <c r="M1758" t="s">
        <v>736</v>
      </c>
      <c r="N1758" t="s">
        <v>29</v>
      </c>
      <c r="O1758" t="s">
        <v>29</v>
      </c>
      <c r="P1758">
        <v>96</v>
      </c>
      <c r="Q1758" t="s">
        <v>31</v>
      </c>
      <c r="R1758" t="s">
        <v>695</v>
      </c>
      <c r="S1758" t="s">
        <v>243</v>
      </c>
      <c r="T1758" t="s">
        <v>704</v>
      </c>
      <c r="U1758" t="s">
        <v>741</v>
      </c>
      <c r="V1758" s="6" t="s">
        <v>694</v>
      </c>
      <c r="W1758" t="s">
        <v>736</v>
      </c>
      <c r="X1758" t="s">
        <v>823</v>
      </c>
      <c r="Y1758" t="s">
        <v>49</v>
      </c>
    </row>
    <row r="1759" spans="2:25" x14ac:dyDescent="0.3">
      <c r="B1759" s="5" t="s">
        <v>78</v>
      </c>
      <c r="C1759" s="5" t="str">
        <f>VLOOKUP(B1759,[1]물질정보!B:C,2,0)</f>
        <v>-</v>
      </c>
      <c r="D1759" t="str">
        <f>VLOOKUP(B1759,[1]물질정보!B:D,3,0)</f>
        <v xml:space="preserve">9-(9H-Carbazol-9-yl)-7H-benzo[c]carbazole </v>
      </c>
      <c r="E1759" t="str">
        <f>VLOOKUP(B1759,[1]물질정보!B:E,4,0)</f>
        <v>C28H18N2</v>
      </c>
      <c r="F1759" t="str">
        <f>VLOOKUP(B1759,[1]물질정보!B:F,5,0)</f>
        <v>382.5 g/mol</v>
      </c>
      <c r="G1759" s="5" t="str">
        <f>VLOOKUP(B1759,[1]물질정보!B:G,6,0)</f>
        <v>C1=CC=C2C(=C1)C=CC3=C2C4=C(N3)C=C(C=C4)N5C6=CC=CC=C6C7=CC=CC=C75</v>
      </c>
      <c r="H1759" t="s">
        <v>690</v>
      </c>
      <c r="I1759" t="s">
        <v>51</v>
      </c>
      <c r="J1759" t="s">
        <v>49</v>
      </c>
      <c r="K1759">
        <v>0.1426</v>
      </c>
      <c r="L1759" t="s">
        <v>39</v>
      </c>
      <c r="M1759" t="s">
        <v>409</v>
      </c>
      <c r="N1759" t="s">
        <v>29</v>
      </c>
      <c r="O1759" t="s">
        <v>29</v>
      </c>
      <c r="P1759">
        <v>96</v>
      </c>
      <c r="Q1759" t="s">
        <v>31</v>
      </c>
      <c r="R1759" t="s">
        <v>695</v>
      </c>
      <c r="S1759" t="s">
        <v>243</v>
      </c>
      <c r="T1759" t="s">
        <v>745</v>
      </c>
      <c r="U1759" t="s">
        <v>746</v>
      </c>
      <c r="V1759" s="6" t="s">
        <v>694</v>
      </c>
      <c r="W1759" t="s">
        <v>409</v>
      </c>
      <c r="X1759" t="s">
        <v>823</v>
      </c>
      <c r="Y1759" t="s">
        <v>49</v>
      </c>
    </row>
    <row r="1760" spans="2:25" x14ac:dyDescent="0.3">
      <c r="B1760" s="5" t="s">
        <v>359</v>
      </c>
      <c r="C1760" s="5" t="str">
        <f>VLOOKUP(B1760,[1]물질정보!B:C,2,0)</f>
        <v>205-25-4</v>
      </c>
      <c r="D1760" t="str">
        <f>VLOOKUP(B1760,[1]물질정보!B:D,3,0)</f>
        <v xml:space="preserve">7H-Benzo[c]carbazole </v>
      </c>
      <c r="E1760" t="str">
        <f>VLOOKUP(B1760,[1]물질정보!B:E,4,0)</f>
        <v>C16H11N</v>
      </c>
      <c r="F1760" t="str">
        <f>VLOOKUP(B1760,[1]물질정보!B:F,5,0)</f>
        <v>217.26 g/mol</v>
      </c>
      <c r="G1760" s="5" t="str">
        <f>VLOOKUP(B1760,[1]물질정보!B:G,6,0)</f>
        <v>C1=CC=C2C(=C1)C=CC3=C2C4=CC=CC=C4N3</v>
      </c>
      <c r="H1760" t="s">
        <v>690</v>
      </c>
      <c r="I1760" t="s">
        <v>51</v>
      </c>
      <c r="J1760" t="s">
        <v>49</v>
      </c>
      <c r="K1760" t="s">
        <v>29</v>
      </c>
      <c r="L1760" t="s">
        <v>39</v>
      </c>
      <c r="M1760" t="s">
        <v>409</v>
      </c>
      <c r="N1760" t="s">
        <v>29</v>
      </c>
      <c r="O1760" t="s">
        <v>29</v>
      </c>
      <c r="P1760">
        <v>96</v>
      </c>
      <c r="Q1760" t="s">
        <v>31</v>
      </c>
      <c r="R1760" t="s">
        <v>695</v>
      </c>
      <c r="S1760" t="s">
        <v>243</v>
      </c>
      <c r="T1760" t="s">
        <v>29</v>
      </c>
      <c r="U1760" t="s">
        <v>746</v>
      </c>
      <c r="V1760" s="6" t="s">
        <v>694</v>
      </c>
      <c r="W1760" t="s">
        <v>409</v>
      </c>
      <c r="X1760" t="s">
        <v>823</v>
      </c>
      <c r="Y1760" t="s">
        <v>49</v>
      </c>
    </row>
    <row r="1761" spans="2:25" x14ac:dyDescent="0.3">
      <c r="B1761" s="5" t="s">
        <v>503</v>
      </c>
      <c r="C1761" s="5" t="str">
        <f>VLOOKUP(B1761,[1]물질정보!B:C,2,0)</f>
        <v>97-63-2</v>
      </c>
      <c r="D1761" t="str">
        <f>VLOOKUP(B1761,[1]물질정보!B:D,3,0)</f>
        <v>ethyl methacrylate</v>
      </c>
      <c r="E1761" t="str">
        <f>VLOOKUP(B1761,[1]물질정보!B:E,4,0)</f>
        <v>C6H10O2</v>
      </c>
      <c r="F1761" t="str">
        <f>VLOOKUP(B1761,[1]물질정보!B:F,5,0)</f>
        <v>114.14 g/mol</v>
      </c>
      <c r="G1761" s="5" t="str">
        <f>VLOOKUP(B1761,[1]물질정보!B:G,6,0)</f>
        <v>CCOC(=O)C(=C)C</v>
      </c>
      <c r="H1761" t="s">
        <v>690</v>
      </c>
      <c r="I1761" t="s">
        <v>51</v>
      </c>
      <c r="J1761" t="s">
        <v>49</v>
      </c>
      <c r="K1761">
        <v>12.31</v>
      </c>
      <c r="L1761" t="s">
        <v>39</v>
      </c>
      <c r="M1761" t="s">
        <v>409</v>
      </c>
      <c r="N1761" t="s">
        <v>29</v>
      </c>
      <c r="O1761" t="s">
        <v>29</v>
      </c>
      <c r="P1761">
        <v>96</v>
      </c>
      <c r="Q1761" t="s">
        <v>31</v>
      </c>
      <c r="R1761" t="s">
        <v>695</v>
      </c>
      <c r="S1761" t="s">
        <v>243</v>
      </c>
      <c r="T1761" t="s">
        <v>703</v>
      </c>
      <c r="U1761" t="s">
        <v>746</v>
      </c>
      <c r="V1761" s="6" t="s">
        <v>694</v>
      </c>
      <c r="W1761" t="s">
        <v>409</v>
      </c>
      <c r="X1761" t="s">
        <v>823</v>
      </c>
      <c r="Y1761" t="s">
        <v>49</v>
      </c>
    </row>
    <row r="1762" spans="2:25" x14ac:dyDescent="0.3">
      <c r="B1762" s="5" t="s">
        <v>69</v>
      </c>
      <c r="C1762" s="5" t="str">
        <f>VLOOKUP(B1762,[1]물질정보!B:C,2,0)</f>
        <v>868-77-9</v>
      </c>
      <c r="D1762" t="str">
        <f>VLOOKUP(B1762,[1]물질정보!B:D,3,0)</f>
        <v>2-hydroxyethyl methacrylate</v>
      </c>
      <c r="E1762" t="str">
        <f>VLOOKUP(B1762,[1]물질정보!B:E,4,0)</f>
        <v>C6H10O3</v>
      </c>
      <c r="F1762" t="str">
        <f>VLOOKUP(B1762,[1]물질정보!B:F,5,0)</f>
        <v>130.139 g/mol</v>
      </c>
      <c r="G1762" s="5" t="str">
        <f>VLOOKUP(B1762,[1]물질정보!B:G,6,0)</f>
        <v>CC(=C)C(=O)OCCO</v>
      </c>
      <c r="H1762" t="s">
        <v>690</v>
      </c>
      <c r="I1762" t="s">
        <v>51</v>
      </c>
      <c r="J1762" t="s">
        <v>49</v>
      </c>
      <c r="K1762">
        <v>226.26</v>
      </c>
      <c r="L1762" t="s">
        <v>39</v>
      </c>
      <c r="M1762" t="s">
        <v>409</v>
      </c>
      <c r="N1762" t="s">
        <v>29</v>
      </c>
      <c r="O1762" t="s">
        <v>29</v>
      </c>
      <c r="P1762">
        <v>96</v>
      </c>
      <c r="Q1762" t="s">
        <v>31</v>
      </c>
      <c r="R1762" t="s">
        <v>695</v>
      </c>
      <c r="S1762" t="s">
        <v>243</v>
      </c>
      <c r="T1762" t="s">
        <v>709</v>
      </c>
      <c r="U1762" t="s">
        <v>746</v>
      </c>
      <c r="V1762" s="6" t="s">
        <v>694</v>
      </c>
      <c r="W1762" t="s">
        <v>409</v>
      </c>
      <c r="X1762" t="s">
        <v>823</v>
      </c>
      <c r="Y1762" t="s">
        <v>49</v>
      </c>
    </row>
    <row r="1763" spans="2:25" x14ac:dyDescent="0.3">
      <c r="B1763" s="5" t="s">
        <v>25</v>
      </c>
      <c r="C1763" s="5" t="str">
        <f>VLOOKUP(B1763,[1]물질정보!B:C,2,0)</f>
        <v>97-88-1</v>
      </c>
      <c r="D1763" t="str">
        <f>VLOOKUP(B1763,[1]물질정보!B:D,3,0)</f>
        <v>butyl methacrylate</v>
      </c>
      <c r="E1763" t="str">
        <f>VLOOKUP(B1763,[1]물질정보!B:E,4,0)</f>
        <v>C8H14O2</v>
      </c>
      <c r="F1763" t="str">
        <f>VLOOKUP(B1763,[1]물질정보!B:F,5,0)</f>
        <v>142.2 g/mol</v>
      </c>
      <c r="G1763" s="5" t="str">
        <f>VLOOKUP(B1763,[1]물질정보!B:G,6,0)</f>
        <v>CCCCOC(=O)C(=C)C</v>
      </c>
      <c r="H1763" t="s">
        <v>690</v>
      </c>
      <c r="I1763" t="s">
        <v>51</v>
      </c>
      <c r="J1763" t="s">
        <v>49</v>
      </c>
      <c r="K1763">
        <v>10.15</v>
      </c>
      <c r="L1763" t="s">
        <v>39</v>
      </c>
      <c r="M1763" t="s">
        <v>409</v>
      </c>
      <c r="N1763" t="s">
        <v>29</v>
      </c>
      <c r="O1763" t="s">
        <v>29</v>
      </c>
      <c r="P1763">
        <v>96</v>
      </c>
      <c r="Q1763" t="s">
        <v>31</v>
      </c>
      <c r="R1763" t="s">
        <v>695</v>
      </c>
      <c r="S1763" t="s">
        <v>243</v>
      </c>
      <c r="T1763" t="s">
        <v>703</v>
      </c>
      <c r="U1763" t="s">
        <v>746</v>
      </c>
      <c r="V1763" s="6" t="s">
        <v>694</v>
      </c>
      <c r="W1763" t="s">
        <v>409</v>
      </c>
      <c r="X1763" t="s">
        <v>823</v>
      </c>
      <c r="Y1763" t="s">
        <v>49</v>
      </c>
    </row>
    <row r="1764" spans="2:25" x14ac:dyDescent="0.3">
      <c r="B1764" s="5" t="s">
        <v>68</v>
      </c>
      <c r="C1764" s="5" t="str">
        <f>VLOOKUP(B1764,[1]물질정보!B:C,2,0)</f>
        <v>997-46-6</v>
      </c>
      <c r="D1764" t="str">
        <f>VLOOKUP(B1764,[1]물질정보!B:D,3,0)</f>
        <v>4-hydroxybutyl methacrylate</v>
      </c>
      <c r="E1764" t="str">
        <f>VLOOKUP(B1764,[1]물질정보!B:E,4,0)</f>
        <v>C8H14O3</v>
      </c>
      <c r="F1764" t="str">
        <f>VLOOKUP(B1764,[1]물질정보!B:F,5,0)</f>
        <v>158.19 g/mol</v>
      </c>
      <c r="G1764" s="5" t="str">
        <f>VLOOKUP(B1764,[1]물질정보!B:G,6,0)</f>
        <v>CC(=C)C(=O)OCCCCO</v>
      </c>
      <c r="H1764" t="s">
        <v>690</v>
      </c>
      <c r="I1764" t="s">
        <v>51</v>
      </c>
      <c r="J1764" t="s">
        <v>49</v>
      </c>
      <c r="K1764">
        <v>26.28</v>
      </c>
      <c r="L1764" t="s">
        <v>39</v>
      </c>
      <c r="M1764" t="s">
        <v>409</v>
      </c>
      <c r="N1764" t="s">
        <v>29</v>
      </c>
      <c r="O1764" t="s">
        <v>29</v>
      </c>
      <c r="P1764">
        <v>96</v>
      </c>
      <c r="Q1764" t="s">
        <v>31</v>
      </c>
      <c r="R1764" t="s">
        <v>695</v>
      </c>
      <c r="S1764" t="s">
        <v>243</v>
      </c>
      <c r="T1764" t="s">
        <v>703</v>
      </c>
      <c r="U1764" t="s">
        <v>746</v>
      </c>
      <c r="V1764" s="6" t="s">
        <v>694</v>
      </c>
      <c r="W1764" t="s">
        <v>409</v>
      </c>
      <c r="X1764" t="s">
        <v>823</v>
      </c>
      <c r="Y1764" t="s">
        <v>49</v>
      </c>
    </row>
    <row r="1765" spans="2:25" x14ac:dyDescent="0.3">
      <c r="B1765" s="5" t="s">
        <v>77</v>
      </c>
      <c r="C1765" s="5" t="str">
        <f>VLOOKUP(B1765,[1]물질정보!B:C,2,0)</f>
        <v>140-88-5</v>
      </c>
      <c r="D1765" t="str">
        <f>VLOOKUP(B1765,[1]물질정보!B:D,3,0)</f>
        <v>ethyl acrylate</v>
      </c>
      <c r="E1765" t="str">
        <f>VLOOKUP(B1765,[1]물질정보!B:E,4,0)</f>
        <v>C5H8O2</v>
      </c>
      <c r="F1765" t="str">
        <f>VLOOKUP(B1765,[1]물질정보!B:F,5,0)</f>
        <v>100.12 g/mol</v>
      </c>
      <c r="G1765" s="5" t="str">
        <f>VLOOKUP(B1765,[1]물질정보!B:G,6,0)</f>
        <v>CCOC(=O)C=C</v>
      </c>
      <c r="H1765" t="s">
        <v>690</v>
      </c>
      <c r="I1765" t="s">
        <v>51</v>
      </c>
      <c r="J1765" t="s">
        <v>49</v>
      </c>
      <c r="K1765">
        <v>7.91</v>
      </c>
      <c r="L1765" t="s">
        <v>39</v>
      </c>
      <c r="M1765" t="s">
        <v>409</v>
      </c>
      <c r="N1765" t="s">
        <v>29</v>
      </c>
      <c r="O1765" t="s">
        <v>29</v>
      </c>
      <c r="P1765">
        <v>96</v>
      </c>
      <c r="Q1765" t="s">
        <v>31</v>
      </c>
      <c r="R1765" t="s">
        <v>695</v>
      </c>
      <c r="S1765" t="s">
        <v>243</v>
      </c>
      <c r="T1765" t="s">
        <v>703</v>
      </c>
      <c r="U1765" t="s">
        <v>746</v>
      </c>
      <c r="V1765" s="6" t="s">
        <v>694</v>
      </c>
      <c r="W1765" t="s">
        <v>409</v>
      </c>
      <c r="X1765" t="s">
        <v>823</v>
      </c>
      <c r="Y1765" t="s">
        <v>49</v>
      </c>
    </row>
    <row r="1766" spans="2:25" x14ac:dyDescent="0.3">
      <c r="B1766" s="5" t="s">
        <v>67</v>
      </c>
      <c r="C1766" s="5" t="str">
        <f>VLOOKUP(B1766,[1]물질정보!B:C,2,0)</f>
        <v>818-61-1</v>
      </c>
      <c r="D1766" t="str">
        <f>VLOOKUP(B1766,[1]물질정보!B:D,3,0)</f>
        <v>2-hydroxyethyl acrylate</v>
      </c>
      <c r="E1766" t="str">
        <f>VLOOKUP(B1766,[1]물질정보!B:E,4,0)</f>
        <v>C5H8O3</v>
      </c>
      <c r="F1766" t="str">
        <f>VLOOKUP(B1766,[1]물질정보!B:F,5,0)</f>
        <v>116.11 g/mol</v>
      </c>
      <c r="G1766" s="5" t="str">
        <f>VLOOKUP(B1766,[1]물질정보!B:G,6,0)</f>
        <v>C=CC(=O)OCCO</v>
      </c>
      <c r="H1766" t="s">
        <v>690</v>
      </c>
      <c r="I1766" t="s">
        <v>51</v>
      </c>
      <c r="J1766" t="s">
        <v>49</v>
      </c>
      <c r="K1766">
        <v>4.0999999999999996</v>
      </c>
      <c r="L1766" t="s">
        <v>39</v>
      </c>
      <c r="M1766" t="s">
        <v>409</v>
      </c>
      <c r="N1766" t="s">
        <v>29</v>
      </c>
      <c r="O1766" t="s">
        <v>29</v>
      </c>
      <c r="P1766">
        <v>96</v>
      </c>
      <c r="Q1766" t="s">
        <v>31</v>
      </c>
      <c r="R1766" t="s">
        <v>695</v>
      </c>
      <c r="S1766" t="s">
        <v>243</v>
      </c>
      <c r="T1766" t="s">
        <v>708</v>
      </c>
      <c r="U1766" t="s">
        <v>746</v>
      </c>
      <c r="V1766" s="6" t="s">
        <v>694</v>
      </c>
      <c r="W1766" t="s">
        <v>409</v>
      </c>
      <c r="X1766" t="s">
        <v>823</v>
      </c>
      <c r="Y1766" t="s">
        <v>49</v>
      </c>
    </row>
    <row r="1767" spans="2:25" x14ac:dyDescent="0.3">
      <c r="B1767" s="5" t="s">
        <v>65</v>
      </c>
      <c r="C1767" s="5" t="str">
        <f>VLOOKUP(B1767,[1]물질정보!B:C,2,0)</f>
        <v>141-32-2</v>
      </c>
      <c r="D1767" t="str">
        <f>VLOOKUP(B1767,[1]물질정보!B:D,3,0)</f>
        <v>butyl acrylate</v>
      </c>
      <c r="E1767" t="str">
        <f>VLOOKUP(B1767,[1]물질정보!B:E,4,0)</f>
        <v>C7H12O2</v>
      </c>
      <c r="F1767" t="str">
        <f>VLOOKUP(B1767,[1]물질정보!B:F,5,0)</f>
        <v>128.169 g/mol</v>
      </c>
      <c r="G1767" s="5" t="str">
        <f>VLOOKUP(B1767,[1]물질정보!B:G,6,0)</f>
        <v>CCCCOC(=O)C=C</v>
      </c>
      <c r="H1767" t="s">
        <v>690</v>
      </c>
      <c r="I1767" t="s">
        <v>51</v>
      </c>
      <c r="J1767" t="s">
        <v>49</v>
      </c>
      <c r="K1767">
        <v>2.48</v>
      </c>
      <c r="L1767" t="s">
        <v>39</v>
      </c>
      <c r="M1767" t="s">
        <v>409</v>
      </c>
      <c r="N1767" t="s">
        <v>29</v>
      </c>
      <c r="O1767" t="s">
        <v>29</v>
      </c>
      <c r="P1767">
        <v>96</v>
      </c>
      <c r="Q1767" t="s">
        <v>31</v>
      </c>
      <c r="R1767" t="s">
        <v>695</v>
      </c>
      <c r="S1767" t="s">
        <v>243</v>
      </c>
      <c r="T1767" t="s">
        <v>703</v>
      </c>
      <c r="U1767" t="s">
        <v>746</v>
      </c>
      <c r="V1767" s="6" t="s">
        <v>694</v>
      </c>
      <c r="W1767" t="s">
        <v>409</v>
      </c>
      <c r="X1767" t="s">
        <v>823</v>
      </c>
      <c r="Y1767" t="s">
        <v>49</v>
      </c>
    </row>
    <row r="1768" spans="2:25" x14ac:dyDescent="0.3">
      <c r="B1768" s="5" t="s">
        <v>64</v>
      </c>
      <c r="C1768" s="5" t="str">
        <f>VLOOKUP(B1768,[1]물질정보!B:C,2,0)</f>
        <v>2478-10-6</v>
      </c>
      <c r="D1768" t="str">
        <f>VLOOKUP(B1768,[1]물질정보!B:D,3,0)</f>
        <v>4-hydroxybutyl acrylate</v>
      </c>
      <c r="E1768" t="str">
        <f>VLOOKUP(B1768,[1]물질정보!B:E,4,0)</f>
        <v>C7H12O3</v>
      </c>
      <c r="F1768" t="str">
        <f>VLOOKUP(B1768,[1]물질정보!B:F,5,0)</f>
        <v>144.17 g/mol</v>
      </c>
      <c r="G1768" s="5" t="str">
        <f>VLOOKUP(B1768,[1]물질정보!B:G,6,0)</f>
        <v>C=CC(=O)OCCCCO</v>
      </c>
      <c r="H1768" t="s">
        <v>690</v>
      </c>
      <c r="I1768" t="s">
        <v>51</v>
      </c>
      <c r="J1768" t="s">
        <v>49</v>
      </c>
      <c r="K1768">
        <v>14.93</v>
      </c>
      <c r="L1768" t="s">
        <v>39</v>
      </c>
      <c r="M1768" t="s">
        <v>409</v>
      </c>
      <c r="N1768" t="s">
        <v>29</v>
      </c>
      <c r="O1768" t="s">
        <v>29</v>
      </c>
      <c r="P1768">
        <v>96</v>
      </c>
      <c r="Q1768" t="s">
        <v>31</v>
      </c>
      <c r="R1768" t="s">
        <v>695</v>
      </c>
      <c r="S1768" t="s">
        <v>243</v>
      </c>
      <c r="T1768" t="s">
        <v>703</v>
      </c>
      <c r="U1768" t="s">
        <v>746</v>
      </c>
      <c r="V1768" s="6" t="s">
        <v>694</v>
      </c>
      <c r="W1768" t="s">
        <v>409</v>
      </c>
      <c r="X1768" t="s">
        <v>823</v>
      </c>
      <c r="Y1768" t="s">
        <v>49</v>
      </c>
    </row>
    <row r="1769" spans="2:25" x14ac:dyDescent="0.3">
      <c r="B1769" s="5" t="s">
        <v>59</v>
      </c>
      <c r="C1769" s="5" t="str">
        <f>VLOOKUP(B1769,[1]물질정보!B:C,2,0)</f>
        <v>2499-95-8</v>
      </c>
      <c r="D1769" t="str">
        <f>VLOOKUP(B1769,[1]물질정보!B:D,3,0)</f>
        <v>hexyl acrylate</v>
      </c>
      <c r="E1769" t="str">
        <f>VLOOKUP(B1769,[1]물질정보!B:E,4,0)</f>
        <v>C9H16O2</v>
      </c>
      <c r="F1769" t="str">
        <f>VLOOKUP(B1769,[1]물질정보!B:F,5,0)</f>
        <v>156.22 g/mol</v>
      </c>
      <c r="G1769" s="5" t="str">
        <f>VLOOKUP(B1769,[1]물질정보!B:G,6,0)</f>
        <v>CCCCCCOC(=O)C=C</v>
      </c>
      <c r="H1769" t="s">
        <v>690</v>
      </c>
      <c r="I1769" t="s">
        <v>51</v>
      </c>
      <c r="J1769" t="s">
        <v>49</v>
      </c>
      <c r="K1769">
        <v>1.22</v>
      </c>
      <c r="L1769" t="s">
        <v>39</v>
      </c>
      <c r="M1769" t="s">
        <v>409</v>
      </c>
      <c r="N1769" t="s">
        <v>29</v>
      </c>
      <c r="O1769" t="s">
        <v>29</v>
      </c>
      <c r="P1769">
        <v>96</v>
      </c>
      <c r="Q1769" t="s">
        <v>31</v>
      </c>
      <c r="R1769" t="s">
        <v>695</v>
      </c>
      <c r="S1769" t="s">
        <v>243</v>
      </c>
      <c r="T1769" t="s">
        <v>708</v>
      </c>
      <c r="U1769" t="s">
        <v>746</v>
      </c>
      <c r="V1769" s="6" t="s">
        <v>694</v>
      </c>
      <c r="W1769" t="s">
        <v>409</v>
      </c>
      <c r="X1769" t="s">
        <v>823</v>
      </c>
      <c r="Y1769" t="s">
        <v>49</v>
      </c>
    </row>
    <row r="1770" spans="2:25" x14ac:dyDescent="0.3">
      <c r="B1770" s="5" t="s">
        <v>70</v>
      </c>
      <c r="C1770" s="5" t="str">
        <f>VLOOKUP(B1770,[1]물질정보!B:C,2,0)</f>
        <v>10095-14-4</v>
      </c>
      <c r="D1770" t="str">
        <f>VLOOKUP(B1770,[1]물질정보!B:D,3,0)</f>
        <v>6-hydroxybutyl acrylate</v>
      </c>
      <c r="E1770" t="str">
        <f>VLOOKUP(B1770,[1]물질정보!B:E,4,0)</f>
        <v>C9H16O3</v>
      </c>
      <c r="F1770" t="str">
        <f>VLOOKUP(B1770,[1]물질정보!B:F,5,0)</f>
        <v>172.22 g/mol</v>
      </c>
      <c r="G1770" s="5" t="str">
        <f>VLOOKUP(B1770,[1]물질정보!B:G,6,0)</f>
        <v>C=CC(=O)OCCCCCCO</v>
      </c>
      <c r="H1770" t="s">
        <v>690</v>
      </c>
      <c r="I1770" t="s">
        <v>51</v>
      </c>
      <c r="J1770" t="s">
        <v>49</v>
      </c>
      <c r="K1770">
        <v>4.12</v>
      </c>
      <c r="L1770" t="s">
        <v>39</v>
      </c>
      <c r="M1770" t="s">
        <v>409</v>
      </c>
      <c r="N1770" t="s">
        <v>29</v>
      </c>
      <c r="O1770" t="s">
        <v>29</v>
      </c>
      <c r="P1770">
        <v>96</v>
      </c>
      <c r="Q1770" t="s">
        <v>31</v>
      </c>
      <c r="R1770" t="s">
        <v>695</v>
      </c>
      <c r="S1770" t="s">
        <v>243</v>
      </c>
      <c r="T1770" t="s">
        <v>704</v>
      </c>
      <c r="U1770" t="s">
        <v>746</v>
      </c>
      <c r="V1770" s="6" t="s">
        <v>694</v>
      </c>
      <c r="W1770" t="s">
        <v>409</v>
      </c>
      <c r="X1770" t="s">
        <v>823</v>
      </c>
      <c r="Y1770" t="s">
        <v>49</v>
      </c>
    </row>
    <row r="1771" spans="2:25" x14ac:dyDescent="0.3">
      <c r="B1771" s="5" t="s">
        <v>78</v>
      </c>
      <c r="C1771" s="5" t="str">
        <f>VLOOKUP(B1771,[1]물질정보!B:C,2,0)</f>
        <v>-</v>
      </c>
      <c r="D1771" t="str">
        <f>VLOOKUP(B1771,[1]물질정보!B:D,3,0)</f>
        <v xml:space="preserve">9-(9H-Carbazol-9-yl)-7H-benzo[c]carbazole </v>
      </c>
      <c r="E1771" t="str">
        <f>VLOOKUP(B1771,[1]물질정보!B:E,4,0)</f>
        <v>C28H18N2</v>
      </c>
      <c r="F1771" t="str">
        <f>VLOOKUP(B1771,[1]물질정보!B:F,5,0)</f>
        <v>382.5 g/mol</v>
      </c>
      <c r="G1771" s="5" t="str">
        <f>VLOOKUP(B1771,[1]물질정보!B:G,6,0)</f>
        <v>C1=CC=C2C(=C1)C=CC3=C2C4=C(N3)C=C(C=C4)N5C6=CC=CC=C6C7=CC=CC=C75</v>
      </c>
      <c r="H1771" t="s">
        <v>690</v>
      </c>
      <c r="I1771" t="s">
        <v>51</v>
      </c>
      <c r="J1771" t="s">
        <v>49</v>
      </c>
      <c r="K1771">
        <v>0.49890000000000001</v>
      </c>
      <c r="L1771" t="s">
        <v>39</v>
      </c>
      <c r="M1771" t="s">
        <v>249</v>
      </c>
      <c r="N1771" t="s">
        <v>29</v>
      </c>
      <c r="O1771" t="s">
        <v>29</v>
      </c>
      <c r="P1771">
        <v>96</v>
      </c>
      <c r="Q1771" t="s">
        <v>31</v>
      </c>
      <c r="R1771" t="s">
        <v>695</v>
      </c>
      <c r="S1771" t="s">
        <v>243</v>
      </c>
      <c r="T1771" t="s">
        <v>747</v>
      </c>
      <c r="U1771" t="s">
        <v>748</v>
      </c>
      <c r="V1771" s="6" t="s">
        <v>694</v>
      </c>
      <c r="W1771" t="s">
        <v>249</v>
      </c>
      <c r="X1771" t="s">
        <v>823</v>
      </c>
      <c r="Y1771" t="s">
        <v>49</v>
      </c>
    </row>
    <row r="1772" spans="2:25" x14ac:dyDescent="0.3">
      <c r="B1772" s="5" t="s">
        <v>359</v>
      </c>
      <c r="C1772" s="5" t="str">
        <f>VLOOKUP(B1772,[1]물질정보!B:C,2,0)</f>
        <v>205-25-4</v>
      </c>
      <c r="D1772" t="str">
        <f>VLOOKUP(B1772,[1]물질정보!B:D,3,0)</f>
        <v xml:space="preserve">7H-Benzo[c]carbazole </v>
      </c>
      <c r="E1772" t="str">
        <f>VLOOKUP(B1772,[1]물질정보!B:E,4,0)</f>
        <v>C16H11N</v>
      </c>
      <c r="F1772" t="str">
        <f>VLOOKUP(B1772,[1]물질정보!B:F,5,0)</f>
        <v>217.26 g/mol</v>
      </c>
      <c r="G1772" s="5" t="str">
        <f>VLOOKUP(B1772,[1]물질정보!B:G,6,0)</f>
        <v>C1=CC=C2C(=C1)C=CC3=C2C4=CC=CC=C4N3</v>
      </c>
      <c r="H1772" t="s">
        <v>690</v>
      </c>
      <c r="I1772" t="s">
        <v>51</v>
      </c>
      <c r="J1772" t="s">
        <v>49</v>
      </c>
      <c r="K1772">
        <v>0.86670000000000003</v>
      </c>
      <c r="L1772" t="s">
        <v>39</v>
      </c>
      <c r="M1772" t="s">
        <v>249</v>
      </c>
      <c r="N1772" t="s">
        <v>29</v>
      </c>
      <c r="O1772" t="s">
        <v>29</v>
      </c>
      <c r="P1772">
        <v>96</v>
      </c>
      <c r="Q1772" t="s">
        <v>31</v>
      </c>
      <c r="R1772" t="s">
        <v>695</v>
      </c>
      <c r="S1772" t="s">
        <v>243</v>
      </c>
      <c r="T1772" t="s">
        <v>749</v>
      </c>
      <c r="U1772" t="s">
        <v>748</v>
      </c>
      <c r="V1772" s="6" t="s">
        <v>694</v>
      </c>
      <c r="W1772" t="s">
        <v>249</v>
      </c>
      <c r="X1772" t="s">
        <v>823</v>
      </c>
      <c r="Y1772" t="s">
        <v>49</v>
      </c>
    </row>
    <row r="1773" spans="2:25" x14ac:dyDescent="0.3">
      <c r="B1773" s="5" t="s">
        <v>503</v>
      </c>
      <c r="C1773" s="5" t="str">
        <f>VLOOKUP(B1773,[1]물질정보!B:C,2,0)</f>
        <v>97-63-2</v>
      </c>
      <c r="D1773" t="str">
        <f>VLOOKUP(B1773,[1]물질정보!B:D,3,0)</f>
        <v>ethyl methacrylate</v>
      </c>
      <c r="E1773" t="str">
        <f>VLOOKUP(B1773,[1]물질정보!B:E,4,0)</f>
        <v>C6H10O2</v>
      </c>
      <c r="F1773" t="str">
        <f>VLOOKUP(B1773,[1]물질정보!B:F,5,0)</f>
        <v>114.14 g/mol</v>
      </c>
      <c r="G1773" s="5" t="str">
        <f>VLOOKUP(B1773,[1]물질정보!B:G,6,0)</f>
        <v>CCOC(=O)C(=C)C</v>
      </c>
      <c r="H1773" t="s">
        <v>690</v>
      </c>
      <c r="I1773" t="s">
        <v>51</v>
      </c>
      <c r="J1773" t="s">
        <v>49</v>
      </c>
      <c r="K1773">
        <v>5.5</v>
      </c>
      <c r="L1773" t="s">
        <v>39</v>
      </c>
      <c r="M1773" t="s">
        <v>249</v>
      </c>
      <c r="N1773" t="s">
        <v>29</v>
      </c>
      <c r="O1773" t="s">
        <v>29</v>
      </c>
      <c r="P1773">
        <v>96</v>
      </c>
      <c r="Q1773" t="s">
        <v>31</v>
      </c>
      <c r="R1773" t="s">
        <v>695</v>
      </c>
      <c r="S1773" t="s">
        <v>243</v>
      </c>
      <c r="T1773" t="s">
        <v>740</v>
      </c>
      <c r="U1773" t="s">
        <v>748</v>
      </c>
      <c r="V1773" s="6" t="s">
        <v>694</v>
      </c>
      <c r="W1773" t="s">
        <v>249</v>
      </c>
      <c r="X1773" t="s">
        <v>823</v>
      </c>
      <c r="Y1773" t="s">
        <v>49</v>
      </c>
    </row>
    <row r="1774" spans="2:25" x14ac:dyDescent="0.3">
      <c r="B1774" s="5" t="s">
        <v>69</v>
      </c>
      <c r="C1774" s="5" t="str">
        <f>VLOOKUP(B1774,[1]물질정보!B:C,2,0)</f>
        <v>868-77-9</v>
      </c>
      <c r="D1774" t="str">
        <f>VLOOKUP(B1774,[1]물질정보!B:D,3,0)</f>
        <v>2-hydroxyethyl methacrylate</v>
      </c>
      <c r="E1774" t="str">
        <f>VLOOKUP(B1774,[1]물질정보!B:E,4,0)</f>
        <v>C6H10O3</v>
      </c>
      <c r="F1774" t="str">
        <f>VLOOKUP(B1774,[1]물질정보!B:F,5,0)</f>
        <v>130.139 g/mol</v>
      </c>
      <c r="G1774" s="5" t="str">
        <f>VLOOKUP(B1774,[1]물질정보!B:G,6,0)</f>
        <v>CC(=C)C(=O)OCCO</v>
      </c>
      <c r="H1774" t="s">
        <v>690</v>
      </c>
      <c r="I1774" t="s">
        <v>51</v>
      </c>
      <c r="J1774" t="s">
        <v>49</v>
      </c>
      <c r="K1774">
        <v>6.98</v>
      </c>
      <c r="L1774" t="s">
        <v>39</v>
      </c>
      <c r="M1774" t="s">
        <v>249</v>
      </c>
      <c r="N1774" t="s">
        <v>29</v>
      </c>
      <c r="O1774" t="s">
        <v>29</v>
      </c>
      <c r="P1774">
        <v>96</v>
      </c>
      <c r="Q1774" t="s">
        <v>31</v>
      </c>
      <c r="R1774" t="s">
        <v>695</v>
      </c>
      <c r="S1774" t="s">
        <v>243</v>
      </c>
      <c r="T1774" t="s">
        <v>740</v>
      </c>
      <c r="U1774" t="s">
        <v>748</v>
      </c>
      <c r="V1774" s="6" t="s">
        <v>694</v>
      </c>
      <c r="W1774" t="s">
        <v>249</v>
      </c>
      <c r="X1774" t="s">
        <v>823</v>
      </c>
      <c r="Y1774" t="s">
        <v>49</v>
      </c>
    </row>
    <row r="1775" spans="2:25" x14ac:dyDescent="0.3">
      <c r="B1775" s="5" t="s">
        <v>25</v>
      </c>
      <c r="C1775" s="5" t="str">
        <f>VLOOKUP(B1775,[1]물질정보!B:C,2,0)</f>
        <v>97-88-1</v>
      </c>
      <c r="D1775" t="str">
        <f>VLOOKUP(B1775,[1]물질정보!B:D,3,0)</f>
        <v>butyl methacrylate</v>
      </c>
      <c r="E1775" t="str">
        <f>VLOOKUP(B1775,[1]물질정보!B:E,4,0)</f>
        <v>C8H14O2</v>
      </c>
      <c r="F1775" t="str">
        <f>VLOOKUP(B1775,[1]물질정보!B:F,5,0)</f>
        <v>142.2 g/mol</v>
      </c>
      <c r="G1775" s="5" t="str">
        <f>VLOOKUP(B1775,[1]물질정보!B:G,6,0)</f>
        <v>CCCCOC(=O)C(=C)C</v>
      </c>
      <c r="H1775" t="s">
        <v>690</v>
      </c>
      <c r="I1775" t="s">
        <v>51</v>
      </c>
      <c r="J1775" t="s">
        <v>49</v>
      </c>
      <c r="K1775">
        <v>2.58</v>
      </c>
      <c r="L1775" t="s">
        <v>39</v>
      </c>
      <c r="M1775" t="s">
        <v>249</v>
      </c>
      <c r="N1775" t="s">
        <v>29</v>
      </c>
      <c r="O1775" t="s">
        <v>29</v>
      </c>
      <c r="P1775">
        <v>96</v>
      </c>
      <c r="Q1775" t="s">
        <v>31</v>
      </c>
      <c r="R1775" t="s">
        <v>695</v>
      </c>
      <c r="S1775" t="s">
        <v>243</v>
      </c>
      <c r="T1775" t="s">
        <v>740</v>
      </c>
      <c r="U1775" t="s">
        <v>748</v>
      </c>
      <c r="V1775" s="6" t="s">
        <v>694</v>
      </c>
      <c r="W1775" t="s">
        <v>249</v>
      </c>
      <c r="X1775" t="s">
        <v>823</v>
      </c>
      <c r="Y1775" t="s">
        <v>49</v>
      </c>
    </row>
    <row r="1776" spans="2:25" x14ac:dyDescent="0.3">
      <c r="B1776" s="5" t="s">
        <v>68</v>
      </c>
      <c r="C1776" s="5" t="str">
        <f>VLOOKUP(B1776,[1]물질정보!B:C,2,0)</f>
        <v>997-46-6</v>
      </c>
      <c r="D1776" t="str">
        <f>VLOOKUP(B1776,[1]물질정보!B:D,3,0)</f>
        <v>4-hydroxybutyl methacrylate</v>
      </c>
      <c r="E1776" t="str">
        <f>VLOOKUP(B1776,[1]물질정보!B:E,4,0)</f>
        <v>C8H14O3</v>
      </c>
      <c r="F1776" t="str">
        <f>VLOOKUP(B1776,[1]물질정보!B:F,5,0)</f>
        <v>158.19 g/mol</v>
      </c>
      <c r="G1776" s="5" t="str">
        <f>VLOOKUP(B1776,[1]물질정보!B:G,6,0)</f>
        <v>CC(=C)C(=O)OCCCCO</v>
      </c>
      <c r="H1776" t="s">
        <v>690</v>
      </c>
      <c r="I1776" t="s">
        <v>51</v>
      </c>
      <c r="J1776" t="s">
        <v>49</v>
      </c>
      <c r="K1776">
        <v>3.12</v>
      </c>
      <c r="L1776" t="s">
        <v>39</v>
      </c>
      <c r="M1776" t="s">
        <v>249</v>
      </c>
      <c r="N1776" t="s">
        <v>29</v>
      </c>
      <c r="O1776" t="s">
        <v>29</v>
      </c>
      <c r="P1776">
        <v>96</v>
      </c>
      <c r="Q1776" t="s">
        <v>31</v>
      </c>
      <c r="R1776" t="s">
        <v>695</v>
      </c>
      <c r="S1776" t="s">
        <v>243</v>
      </c>
      <c r="T1776" t="s">
        <v>740</v>
      </c>
      <c r="U1776" t="s">
        <v>748</v>
      </c>
      <c r="V1776" s="6" t="s">
        <v>694</v>
      </c>
      <c r="W1776" t="s">
        <v>249</v>
      </c>
      <c r="X1776" t="s">
        <v>823</v>
      </c>
      <c r="Y1776" t="s">
        <v>49</v>
      </c>
    </row>
    <row r="1777" spans="2:25" x14ac:dyDescent="0.3">
      <c r="B1777" s="5" t="s">
        <v>77</v>
      </c>
      <c r="C1777" s="5" t="str">
        <f>VLOOKUP(B1777,[1]물질정보!B:C,2,0)</f>
        <v>140-88-5</v>
      </c>
      <c r="D1777" t="str">
        <f>VLOOKUP(B1777,[1]물질정보!B:D,3,0)</f>
        <v>ethyl acrylate</v>
      </c>
      <c r="E1777" t="str">
        <f>VLOOKUP(B1777,[1]물질정보!B:E,4,0)</f>
        <v>C5H8O2</v>
      </c>
      <c r="F1777" t="str">
        <f>VLOOKUP(B1777,[1]물질정보!B:F,5,0)</f>
        <v>100.12 g/mol</v>
      </c>
      <c r="G1777" s="5" t="str">
        <f>VLOOKUP(B1777,[1]물질정보!B:G,6,0)</f>
        <v>CCOC(=O)C=C</v>
      </c>
      <c r="H1777" t="s">
        <v>690</v>
      </c>
      <c r="I1777" t="s">
        <v>51</v>
      </c>
      <c r="J1777" t="s">
        <v>49</v>
      </c>
      <c r="K1777">
        <v>7.91</v>
      </c>
      <c r="L1777" t="s">
        <v>39</v>
      </c>
      <c r="M1777" t="s">
        <v>249</v>
      </c>
      <c r="N1777" t="s">
        <v>29</v>
      </c>
      <c r="O1777" t="s">
        <v>29</v>
      </c>
      <c r="P1777">
        <v>96</v>
      </c>
      <c r="Q1777" t="s">
        <v>31</v>
      </c>
      <c r="R1777" t="s">
        <v>695</v>
      </c>
      <c r="S1777" t="s">
        <v>243</v>
      </c>
      <c r="T1777" t="s">
        <v>740</v>
      </c>
      <c r="U1777" t="s">
        <v>748</v>
      </c>
      <c r="V1777" s="6" t="s">
        <v>694</v>
      </c>
      <c r="W1777" t="s">
        <v>249</v>
      </c>
      <c r="X1777" t="s">
        <v>823</v>
      </c>
      <c r="Y1777" t="s">
        <v>49</v>
      </c>
    </row>
    <row r="1778" spans="2:25" x14ac:dyDescent="0.3">
      <c r="B1778" s="5" t="s">
        <v>67</v>
      </c>
      <c r="C1778" s="5" t="str">
        <f>VLOOKUP(B1778,[1]물질정보!B:C,2,0)</f>
        <v>818-61-1</v>
      </c>
      <c r="D1778" t="str">
        <f>VLOOKUP(B1778,[1]물질정보!B:D,3,0)</f>
        <v>2-hydroxyethyl acrylate</v>
      </c>
      <c r="E1778" t="str">
        <f>VLOOKUP(B1778,[1]물질정보!B:E,4,0)</f>
        <v>C5H8O3</v>
      </c>
      <c r="F1778" t="str">
        <f>VLOOKUP(B1778,[1]물질정보!B:F,5,0)</f>
        <v>116.11 g/mol</v>
      </c>
      <c r="G1778" s="5" t="str">
        <f>VLOOKUP(B1778,[1]물질정보!B:G,6,0)</f>
        <v>C=CC(=O)OCCO</v>
      </c>
      <c r="H1778" t="s">
        <v>690</v>
      </c>
      <c r="I1778" t="s">
        <v>51</v>
      </c>
      <c r="J1778" t="s">
        <v>49</v>
      </c>
      <c r="K1778">
        <v>10.08</v>
      </c>
      <c r="L1778" t="s">
        <v>39</v>
      </c>
      <c r="M1778" t="s">
        <v>249</v>
      </c>
      <c r="N1778" t="s">
        <v>29</v>
      </c>
      <c r="O1778" t="s">
        <v>29</v>
      </c>
      <c r="P1778">
        <v>96</v>
      </c>
      <c r="Q1778" t="s">
        <v>31</v>
      </c>
      <c r="R1778" t="s">
        <v>695</v>
      </c>
      <c r="S1778" t="s">
        <v>243</v>
      </c>
      <c r="T1778" t="s">
        <v>740</v>
      </c>
      <c r="U1778" t="s">
        <v>748</v>
      </c>
      <c r="V1778" s="6" t="s">
        <v>694</v>
      </c>
      <c r="W1778" t="s">
        <v>249</v>
      </c>
      <c r="X1778" t="s">
        <v>823</v>
      </c>
      <c r="Y1778" t="s">
        <v>49</v>
      </c>
    </row>
    <row r="1779" spans="2:25" x14ac:dyDescent="0.3">
      <c r="B1779" s="5" t="s">
        <v>65</v>
      </c>
      <c r="C1779" s="5" t="str">
        <f>VLOOKUP(B1779,[1]물질정보!B:C,2,0)</f>
        <v>141-32-2</v>
      </c>
      <c r="D1779" t="str">
        <f>VLOOKUP(B1779,[1]물질정보!B:D,3,0)</f>
        <v>butyl acrylate</v>
      </c>
      <c r="E1779" t="str">
        <f>VLOOKUP(B1779,[1]물질정보!B:E,4,0)</f>
        <v>C7H12O2</v>
      </c>
      <c r="F1779" t="str">
        <f>VLOOKUP(B1779,[1]물질정보!B:F,5,0)</f>
        <v>128.169 g/mol</v>
      </c>
      <c r="G1779" s="5" t="str">
        <f>VLOOKUP(B1779,[1]물질정보!B:G,6,0)</f>
        <v>CCCCOC(=O)C=C</v>
      </c>
      <c r="H1779" t="s">
        <v>690</v>
      </c>
      <c r="I1779" t="s">
        <v>51</v>
      </c>
      <c r="J1779" t="s">
        <v>49</v>
      </c>
      <c r="K1779">
        <v>3.63</v>
      </c>
      <c r="L1779" t="s">
        <v>39</v>
      </c>
      <c r="M1779" t="s">
        <v>249</v>
      </c>
      <c r="N1779" t="s">
        <v>29</v>
      </c>
      <c r="O1779" t="s">
        <v>29</v>
      </c>
      <c r="P1779">
        <v>96</v>
      </c>
      <c r="Q1779" t="s">
        <v>31</v>
      </c>
      <c r="R1779" t="s">
        <v>695</v>
      </c>
      <c r="S1779" t="s">
        <v>243</v>
      </c>
      <c r="T1779" t="s">
        <v>740</v>
      </c>
      <c r="U1779" t="s">
        <v>748</v>
      </c>
      <c r="V1779" s="6" t="s">
        <v>694</v>
      </c>
      <c r="W1779" t="s">
        <v>249</v>
      </c>
      <c r="X1779" t="s">
        <v>823</v>
      </c>
      <c r="Y1779" t="s">
        <v>49</v>
      </c>
    </row>
    <row r="1780" spans="2:25" x14ac:dyDescent="0.3">
      <c r="B1780" s="5" t="s">
        <v>64</v>
      </c>
      <c r="C1780" s="5" t="str">
        <f>VLOOKUP(B1780,[1]물질정보!B:C,2,0)</f>
        <v>2478-10-6</v>
      </c>
      <c r="D1780" t="str">
        <f>VLOOKUP(B1780,[1]물질정보!B:D,3,0)</f>
        <v>4-hydroxybutyl acrylate</v>
      </c>
      <c r="E1780" t="str">
        <f>VLOOKUP(B1780,[1]물질정보!B:E,4,0)</f>
        <v>C7H12O3</v>
      </c>
      <c r="F1780" t="str">
        <f>VLOOKUP(B1780,[1]물질정보!B:F,5,0)</f>
        <v>144.17 g/mol</v>
      </c>
      <c r="G1780" s="5" t="str">
        <f>VLOOKUP(B1780,[1]물질정보!B:G,6,0)</f>
        <v>C=CC(=O)OCCCCO</v>
      </c>
      <c r="H1780" t="s">
        <v>690</v>
      </c>
      <c r="I1780" t="s">
        <v>51</v>
      </c>
      <c r="J1780" t="s">
        <v>49</v>
      </c>
      <c r="K1780">
        <v>4.3899999999999997</v>
      </c>
      <c r="L1780" t="s">
        <v>39</v>
      </c>
      <c r="M1780" t="s">
        <v>249</v>
      </c>
      <c r="N1780" t="s">
        <v>29</v>
      </c>
      <c r="O1780" t="s">
        <v>29</v>
      </c>
      <c r="P1780">
        <v>96</v>
      </c>
      <c r="Q1780" t="s">
        <v>31</v>
      </c>
      <c r="R1780" t="s">
        <v>695</v>
      </c>
      <c r="S1780" t="s">
        <v>243</v>
      </c>
      <c r="T1780" t="s">
        <v>740</v>
      </c>
      <c r="U1780" t="s">
        <v>748</v>
      </c>
      <c r="V1780" s="6" t="s">
        <v>694</v>
      </c>
      <c r="W1780" t="s">
        <v>249</v>
      </c>
      <c r="X1780" t="s">
        <v>823</v>
      </c>
      <c r="Y1780" t="s">
        <v>49</v>
      </c>
    </row>
    <row r="1781" spans="2:25" x14ac:dyDescent="0.3">
      <c r="B1781" s="5" t="s">
        <v>59</v>
      </c>
      <c r="C1781" s="5" t="str">
        <f>VLOOKUP(B1781,[1]물질정보!B:C,2,0)</f>
        <v>2499-95-8</v>
      </c>
      <c r="D1781" t="str">
        <f>VLOOKUP(B1781,[1]물질정보!B:D,3,0)</f>
        <v>hexyl acrylate</v>
      </c>
      <c r="E1781" t="str">
        <f>VLOOKUP(B1781,[1]물질정보!B:E,4,0)</f>
        <v>C9H16O2</v>
      </c>
      <c r="F1781" t="str">
        <f>VLOOKUP(B1781,[1]물질정보!B:F,5,0)</f>
        <v>156.22 g/mol</v>
      </c>
      <c r="G1781" s="5" t="str">
        <f>VLOOKUP(B1781,[1]물질정보!B:G,6,0)</f>
        <v>CCCCCCOC(=O)C=C</v>
      </c>
      <c r="H1781" t="s">
        <v>690</v>
      </c>
      <c r="I1781" t="s">
        <v>51</v>
      </c>
      <c r="J1781" t="s">
        <v>49</v>
      </c>
      <c r="K1781">
        <v>1.87</v>
      </c>
      <c r="L1781" t="s">
        <v>39</v>
      </c>
      <c r="M1781" t="s">
        <v>249</v>
      </c>
      <c r="N1781" t="s">
        <v>29</v>
      </c>
      <c r="O1781" t="s">
        <v>29</v>
      </c>
      <c r="P1781">
        <v>96</v>
      </c>
      <c r="Q1781" t="s">
        <v>31</v>
      </c>
      <c r="R1781" t="s">
        <v>695</v>
      </c>
      <c r="S1781" t="s">
        <v>243</v>
      </c>
      <c r="T1781" t="s">
        <v>740</v>
      </c>
      <c r="U1781" t="s">
        <v>748</v>
      </c>
      <c r="V1781" s="6" t="s">
        <v>694</v>
      </c>
      <c r="W1781" t="s">
        <v>249</v>
      </c>
      <c r="X1781" t="s">
        <v>823</v>
      </c>
      <c r="Y1781" t="s">
        <v>49</v>
      </c>
    </row>
    <row r="1782" spans="2:25" x14ac:dyDescent="0.3">
      <c r="B1782" s="5" t="s">
        <v>70</v>
      </c>
      <c r="C1782" s="5" t="str">
        <f>VLOOKUP(B1782,[1]물질정보!B:C,2,0)</f>
        <v>10095-14-4</v>
      </c>
      <c r="D1782" t="str">
        <f>VLOOKUP(B1782,[1]물질정보!B:D,3,0)</f>
        <v>6-hydroxybutyl acrylate</v>
      </c>
      <c r="E1782" t="str">
        <f>VLOOKUP(B1782,[1]물질정보!B:E,4,0)</f>
        <v>C9H16O3</v>
      </c>
      <c r="F1782" t="str">
        <f>VLOOKUP(B1782,[1]물질정보!B:F,5,0)</f>
        <v>172.22 g/mol</v>
      </c>
      <c r="G1782" s="5" t="str">
        <f>VLOOKUP(B1782,[1]물질정보!B:G,6,0)</f>
        <v>C=CC(=O)OCCCCCCO</v>
      </c>
      <c r="H1782" t="s">
        <v>690</v>
      </c>
      <c r="I1782" t="s">
        <v>51</v>
      </c>
      <c r="J1782" t="s">
        <v>49</v>
      </c>
      <c r="K1782">
        <v>2.19</v>
      </c>
      <c r="L1782" t="s">
        <v>39</v>
      </c>
      <c r="M1782" t="s">
        <v>249</v>
      </c>
      <c r="N1782" t="s">
        <v>29</v>
      </c>
      <c r="O1782" t="s">
        <v>29</v>
      </c>
      <c r="P1782">
        <v>96</v>
      </c>
      <c r="Q1782" t="s">
        <v>31</v>
      </c>
      <c r="R1782" t="s">
        <v>695</v>
      </c>
      <c r="S1782" t="s">
        <v>243</v>
      </c>
      <c r="T1782" t="s">
        <v>740</v>
      </c>
      <c r="U1782" t="s">
        <v>748</v>
      </c>
      <c r="V1782" s="6" t="s">
        <v>694</v>
      </c>
      <c r="W1782" t="s">
        <v>249</v>
      </c>
      <c r="X1782" t="s">
        <v>823</v>
      </c>
      <c r="Y1782" t="s">
        <v>49</v>
      </c>
    </row>
    <row r="1783" spans="2:25" x14ac:dyDescent="0.3">
      <c r="B1783" s="5" t="s">
        <v>78</v>
      </c>
      <c r="C1783" s="5" t="str">
        <f>VLOOKUP(B1783,[1]물질정보!B:C,2,0)</f>
        <v>-</v>
      </c>
      <c r="D1783" t="str">
        <f>VLOOKUP(B1783,[1]물질정보!B:D,3,0)</f>
        <v xml:space="preserve">9-(9H-Carbazol-9-yl)-7H-benzo[c]carbazole </v>
      </c>
      <c r="E1783" t="str">
        <f>VLOOKUP(B1783,[1]물질정보!B:E,4,0)</f>
        <v>C28H18N2</v>
      </c>
      <c r="F1783" t="str">
        <f>VLOOKUP(B1783,[1]물질정보!B:F,5,0)</f>
        <v>382.5 g/mol</v>
      </c>
      <c r="G1783" s="5" t="str">
        <f>VLOOKUP(B1783,[1]물질정보!B:G,6,0)</f>
        <v>C1=CC=C2C(=C1)C=CC3=C2C4=C(N3)C=C(C=C4)N5C6=CC=CC=C6C7=CC=CC=C75</v>
      </c>
      <c r="H1783" t="s">
        <v>698</v>
      </c>
      <c r="I1783" t="s">
        <v>487</v>
      </c>
      <c r="J1783" t="s">
        <v>81</v>
      </c>
      <c r="K1783" t="s">
        <v>29</v>
      </c>
      <c r="L1783" t="s">
        <v>161</v>
      </c>
      <c r="M1783" t="s">
        <v>86</v>
      </c>
      <c r="N1783" t="s">
        <v>29</v>
      </c>
      <c r="O1783" t="s">
        <v>29</v>
      </c>
      <c r="P1783" t="s">
        <v>29</v>
      </c>
      <c r="Q1783" t="s">
        <v>29</v>
      </c>
      <c r="R1783" t="s">
        <v>695</v>
      </c>
      <c r="S1783" t="s">
        <v>750</v>
      </c>
      <c r="T1783" t="s">
        <v>29</v>
      </c>
      <c r="U1783" t="s">
        <v>751</v>
      </c>
      <c r="V1783" s="6" t="s">
        <v>694</v>
      </c>
      <c r="W1783" t="s">
        <v>86</v>
      </c>
      <c r="Y1783" t="s">
        <v>81</v>
      </c>
    </row>
    <row r="1784" spans="2:25" x14ac:dyDescent="0.3">
      <c r="B1784" s="5" t="s">
        <v>359</v>
      </c>
      <c r="C1784" s="5" t="str">
        <f>VLOOKUP(B1784,[1]물질정보!B:C,2,0)</f>
        <v>205-25-4</v>
      </c>
      <c r="D1784" t="str">
        <f>VLOOKUP(B1784,[1]물질정보!B:D,3,0)</f>
        <v xml:space="preserve">7H-Benzo[c]carbazole </v>
      </c>
      <c r="E1784" t="str">
        <f>VLOOKUP(B1784,[1]물질정보!B:E,4,0)</f>
        <v>C16H11N</v>
      </c>
      <c r="F1784" t="str">
        <f>VLOOKUP(B1784,[1]물질정보!B:F,5,0)</f>
        <v>217.26 g/mol</v>
      </c>
      <c r="G1784" s="5" t="str">
        <f>VLOOKUP(B1784,[1]물질정보!B:G,6,0)</f>
        <v>C1=CC=C2C(=C1)C=CC3=C2C4=CC=CC=C4N3</v>
      </c>
      <c r="H1784" t="s">
        <v>698</v>
      </c>
      <c r="I1784" t="s">
        <v>487</v>
      </c>
      <c r="J1784" t="s">
        <v>81</v>
      </c>
      <c r="K1784">
        <v>2339.8000000000002</v>
      </c>
      <c r="L1784" t="s">
        <v>161</v>
      </c>
      <c r="M1784" t="s">
        <v>86</v>
      </c>
      <c r="N1784" t="s">
        <v>29</v>
      </c>
      <c r="O1784" t="s">
        <v>29</v>
      </c>
      <c r="P1784" t="s">
        <v>29</v>
      </c>
      <c r="Q1784" t="s">
        <v>29</v>
      </c>
      <c r="R1784" t="s">
        <v>695</v>
      </c>
      <c r="S1784" t="s">
        <v>750</v>
      </c>
      <c r="T1784" t="s">
        <v>704</v>
      </c>
      <c r="U1784" t="s">
        <v>751</v>
      </c>
      <c r="V1784" s="6" t="s">
        <v>694</v>
      </c>
      <c r="W1784" t="s">
        <v>86</v>
      </c>
      <c r="Y1784" t="s">
        <v>81</v>
      </c>
    </row>
    <row r="1785" spans="2:25" x14ac:dyDescent="0.3">
      <c r="B1785" s="5" t="s">
        <v>503</v>
      </c>
      <c r="C1785" s="5" t="str">
        <f>VLOOKUP(B1785,[1]물질정보!B:C,2,0)</f>
        <v>97-63-2</v>
      </c>
      <c r="D1785" t="str">
        <f>VLOOKUP(B1785,[1]물질정보!B:D,3,0)</f>
        <v>ethyl methacrylate</v>
      </c>
      <c r="E1785" t="str">
        <f>VLOOKUP(B1785,[1]물질정보!B:E,4,0)</f>
        <v>C6H10O2</v>
      </c>
      <c r="F1785" t="str">
        <f>VLOOKUP(B1785,[1]물질정보!B:F,5,0)</f>
        <v>114.14 g/mol</v>
      </c>
      <c r="G1785" s="5" t="str">
        <f>VLOOKUP(B1785,[1]물질정보!B:G,6,0)</f>
        <v>CCOC(=O)C(=C)C</v>
      </c>
      <c r="H1785" t="s">
        <v>698</v>
      </c>
      <c r="I1785" t="s">
        <v>487</v>
      </c>
      <c r="J1785" t="s">
        <v>81</v>
      </c>
      <c r="K1785">
        <v>14707.88</v>
      </c>
      <c r="L1785" t="s">
        <v>161</v>
      </c>
      <c r="M1785" t="s">
        <v>86</v>
      </c>
      <c r="N1785" t="s">
        <v>29</v>
      </c>
      <c r="O1785" t="s">
        <v>29</v>
      </c>
      <c r="P1785" t="s">
        <v>29</v>
      </c>
      <c r="Q1785" t="s">
        <v>29</v>
      </c>
      <c r="R1785" t="s">
        <v>695</v>
      </c>
      <c r="S1785" t="s">
        <v>750</v>
      </c>
      <c r="T1785" t="s">
        <v>709</v>
      </c>
      <c r="U1785" t="s">
        <v>751</v>
      </c>
      <c r="V1785" s="6" t="s">
        <v>694</v>
      </c>
      <c r="W1785" t="s">
        <v>86</v>
      </c>
      <c r="Y1785" t="s">
        <v>81</v>
      </c>
    </row>
    <row r="1786" spans="2:25" x14ac:dyDescent="0.3">
      <c r="B1786" s="5" t="s">
        <v>69</v>
      </c>
      <c r="C1786" s="5" t="str">
        <f>VLOOKUP(B1786,[1]물질정보!B:C,2,0)</f>
        <v>868-77-9</v>
      </c>
      <c r="D1786" t="str">
        <f>VLOOKUP(B1786,[1]물질정보!B:D,3,0)</f>
        <v>2-hydroxyethyl methacrylate</v>
      </c>
      <c r="E1786" t="str">
        <f>VLOOKUP(B1786,[1]물질정보!B:E,4,0)</f>
        <v>C6H10O3</v>
      </c>
      <c r="F1786" t="str">
        <f>VLOOKUP(B1786,[1]물질정보!B:F,5,0)</f>
        <v>130.139 g/mol</v>
      </c>
      <c r="G1786" s="5" t="str">
        <f>VLOOKUP(B1786,[1]물질정보!B:G,6,0)</f>
        <v>CC(=C)C(=O)OCCO</v>
      </c>
      <c r="H1786" t="s">
        <v>698</v>
      </c>
      <c r="I1786" t="s">
        <v>487</v>
      </c>
      <c r="J1786" t="s">
        <v>81</v>
      </c>
      <c r="K1786">
        <v>3195.32</v>
      </c>
      <c r="L1786" t="s">
        <v>161</v>
      </c>
      <c r="M1786" t="s">
        <v>86</v>
      </c>
      <c r="N1786" t="s">
        <v>29</v>
      </c>
      <c r="O1786" t="s">
        <v>29</v>
      </c>
      <c r="P1786" t="s">
        <v>29</v>
      </c>
      <c r="Q1786" t="s">
        <v>29</v>
      </c>
      <c r="R1786" t="s">
        <v>695</v>
      </c>
      <c r="S1786" t="s">
        <v>750</v>
      </c>
      <c r="T1786" t="s">
        <v>739</v>
      </c>
      <c r="U1786" t="s">
        <v>751</v>
      </c>
      <c r="V1786" s="6" t="s">
        <v>694</v>
      </c>
      <c r="W1786" t="s">
        <v>86</v>
      </c>
      <c r="Y1786" t="s">
        <v>81</v>
      </c>
    </row>
    <row r="1787" spans="2:25" x14ac:dyDescent="0.3">
      <c r="B1787" s="5" t="s">
        <v>25</v>
      </c>
      <c r="C1787" s="5" t="str">
        <f>VLOOKUP(B1787,[1]물질정보!B:C,2,0)</f>
        <v>97-88-1</v>
      </c>
      <c r="D1787" t="str">
        <f>VLOOKUP(B1787,[1]물질정보!B:D,3,0)</f>
        <v>butyl methacrylate</v>
      </c>
      <c r="E1787" t="str">
        <f>VLOOKUP(B1787,[1]물질정보!B:E,4,0)</f>
        <v>C8H14O2</v>
      </c>
      <c r="F1787" t="str">
        <f>VLOOKUP(B1787,[1]물질정보!B:F,5,0)</f>
        <v>142.2 g/mol</v>
      </c>
      <c r="G1787" s="5" t="str">
        <f>VLOOKUP(B1787,[1]물질정보!B:G,6,0)</f>
        <v>CCCCOC(=O)C(=C)C</v>
      </c>
      <c r="H1787" t="s">
        <v>698</v>
      </c>
      <c r="I1787" t="s">
        <v>487</v>
      </c>
      <c r="J1787" t="s">
        <v>81</v>
      </c>
      <c r="K1787">
        <v>3370.21</v>
      </c>
      <c r="L1787" t="s">
        <v>161</v>
      </c>
      <c r="M1787" t="s">
        <v>86</v>
      </c>
      <c r="N1787" t="s">
        <v>29</v>
      </c>
      <c r="O1787" t="s">
        <v>29</v>
      </c>
      <c r="P1787" t="s">
        <v>29</v>
      </c>
      <c r="Q1787" t="s">
        <v>29</v>
      </c>
      <c r="R1787" t="s">
        <v>695</v>
      </c>
      <c r="S1787" t="s">
        <v>750</v>
      </c>
      <c r="T1787" t="s">
        <v>703</v>
      </c>
      <c r="U1787" t="s">
        <v>751</v>
      </c>
      <c r="V1787" s="6" t="s">
        <v>694</v>
      </c>
      <c r="W1787" t="s">
        <v>86</v>
      </c>
      <c r="Y1787" t="s">
        <v>81</v>
      </c>
    </row>
    <row r="1788" spans="2:25" x14ac:dyDescent="0.3">
      <c r="B1788" s="5" t="s">
        <v>68</v>
      </c>
      <c r="C1788" s="5" t="str">
        <f>VLOOKUP(B1788,[1]물질정보!B:C,2,0)</f>
        <v>997-46-6</v>
      </c>
      <c r="D1788" t="str">
        <f>VLOOKUP(B1788,[1]물질정보!B:D,3,0)</f>
        <v>4-hydroxybutyl methacrylate</v>
      </c>
      <c r="E1788" t="str">
        <f>VLOOKUP(B1788,[1]물질정보!B:E,4,0)</f>
        <v>C8H14O3</v>
      </c>
      <c r="F1788" t="str">
        <f>VLOOKUP(B1788,[1]물질정보!B:F,5,0)</f>
        <v>158.19 g/mol</v>
      </c>
      <c r="G1788" s="5" t="str">
        <f>VLOOKUP(B1788,[1]물질정보!B:G,6,0)</f>
        <v>CC(=C)C(=O)OCCCCO</v>
      </c>
      <c r="H1788" t="s">
        <v>698</v>
      </c>
      <c r="I1788" t="s">
        <v>487</v>
      </c>
      <c r="J1788" t="s">
        <v>81</v>
      </c>
      <c r="K1788">
        <v>3553.49</v>
      </c>
      <c r="L1788" t="s">
        <v>161</v>
      </c>
      <c r="M1788" t="s">
        <v>86</v>
      </c>
      <c r="N1788" t="s">
        <v>29</v>
      </c>
      <c r="O1788" t="s">
        <v>29</v>
      </c>
      <c r="P1788" t="s">
        <v>29</v>
      </c>
      <c r="Q1788" t="s">
        <v>29</v>
      </c>
      <c r="R1788" t="s">
        <v>695</v>
      </c>
      <c r="S1788" t="s">
        <v>750</v>
      </c>
      <c r="T1788" t="s">
        <v>703</v>
      </c>
      <c r="U1788" t="s">
        <v>751</v>
      </c>
      <c r="V1788" s="6" t="s">
        <v>694</v>
      </c>
      <c r="W1788" t="s">
        <v>86</v>
      </c>
      <c r="Y1788" t="s">
        <v>81</v>
      </c>
    </row>
    <row r="1789" spans="2:25" x14ac:dyDescent="0.3">
      <c r="B1789" s="5" t="s">
        <v>77</v>
      </c>
      <c r="C1789" s="5" t="str">
        <f>VLOOKUP(B1789,[1]물질정보!B:C,2,0)</f>
        <v>140-88-5</v>
      </c>
      <c r="D1789" t="str">
        <f>VLOOKUP(B1789,[1]물질정보!B:D,3,0)</f>
        <v>ethyl acrylate</v>
      </c>
      <c r="E1789" t="str">
        <f>VLOOKUP(B1789,[1]물질정보!B:E,4,0)</f>
        <v>C5H8O2</v>
      </c>
      <c r="F1789" t="str">
        <f>VLOOKUP(B1789,[1]물질정보!B:F,5,0)</f>
        <v>100.12 g/mol</v>
      </c>
      <c r="G1789" s="5" t="str">
        <f>VLOOKUP(B1789,[1]물질정보!B:G,6,0)</f>
        <v>CCOC(=O)C=C</v>
      </c>
      <c r="H1789" t="s">
        <v>698</v>
      </c>
      <c r="I1789" t="s">
        <v>487</v>
      </c>
      <c r="J1789" t="s">
        <v>81</v>
      </c>
      <c r="K1789">
        <v>6513.79</v>
      </c>
      <c r="L1789" t="s">
        <v>161</v>
      </c>
      <c r="M1789" t="s">
        <v>86</v>
      </c>
      <c r="N1789" t="s">
        <v>29</v>
      </c>
      <c r="O1789" t="s">
        <v>29</v>
      </c>
      <c r="P1789" t="s">
        <v>29</v>
      </c>
      <c r="Q1789" t="s">
        <v>29</v>
      </c>
      <c r="R1789" t="s">
        <v>695</v>
      </c>
      <c r="S1789" t="s">
        <v>750</v>
      </c>
      <c r="T1789" t="s">
        <v>703</v>
      </c>
      <c r="U1789" t="s">
        <v>751</v>
      </c>
      <c r="V1789" s="6" t="s">
        <v>694</v>
      </c>
      <c r="W1789" t="s">
        <v>86</v>
      </c>
      <c r="Y1789" t="s">
        <v>81</v>
      </c>
    </row>
    <row r="1790" spans="2:25" x14ac:dyDescent="0.3">
      <c r="B1790" s="5" t="s">
        <v>67</v>
      </c>
      <c r="C1790" s="5" t="str">
        <f>VLOOKUP(B1790,[1]물질정보!B:C,2,0)</f>
        <v>818-61-1</v>
      </c>
      <c r="D1790" t="str">
        <f>VLOOKUP(B1790,[1]물질정보!B:D,3,0)</f>
        <v>2-hydroxyethyl acrylate</v>
      </c>
      <c r="E1790" t="str">
        <f>VLOOKUP(B1790,[1]물질정보!B:E,4,0)</f>
        <v>C5H8O3</v>
      </c>
      <c r="F1790" t="str">
        <f>VLOOKUP(B1790,[1]물질정보!B:F,5,0)</f>
        <v>116.11 g/mol</v>
      </c>
      <c r="G1790" s="5" t="str">
        <f>VLOOKUP(B1790,[1]물질정보!B:G,6,0)</f>
        <v>C=CC(=O)OCCO</v>
      </c>
      <c r="H1790" t="s">
        <v>698</v>
      </c>
      <c r="I1790" t="s">
        <v>487</v>
      </c>
      <c r="J1790" t="s">
        <v>81</v>
      </c>
      <c r="K1790">
        <v>4843</v>
      </c>
      <c r="L1790" t="s">
        <v>161</v>
      </c>
      <c r="M1790" t="s">
        <v>86</v>
      </c>
      <c r="N1790" t="s">
        <v>29</v>
      </c>
      <c r="O1790" t="s">
        <v>29</v>
      </c>
      <c r="P1790" t="s">
        <v>29</v>
      </c>
      <c r="Q1790" t="s">
        <v>29</v>
      </c>
      <c r="R1790" t="s">
        <v>695</v>
      </c>
      <c r="S1790" t="s">
        <v>750</v>
      </c>
      <c r="T1790" t="s">
        <v>708</v>
      </c>
      <c r="U1790" t="s">
        <v>751</v>
      </c>
      <c r="V1790" s="6" t="s">
        <v>694</v>
      </c>
      <c r="W1790" t="s">
        <v>86</v>
      </c>
      <c r="Y1790" t="s">
        <v>81</v>
      </c>
    </row>
    <row r="1791" spans="2:25" x14ac:dyDescent="0.3">
      <c r="B1791" s="5" t="s">
        <v>65</v>
      </c>
      <c r="C1791" s="5" t="str">
        <f>VLOOKUP(B1791,[1]물질정보!B:C,2,0)</f>
        <v>141-32-2</v>
      </c>
      <c r="D1791" t="str">
        <f>VLOOKUP(B1791,[1]물질정보!B:D,3,0)</f>
        <v>butyl acrylate</v>
      </c>
      <c r="E1791" t="str">
        <f>VLOOKUP(B1791,[1]물질정보!B:E,4,0)</f>
        <v>C7H12O2</v>
      </c>
      <c r="F1791" t="str">
        <f>VLOOKUP(B1791,[1]물질정보!B:F,5,0)</f>
        <v>128.169 g/mol</v>
      </c>
      <c r="G1791" s="5" t="str">
        <f>VLOOKUP(B1791,[1]물질정보!B:G,6,0)</f>
        <v>CCCCOC(=O)C=C</v>
      </c>
      <c r="H1791" t="s">
        <v>698</v>
      </c>
      <c r="I1791" t="s">
        <v>487</v>
      </c>
      <c r="J1791" t="s">
        <v>81</v>
      </c>
      <c r="K1791">
        <v>2934.33</v>
      </c>
      <c r="L1791" t="s">
        <v>161</v>
      </c>
      <c r="M1791" t="s">
        <v>86</v>
      </c>
      <c r="N1791" t="s">
        <v>29</v>
      </c>
      <c r="O1791" t="s">
        <v>29</v>
      </c>
      <c r="P1791" t="s">
        <v>29</v>
      </c>
      <c r="Q1791" t="s">
        <v>29</v>
      </c>
      <c r="R1791" t="s">
        <v>695</v>
      </c>
      <c r="S1791" t="s">
        <v>750</v>
      </c>
      <c r="T1791" t="s">
        <v>703</v>
      </c>
      <c r="U1791" t="s">
        <v>751</v>
      </c>
      <c r="V1791" s="6" t="s">
        <v>694</v>
      </c>
      <c r="W1791" t="s">
        <v>86</v>
      </c>
      <c r="Y1791" t="s">
        <v>81</v>
      </c>
    </row>
    <row r="1792" spans="2:25" x14ac:dyDescent="0.3">
      <c r="B1792" s="5" t="s">
        <v>64</v>
      </c>
      <c r="C1792" s="5" t="str">
        <f>VLOOKUP(B1792,[1]물질정보!B:C,2,0)</f>
        <v>2478-10-6</v>
      </c>
      <c r="D1792" t="str">
        <f>VLOOKUP(B1792,[1]물질정보!B:D,3,0)</f>
        <v>4-hydroxybutyl acrylate</v>
      </c>
      <c r="E1792" t="str">
        <f>VLOOKUP(B1792,[1]물질정보!B:E,4,0)</f>
        <v>C7H12O3</v>
      </c>
      <c r="F1792" t="str">
        <f>VLOOKUP(B1792,[1]물질정보!B:F,5,0)</f>
        <v>144.17 g/mol</v>
      </c>
      <c r="G1792" s="5" t="str">
        <f>VLOOKUP(B1792,[1]물질정보!B:G,6,0)</f>
        <v>C=CC(=O)OCCCCO</v>
      </c>
      <c r="H1792" t="s">
        <v>698</v>
      </c>
      <c r="I1792" t="s">
        <v>487</v>
      </c>
      <c r="J1792" t="s">
        <v>81</v>
      </c>
      <c r="K1792">
        <v>10842.13</v>
      </c>
      <c r="L1792" t="s">
        <v>161</v>
      </c>
      <c r="M1792" t="s">
        <v>86</v>
      </c>
      <c r="N1792" t="s">
        <v>29</v>
      </c>
      <c r="O1792" t="s">
        <v>29</v>
      </c>
      <c r="P1792" t="s">
        <v>29</v>
      </c>
      <c r="Q1792" t="s">
        <v>29</v>
      </c>
      <c r="R1792" t="s">
        <v>695</v>
      </c>
      <c r="S1792" t="s">
        <v>750</v>
      </c>
      <c r="T1792" t="s">
        <v>703</v>
      </c>
      <c r="U1792" t="s">
        <v>751</v>
      </c>
      <c r="V1792" s="6" t="s">
        <v>694</v>
      </c>
      <c r="W1792" t="s">
        <v>86</v>
      </c>
      <c r="Y1792" t="s">
        <v>81</v>
      </c>
    </row>
    <row r="1793" spans="2:25" x14ac:dyDescent="0.3">
      <c r="B1793" s="5" t="s">
        <v>59</v>
      </c>
      <c r="C1793" s="5" t="str">
        <f>VLOOKUP(B1793,[1]물질정보!B:C,2,0)</f>
        <v>2499-95-8</v>
      </c>
      <c r="D1793" t="str">
        <f>VLOOKUP(B1793,[1]물질정보!B:D,3,0)</f>
        <v>hexyl acrylate</v>
      </c>
      <c r="E1793" t="str">
        <f>VLOOKUP(B1793,[1]물질정보!B:E,4,0)</f>
        <v>C9H16O2</v>
      </c>
      <c r="F1793" t="str">
        <f>VLOOKUP(B1793,[1]물질정보!B:F,5,0)</f>
        <v>156.22 g/mol</v>
      </c>
      <c r="G1793" s="5" t="str">
        <f>VLOOKUP(B1793,[1]물질정보!B:G,6,0)</f>
        <v>CCCCCCOC(=O)C=C</v>
      </c>
      <c r="H1793" t="s">
        <v>698</v>
      </c>
      <c r="I1793" t="s">
        <v>487</v>
      </c>
      <c r="J1793" t="s">
        <v>81</v>
      </c>
      <c r="K1793">
        <v>1110</v>
      </c>
      <c r="L1793" t="s">
        <v>161</v>
      </c>
      <c r="M1793" t="s">
        <v>86</v>
      </c>
      <c r="N1793" t="s">
        <v>29</v>
      </c>
      <c r="O1793" t="s">
        <v>29</v>
      </c>
      <c r="P1793" t="s">
        <v>29</v>
      </c>
      <c r="Q1793" t="s">
        <v>29</v>
      </c>
      <c r="R1793" t="s">
        <v>695</v>
      </c>
      <c r="S1793" t="s">
        <v>750</v>
      </c>
      <c r="T1793" t="s">
        <v>708</v>
      </c>
      <c r="U1793" t="s">
        <v>751</v>
      </c>
      <c r="V1793" s="6" t="s">
        <v>694</v>
      </c>
      <c r="W1793" t="s">
        <v>86</v>
      </c>
      <c r="Y1793" t="s">
        <v>81</v>
      </c>
    </row>
    <row r="1794" spans="2:25" x14ac:dyDescent="0.3">
      <c r="B1794" s="5" t="s">
        <v>70</v>
      </c>
      <c r="C1794" s="5" t="str">
        <f>VLOOKUP(B1794,[1]물질정보!B:C,2,0)</f>
        <v>10095-14-4</v>
      </c>
      <c r="D1794" t="str">
        <f>VLOOKUP(B1794,[1]물질정보!B:D,3,0)</f>
        <v>6-hydroxybutyl acrylate</v>
      </c>
      <c r="E1794" t="str">
        <f>VLOOKUP(B1794,[1]물질정보!B:E,4,0)</f>
        <v>C9H16O3</v>
      </c>
      <c r="F1794" t="str">
        <f>VLOOKUP(B1794,[1]물질정보!B:F,5,0)</f>
        <v>172.22 g/mol</v>
      </c>
      <c r="G1794" s="5" t="str">
        <f>VLOOKUP(B1794,[1]물질정보!B:G,6,0)</f>
        <v>C=CC(=O)OCCCCCCO</v>
      </c>
      <c r="H1794" t="s">
        <v>698</v>
      </c>
      <c r="I1794" t="s">
        <v>487</v>
      </c>
      <c r="J1794" t="s">
        <v>81</v>
      </c>
      <c r="K1794">
        <v>4124.78</v>
      </c>
      <c r="L1794" t="s">
        <v>161</v>
      </c>
      <c r="M1794" t="s">
        <v>86</v>
      </c>
      <c r="N1794" t="s">
        <v>29</v>
      </c>
      <c r="O1794" t="s">
        <v>29</v>
      </c>
      <c r="P1794" t="s">
        <v>29</v>
      </c>
      <c r="Q1794" t="s">
        <v>29</v>
      </c>
      <c r="R1794" t="s">
        <v>695</v>
      </c>
      <c r="S1794" t="s">
        <v>750</v>
      </c>
      <c r="T1794" t="s">
        <v>704</v>
      </c>
      <c r="U1794" t="s">
        <v>751</v>
      </c>
      <c r="V1794" s="6" t="s">
        <v>694</v>
      </c>
      <c r="W1794" t="s">
        <v>86</v>
      </c>
      <c r="Y1794" t="s">
        <v>81</v>
      </c>
    </row>
    <row r="1795" spans="2:25" x14ac:dyDescent="0.3">
      <c r="B1795" s="5" t="s">
        <v>78</v>
      </c>
      <c r="C1795" s="5" t="str">
        <f>VLOOKUP(B1795,[1]물질정보!B:C,2,0)</f>
        <v>-</v>
      </c>
      <c r="D1795" t="str">
        <f>VLOOKUP(B1795,[1]물질정보!B:D,3,0)</f>
        <v xml:space="preserve">9-(9H-Carbazol-9-yl)-7H-benzo[c]carbazole </v>
      </c>
      <c r="E1795" t="str">
        <f>VLOOKUP(B1795,[1]물질정보!B:E,4,0)</f>
        <v>C28H18N2</v>
      </c>
      <c r="F1795" t="str">
        <f>VLOOKUP(B1795,[1]물질정보!B:F,5,0)</f>
        <v>382.5 g/mol</v>
      </c>
      <c r="G1795" s="5" t="str">
        <f>VLOOKUP(B1795,[1]물질정보!B:G,6,0)</f>
        <v>C1=CC=C2C(=C1)C=CC3=C2C4=C(N3)C=C(C=C4)N5C6=CC=CC=C6C7=CC=CC=C75</v>
      </c>
      <c r="H1795" t="s">
        <v>698</v>
      </c>
      <c r="I1795" t="s">
        <v>111</v>
      </c>
      <c r="J1795" t="s">
        <v>753</v>
      </c>
      <c r="K1795" t="s">
        <v>617</v>
      </c>
      <c r="L1795" t="s">
        <v>29</v>
      </c>
      <c r="M1795" t="s">
        <v>83</v>
      </c>
      <c r="N1795" t="s">
        <v>755</v>
      </c>
      <c r="O1795" t="s">
        <v>29</v>
      </c>
      <c r="P1795" t="s">
        <v>29</v>
      </c>
      <c r="Q1795" t="s">
        <v>29</v>
      </c>
      <c r="R1795" t="s">
        <v>411</v>
      </c>
      <c r="S1795" t="s">
        <v>219</v>
      </c>
      <c r="T1795" t="s">
        <v>737</v>
      </c>
      <c r="U1795" t="s">
        <v>756</v>
      </c>
      <c r="V1795" s="6" t="s">
        <v>694</v>
      </c>
      <c r="W1795" t="s">
        <v>112</v>
      </c>
      <c r="Y1795" t="s">
        <v>753</v>
      </c>
    </row>
    <row r="1796" spans="2:25" x14ac:dyDescent="0.3">
      <c r="B1796" s="5" t="s">
        <v>359</v>
      </c>
      <c r="C1796" s="5" t="str">
        <f>VLOOKUP(B1796,[1]물질정보!B:C,2,0)</f>
        <v>205-25-4</v>
      </c>
      <c r="D1796" t="str">
        <f>VLOOKUP(B1796,[1]물질정보!B:D,3,0)</f>
        <v xml:space="preserve">7H-Benzo[c]carbazole </v>
      </c>
      <c r="E1796" t="str">
        <f>VLOOKUP(B1796,[1]물질정보!B:E,4,0)</f>
        <v>C16H11N</v>
      </c>
      <c r="F1796" t="str">
        <f>VLOOKUP(B1796,[1]물질정보!B:F,5,0)</f>
        <v>217.26 g/mol</v>
      </c>
      <c r="G1796" s="5" t="str">
        <f>VLOOKUP(B1796,[1]물질정보!B:G,6,0)</f>
        <v>C1=CC=C2C(=C1)C=CC3=C2C4=CC=CC=C4N3</v>
      </c>
      <c r="H1796" t="s">
        <v>698</v>
      </c>
      <c r="I1796" t="s">
        <v>111</v>
      </c>
      <c r="J1796" t="s">
        <v>753</v>
      </c>
      <c r="K1796" t="s">
        <v>617</v>
      </c>
      <c r="L1796" t="s">
        <v>29</v>
      </c>
      <c r="M1796" t="s">
        <v>83</v>
      </c>
      <c r="N1796" t="s">
        <v>755</v>
      </c>
      <c r="O1796" t="s">
        <v>29</v>
      </c>
      <c r="P1796" t="s">
        <v>29</v>
      </c>
      <c r="Q1796" t="s">
        <v>29</v>
      </c>
      <c r="R1796" t="s">
        <v>411</v>
      </c>
      <c r="S1796" t="s">
        <v>219</v>
      </c>
      <c r="T1796" t="s">
        <v>737</v>
      </c>
      <c r="U1796" t="s">
        <v>756</v>
      </c>
      <c r="V1796" s="6" t="s">
        <v>694</v>
      </c>
      <c r="W1796" t="s">
        <v>112</v>
      </c>
      <c r="Y1796" t="s">
        <v>753</v>
      </c>
    </row>
    <row r="1797" spans="2:25" x14ac:dyDescent="0.3">
      <c r="B1797" s="5" t="s">
        <v>503</v>
      </c>
      <c r="C1797" s="5" t="str">
        <f>VLOOKUP(B1797,[1]물질정보!B:C,2,0)</f>
        <v>97-63-2</v>
      </c>
      <c r="D1797" t="str">
        <f>VLOOKUP(B1797,[1]물질정보!B:D,3,0)</f>
        <v>ethyl methacrylate</v>
      </c>
      <c r="E1797" t="str">
        <f>VLOOKUP(B1797,[1]물질정보!B:E,4,0)</f>
        <v>C6H10O2</v>
      </c>
      <c r="F1797" t="str">
        <f>VLOOKUP(B1797,[1]물질정보!B:F,5,0)</f>
        <v>114.14 g/mol</v>
      </c>
      <c r="G1797" s="5" t="str">
        <f>VLOOKUP(B1797,[1]물질정보!B:G,6,0)</f>
        <v>CCOC(=O)C(=C)C</v>
      </c>
      <c r="H1797" t="s">
        <v>698</v>
      </c>
      <c r="I1797" t="s">
        <v>111</v>
      </c>
      <c r="J1797" t="s">
        <v>753</v>
      </c>
      <c r="K1797" t="s">
        <v>617</v>
      </c>
      <c r="L1797" t="s">
        <v>29</v>
      </c>
      <c r="M1797" t="s">
        <v>83</v>
      </c>
      <c r="N1797" t="s">
        <v>755</v>
      </c>
      <c r="O1797" t="s">
        <v>29</v>
      </c>
      <c r="P1797" t="s">
        <v>29</v>
      </c>
      <c r="Q1797" t="s">
        <v>29</v>
      </c>
      <c r="R1797" t="s">
        <v>411</v>
      </c>
      <c r="S1797" t="s">
        <v>219</v>
      </c>
      <c r="T1797" t="s">
        <v>737</v>
      </c>
      <c r="U1797" t="s">
        <v>756</v>
      </c>
      <c r="V1797" s="6" t="s">
        <v>694</v>
      </c>
      <c r="W1797" t="s">
        <v>112</v>
      </c>
      <c r="Y1797" t="s">
        <v>753</v>
      </c>
    </row>
    <row r="1798" spans="2:25" x14ac:dyDescent="0.3">
      <c r="B1798" s="5" t="s">
        <v>69</v>
      </c>
      <c r="C1798" s="5" t="str">
        <f>VLOOKUP(B1798,[1]물질정보!B:C,2,0)</f>
        <v>868-77-9</v>
      </c>
      <c r="D1798" t="str">
        <f>VLOOKUP(B1798,[1]물질정보!B:D,3,0)</f>
        <v>2-hydroxyethyl methacrylate</v>
      </c>
      <c r="E1798" t="str">
        <f>VLOOKUP(B1798,[1]물질정보!B:E,4,0)</f>
        <v>C6H10O3</v>
      </c>
      <c r="F1798" t="str">
        <f>VLOOKUP(B1798,[1]물질정보!B:F,5,0)</f>
        <v>130.139 g/mol</v>
      </c>
      <c r="G1798" s="5" t="str">
        <f>VLOOKUP(B1798,[1]물질정보!B:G,6,0)</f>
        <v>CC(=C)C(=O)OCCO</v>
      </c>
      <c r="H1798" t="s">
        <v>698</v>
      </c>
      <c r="I1798" t="s">
        <v>111</v>
      </c>
      <c r="J1798" t="s">
        <v>753</v>
      </c>
      <c r="K1798" t="s">
        <v>99</v>
      </c>
      <c r="L1798" t="s">
        <v>29</v>
      </c>
      <c r="M1798" t="s">
        <v>83</v>
      </c>
      <c r="N1798" t="s">
        <v>755</v>
      </c>
      <c r="O1798" t="s">
        <v>29</v>
      </c>
      <c r="P1798" t="s">
        <v>29</v>
      </c>
      <c r="Q1798" t="s">
        <v>29</v>
      </c>
      <c r="R1798" t="s">
        <v>411</v>
      </c>
      <c r="S1798" t="s">
        <v>219</v>
      </c>
      <c r="T1798" t="s">
        <v>739</v>
      </c>
      <c r="U1798" t="s">
        <v>756</v>
      </c>
      <c r="V1798" s="6" t="s">
        <v>694</v>
      </c>
      <c r="W1798" t="s">
        <v>112</v>
      </c>
      <c r="Y1798" t="s">
        <v>753</v>
      </c>
    </row>
    <row r="1799" spans="2:25" x14ac:dyDescent="0.3">
      <c r="B1799" s="5" t="s">
        <v>25</v>
      </c>
      <c r="C1799" s="5" t="str">
        <f>VLOOKUP(B1799,[1]물질정보!B:C,2,0)</f>
        <v>97-88-1</v>
      </c>
      <c r="D1799" t="str">
        <f>VLOOKUP(B1799,[1]물질정보!B:D,3,0)</f>
        <v>butyl methacrylate</v>
      </c>
      <c r="E1799" t="str">
        <f>VLOOKUP(B1799,[1]물질정보!B:E,4,0)</f>
        <v>C8H14O2</v>
      </c>
      <c r="F1799" t="str">
        <f>VLOOKUP(B1799,[1]물질정보!B:F,5,0)</f>
        <v>142.2 g/mol</v>
      </c>
      <c r="G1799" s="5" t="str">
        <f>VLOOKUP(B1799,[1]물질정보!B:G,6,0)</f>
        <v>CCCCOC(=O)C(=C)C</v>
      </c>
      <c r="H1799" t="s">
        <v>698</v>
      </c>
      <c r="I1799" t="s">
        <v>111</v>
      </c>
      <c r="J1799" t="s">
        <v>753</v>
      </c>
      <c r="K1799" t="s">
        <v>90</v>
      </c>
      <c r="L1799" t="s">
        <v>29</v>
      </c>
      <c r="M1799" t="s">
        <v>83</v>
      </c>
      <c r="N1799" t="s">
        <v>755</v>
      </c>
      <c r="O1799" t="s">
        <v>29</v>
      </c>
      <c r="P1799" t="s">
        <v>29</v>
      </c>
      <c r="Q1799" t="s">
        <v>29</v>
      </c>
      <c r="R1799" t="s">
        <v>411</v>
      </c>
      <c r="S1799" t="s">
        <v>219</v>
      </c>
      <c r="T1799" t="s">
        <v>757</v>
      </c>
      <c r="U1799" t="s">
        <v>756</v>
      </c>
      <c r="V1799" s="6" t="s">
        <v>694</v>
      </c>
      <c r="W1799" t="s">
        <v>112</v>
      </c>
      <c r="Y1799" t="s">
        <v>753</v>
      </c>
    </row>
    <row r="1800" spans="2:25" x14ac:dyDescent="0.3">
      <c r="B1800" s="5" t="s">
        <v>68</v>
      </c>
      <c r="C1800" s="5" t="str">
        <f>VLOOKUP(B1800,[1]물질정보!B:C,2,0)</f>
        <v>997-46-6</v>
      </c>
      <c r="D1800" t="str">
        <f>VLOOKUP(B1800,[1]물질정보!B:D,3,0)</f>
        <v>4-hydroxybutyl methacrylate</v>
      </c>
      <c r="E1800" t="str">
        <f>VLOOKUP(B1800,[1]물질정보!B:E,4,0)</f>
        <v>C8H14O3</v>
      </c>
      <c r="F1800" t="str">
        <f>VLOOKUP(B1800,[1]물질정보!B:F,5,0)</f>
        <v>158.19 g/mol</v>
      </c>
      <c r="G1800" s="5" t="str">
        <f>VLOOKUP(B1800,[1]물질정보!B:G,6,0)</f>
        <v>CC(=C)C(=O)OCCCCO</v>
      </c>
      <c r="H1800" t="s">
        <v>698</v>
      </c>
      <c r="I1800" t="s">
        <v>111</v>
      </c>
      <c r="J1800" t="s">
        <v>753</v>
      </c>
      <c r="K1800" t="s">
        <v>90</v>
      </c>
      <c r="L1800" t="s">
        <v>29</v>
      </c>
      <c r="M1800" t="s">
        <v>83</v>
      </c>
      <c r="N1800" t="s">
        <v>755</v>
      </c>
      <c r="O1800" t="s">
        <v>29</v>
      </c>
      <c r="P1800" t="s">
        <v>29</v>
      </c>
      <c r="Q1800" t="s">
        <v>29</v>
      </c>
      <c r="R1800" t="s">
        <v>411</v>
      </c>
      <c r="S1800" t="s">
        <v>219</v>
      </c>
      <c r="T1800" t="s">
        <v>758</v>
      </c>
      <c r="U1800" t="s">
        <v>756</v>
      </c>
      <c r="V1800" s="6" t="s">
        <v>694</v>
      </c>
      <c r="W1800" t="s">
        <v>112</v>
      </c>
      <c r="Y1800" t="s">
        <v>753</v>
      </c>
    </row>
    <row r="1801" spans="2:25" x14ac:dyDescent="0.3">
      <c r="B1801" s="5" t="s">
        <v>77</v>
      </c>
      <c r="C1801" s="5" t="str">
        <f>VLOOKUP(B1801,[1]물질정보!B:C,2,0)</f>
        <v>140-88-5</v>
      </c>
      <c r="D1801" t="str">
        <f>VLOOKUP(B1801,[1]물질정보!B:D,3,0)</f>
        <v>ethyl acrylate</v>
      </c>
      <c r="E1801" t="str">
        <f>VLOOKUP(B1801,[1]물질정보!B:E,4,0)</f>
        <v>C5H8O2</v>
      </c>
      <c r="F1801" t="str">
        <f>VLOOKUP(B1801,[1]물질정보!B:F,5,0)</f>
        <v>100.12 g/mol</v>
      </c>
      <c r="G1801" s="5" t="str">
        <f>VLOOKUP(B1801,[1]물질정보!B:G,6,0)</f>
        <v>CCOC(=O)C=C</v>
      </c>
      <c r="H1801" t="s">
        <v>698</v>
      </c>
      <c r="I1801" t="s">
        <v>111</v>
      </c>
      <c r="J1801" t="s">
        <v>753</v>
      </c>
      <c r="K1801" t="s">
        <v>617</v>
      </c>
      <c r="L1801" t="s">
        <v>29</v>
      </c>
      <c r="M1801" t="s">
        <v>83</v>
      </c>
      <c r="N1801" t="s">
        <v>755</v>
      </c>
      <c r="O1801" t="s">
        <v>29</v>
      </c>
      <c r="P1801" t="s">
        <v>29</v>
      </c>
      <c r="Q1801" t="s">
        <v>29</v>
      </c>
      <c r="R1801" t="s">
        <v>411</v>
      </c>
      <c r="S1801" t="s">
        <v>219</v>
      </c>
      <c r="T1801" t="s">
        <v>737</v>
      </c>
      <c r="U1801" t="s">
        <v>756</v>
      </c>
      <c r="V1801" s="6" t="s">
        <v>694</v>
      </c>
      <c r="W1801" t="s">
        <v>112</v>
      </c>
      <c r="Y1801" t="s">
        <v>753</v>
      </c>
    </row>
    <row r="1802" spans="2:25" x14ac:dyDescent="0.3">
      <c r="B1802" s="5" t="s">
        <v>67</v>
      </c>
      <c r="C1802" s="5" t="str">
        <f>VLOOKUP(B1802,[1]물질정보!B:C,2,0)</f>
        <v>818-61-1</v>
      </c>
      <c r="D1802" t="str">
        <f>VLOOKUP(B1802,[1]물질정보!B:D,3,0)</f>
        <v>2-hydroxyethyl acrylate</v>
      </c>
      <c r="E1802" t="str">
        <f>VLOOKUP(B1802,[1]물질정보!B:E,4,0)</f>
        <v>C5H8O3</v>
      </c>
      <c r="F1802" t="str">
        <f>VLOOKUP(B1802,[1]물질정보!B:F,5,0)</f>
        <v>116.11 g/mol</v>
      </c>
      <c r="G1802" s="5" t="str">
        <f>VLOOKUP(B1802,[1]물질정보!B:G,6,0)</f>
        <v>C=CC(=O)OCCO</v>
      </c>
      <c r="H1802" t="s">
        <v>698</v>
      </c>
      <c r="I1802" t="s">
        <v>111</v>
      </c>
      <c r="J1802" t="s">
        <v>753</v>
      </c>
      <c r="K1802" t="s">
        <v>99</v>
      </c>
      <c r="L1802" t="s">
        <v>29</v>
      </c>
      <c r="M1802" t="s">
        <v>83</v>
      </c>
      <c r="N1802" t="s">
        <v>755</v>
      </c>
      <c r="O1802" t="s">
        <v>29</v>
      </c>
      <c r="P1802" t="s">
        <v>29</v>
      </c>
      <c r="Q1802" t="s">
        <v>29</v>
      </c>
      <c r="R1802" t="s">
        <v>411</v>
      </c>
      <c r="S1802" t="s">
        <v>219</v>
      </c>
      <c r="T1802" t="s">
        <v>759</v>
      </c>
      <c r="U1802" t="s">
        <v>756</v>
      </c>
      <c r="V1802" s="6" t="s">
        <v>694</v>
      </c>
      <c r="W1802" t="s">
        <v>112</v>
      </c>
      <c r="Y1802" t="s">
        <v>753</v>
      </c>
    </row>
    <row r="1803" spans="2:25" x14ac:dyDescent="0.3">
      <c r="B1803" s="5" t="s">
        <v>65</v>
      </c>
      <c r="C1803" s="5" t="str">
        <f>VLOOKUP(B1803,[1]물질정보!B:C,2,0)</f>
        <v>141-32-2</v>
      </c>
      <c r="D1803" t="str">
        <f>VLOOKUP(B1803,[1]물질정보!B:D,3,0)</f>
        <v>butyl acrylate</v>
      </c>
      <c r="E1803" t="str">
        <f>VLOOKUP(B1803,[1]물질정보!B:E,4,0)</f>
        <v>C7H12O2</v>
      </c>
      <c r="F1803" t="str">
        <f>VLOOKUP(B1803,[1]물질정보!B:F,5,0)</f>
        <v>128.169 g/mol</v>
      </c>
      <c r="G1803" s="5" t="str">
        <f>VLOOKUP(B1803,[1]물질정보!B:G,6,0)</f>
        <v>CCCCOC(=O)C=C</v>
      </c>
      <c r="H1803" t="s">
        <v>698</v>
      </c>
      <c r="I1803" t="s">
        <v>111</v>
      </c>
      <c r="J1803" t="s">
        <v>753</v>
      </c>
      <c r="K1803" t="s">
        <v>90</v>
      </c>
      <c r="L1803" t="s">
        <v>29</v>
      </c>
      <c r="M1803" t="s">
        <v>83</v>
      </c>
      <c r="N1803" t="s">
        <v>755</v>
      </c>
      <c r="O1803" t="s">
        <v>29</v>
      </c>
      <c r="P1803" t="s">
        <v>29</v>
      </c>
      <c r="Q1803" t="s">
        <v>29</v>
      </c>
      <c r="R1803" t="s">
        <v>411</v>
      </c>
      <c r="S1803" t="s">
        <v>219</v>
      </c>
      <c r="T1803" t="s">
        <v>760</v>
      </c>
      <c r="U1803" t="s">
        <v>756</v>
      </c>
      <c r="V1803" s="6" t="s">
        <v>694</v>
      </c>
      <c r="W1803" t="s">
        <v>112</v>
      </c>
      <c r="Y1803" t="s">
        <v>753</v>
      </c>
    </row>
    <row r="1804" spans="2:25" x14ac:dyDescent="0.3">
      <c r="B1804" s="5" t="s">
        <v>64</v>
      </c>
      <c r="C1804" s="5" t="str">
        <f>VLOOKUP(B1804,[1]물질정보!B:C,2,0)</f>
        <v>2478-10-6</v>
      </c>
      <c r="D1804" t="str">
        <f>VLOOKUP(B1804,[1]물질정보!B:D,3,0)</f>
        <v>4-hydroxybutyl acrylate</v>
      </c>
      <c r="E1804" t="str">
        <f>VLOOKUP(B1804,[1]물질정보!B:E,4,0)</f>
        <v>C7H12O3</v>
      </c>
      <c r="F1804" t="str">
        <f>VLOOKUP(B1804,[1]물질정보!B:F,5,0)</f>
        <v>144.17 g/mol</v>
      </c>
      <c r="G1804" s="5" t="str">
        <f>VLOOKUP(B1804,[1]물질정보!B:G,6,0)</f>
        <v>C=CC(=O)OCCCCO</v>
      </c>
      <c r="H1804" t="s">
        <v>698</v>
      </c>
      <c r="I1804" t="s">
        <v>111</v>
      </c>
      <c r="J1804" t="s">
        <v>753</v>
      </c>
      <c r="K1804" t="s">
        <v>99</v>
      </c>
      <c r="L1804" t="s">
        <v>29</v>
      </c>
      <c r="M1804" t="s">
        <v>83</v>
      </c>
      <c r="N1804" t="s">
        <v>755</v>
      </c>
      <c r="O1804" t="s">
        <v>29</v>
      </c>
      <c r="P1804" t="s">
        <v>29</v>
      </c>
      <c r="Q1804" t="s">
        <v>29</v>
      </c>
      <c r="R1804" t="s">
        <v>411</v>
      </c>
      <c r="S1804" t="s">
        <v>219</v>
      </c>
      <c r="T1804" t="s">
        <v>758</v>
      </c>
      <c r="U1804" t="s">
        <v>756</v>
      </c>
      <c r="V1804" s="6" t="s">
        <v>694</v>
      </c>
      <c r="W1804" t="s">
        <v>112</v>
      </c>
      <c r="Y1804" t="s">
        <v>753</v>
      </c>
    </row>
    <row r="1805" spans="2:25" x14ac:dyDescent="0.3">
      <c r="B1805" s="5" t="s">
        <v>59</v>
      </c>
      <c r="C1805" s="5" t="str">
        <f>VLOOKUP(B1805,[1]물질정보!B:C,2,0)</f>
        <v>2499-95-8</v>
      </c>
      <c r="D1805" t="str">
        <f>VLOOKUP(B1805,[1]물질정보!B:D,3,0)</f>
        <v>hexyl acrylate</v>
      </c>
      <c r="E1805" t="str">
        <f>VLOOKUP(B1805,[1]물질정보!B:E,4,0)</f>
        <v>C9H16O2</v>
      </c>
      <c r="F1805" t="str">
        <f>VLOOKUP(B1805,[1]물질정보!B:F,5,0)</f>
        <v>156.22 g/mol</v>
      </c>
      <c r="G1805" s="5" t="str">
        <f>VLOOKUP(B1805,[1]물질정보!B:G,6,0)</f>
        <v>CCCCCCOC(=O)C=C</v>
      </c>
      <c r="H1805" t="s">
        <v>698</v>
      </c>
      <c r="I1805" t="s">
        <v>111</v>
      </c>
      <c r="J1805" t="s">
        <v>753</v>
      </c>
      <c r="K1805" t="s">
        <v>90</v>
      </c>
      <c r="L1805" t="s">
        <v>29</v>
      </c>
      <c r="M1805" t="s">
        <v>83</v>
      </c>
      <c r="N1805" t="s">
        <v>755</v>
      </c>
      <c r="O1805" t="s">
        <v>29</v>
      </c>
      <c r="P1805" t="s">
        <v>29</v>
      </c>
      <c r="Q1805" t="s">
        <v>29</v>
      </c>
      <c r="R1805" t="s">
        <v>411</v>
      </c>
      <c r="S1805" t="s">
        <v>219</v>
      </c>
      <c r="T1805" t="s">
        <v>760</v>
      </c>
      <c r="U1805" t="s">
        <v>756</v>
      </c>
      <c r="V1805" s="6" t="s">
        <v>694</v>
      </c>
      <c r="W1805" t="s">
        <v>112</v>
      </c>
      <c r="Y1805" t="s">
        <v>753</v>
      </c>
    </row>
    <row r="1806" spans="2:25" x14ac:dyDescent="0.3">
      <c r="B1806" s="5" t="s">
        <v>70</v>
      </c>
      <c r="C1806" s="5" t="str">
        <f>VLOOKUP(B1806,[1]물질정보!B:C,2,0)</f>
        <v>10095-14-4</v>
      </c>
      <c r="D1806" t="str">
        <f>VLOOKUP(B1806,[1]물질정보!B:D,3,0)</f>
        <v>6-hydroxybutyl acrylate</v>
      </c>
      <c r="E1806" t="str">
        <f>VLOOKUP(B1806,[1]물질정보!B:E,4,0)</f>
        <v>C9H16O3</v>
      </c>
      <c r="F1806" t="str">
        <f>VLOOKUP(B1806,[1]물질정보!B:F,5,0)</f>
        <v>172.22 g/mol</v>
      </c>
      <c r="G1806" s="5" t="str">
        <f>VLOOKUP(B1806,[1]물질정보!B:G,6,0)</f>
        <v>C=CC(=O)OCCCCCCO</v>
      </c>
      <c r="H1806" t="s">
        <v>698</v>
      </c>
      <c r="I1806" t="s">
        <v>111</v>
      </c>
      <c r="J1806" t="s">
        <v>753</v>
      </c>
      <c r="K1806" t="s">
        <v>99</v>
      </c>
      <c r="L1806" t="s">
        <v>29</v>
      </c>
      <c r="M1806" t="s">
        <v>83</v>
      </c>
      <c r="N1806" t="s">
        <v>755</v>
      </c>
      <c r="O1806" t="s">
        <v>29</v>
      </c>
      <c r="P1806" t="s">
        <v>29</v>
      </c>
      <c r="Q1806" t="s">
        <v>29</v>
      </c>
      <c r="R1806" t="s">
        <v>411</v>
      </c>
      <c r="S1806" t="s">
        <v>219</v>
      </c>
      <c r="T1806" t="s">
        <v>758</v>
      </c>
      <c r="U1806" t="s">
        <v>756</v>
      </c>
      <c r="V1806" s="6" t="s">
        <v>694</v>
      </c>
      <c r="W1806" t="s">
        <v>112</v>
      </c>
      <c r="Y1806" t="s">
        <v>753</v>
      </c>
    </row>
    <row r="1807" spans="2:25" x14ac:dyDescent="0.3">
      <c r="B1807" s="5" t="s">
        <v>78</v>
      </c>
      <c r="C1807" s="5" t="str">
        <f>VLOOKUP(B1807,[1]물질정보!B:C,2,0)</f>
        <v>-</v>
      </c>
      <c r="D1807" t="str">
        <f>VLOOKUP(B1807,[1]물질정보!B:D,3,0)</f>
        <v xml:space="preserve">9-(9H-Carbazol-9-yl)-7H-benzo[c]carbazole </v>
      </c>
      <c r="E1807" t="str">
        <f>VLOOKUP(B1807,[1]물질정보!B:E,4,0)</f>
        <v>C28H18N2</v>
      </c>
      <c r="F1807" t="str">
        <f>VLOOKUP(B1807,[1]물질정보!B:F,5,0)</f>
        <v>382.5 g/mol</v>
      </c>
      <c r="G1807" s="5" t="str">
        <f>VLOOKUP(B1807,[1]물질정보!B:G,6,0)</f>
        <v>C1=CC=C2C(=C1)C=CC3=C2C4=C(N3)C=C(C=C4)N5C6=CC=CC=C6C7=CC=CC=C75</v>
      </c>
      <c r="H1807" t="s">
        <v>698</v>
      </c>
      <c r="I1807" t="s">
        <v>111</v>
      </c>
      <c r="J1807" t="s">
        <v>753</v>
      </c>
      <c r="K1807" t="s">
        <v>754</v>
      </c>
      <c r="L1807" t="s">
        <v>29</v>
      </c>
      <c r="M1807" t="s">
        <v>761</v>
      </c>
      <c r="N1807" t="s">
        <v>762</v>
      </c>
      <c r="O1807" t="s">
        <v>29</v>
      </c>
      <c r="P1807" t="s">
        <v>29</v>
      </c>
      <c r="Q1807" t="s">
        <v>29</v>
      </c>
      <c r="R1807" t="s">
        <v>695</v>
      </c>
      <c r="S1807" t="s">
        <v>763</v>
      </c>
      <c r="T1807" t="s">
        <v>29</v>
      </c>
      <c r="U1807" t="s">
        <v>748</v>
      </c>
      <c r="V1807" s="6" t="s">
        <v>694</v>
      </c>
      <c r="W1807" t="s">
        <v>761</v>
      </c>
      <c r="Y1807" t="s">
        <v>753</v>
      </c>
    </row>
    <row r="1808" spans="2:25" x14ac:dyDescent="0.3">
      <c r="B1808" s="5" t="s">
        <v>359</v>
      </c>
      <c r="C1808" s="5" t="str">
        <f>VLOOKUP(B1808,[1]물질정보!B:C,2,0)</f>
        <v>205-25-4</v>
      </c>
      <c r="D1808" t="str">
        <f>VLOOKUP(B1808,[1]물질정보!B:D,3,0)</f>
        <v xml:space="preserve">7H-Benzo[c]carbazole </v>
      </c>
      <c r="E1808" t="str">
        <f>VLOOKUP(B1808,[1]물질정보!B:E,4,0)</f>
        <v>C16H11N</v>
      </c>
      <c r="F1808" t="str">
        <f>VLOOKUP(B1808,[1]물질정보!B:F,5,0)</f>
        <v>217.26 g/mol</v>
      </c>
      <c r="G1808" s="5" t="str">
        <f>VLOOKUP(B1808,[1]물질정보!B:G,6,0)</f>
        <v>C1=CC=C2C(=C1)C=CC3=C2C4=CC=CC=C4N3</v>
      </c>
      <c r="H1808" t="s">
        <v>698</v>
      </c>
      <c r="I1808" t="s">
        <v>111</v>
      </c>
      <c r="J1808" t="s">
        <v>753</v>
      </c>
      <c r="K1808" t="s">
        <v>754</v>
      </c>
      <c r="L1808" t="s">
        <v>29</v>
      </c>
      <c r="M1808" t="s">
        <v>761</v>
      </c>
      <c r="N1808" t="s">
        <v>762</v>
      </c>
      <c r="O1808" t="s">
        <v>29</v>
      </c>
      <c r="P1808" t="s">
        <v>29</v>
      </c>
      <c r="Q1808" t="s">
        <v>29</v>
      </c>
      <c r="R1808" t="s">
        <v>695</v>
      </c>
      <c r="S1808" t="s">
        <v>763</v>
      </c>
      <c r="T1808" t="s">
        <v>29</v>
      </c>
      <c r="U1808" t="s">
        <v>748</v>
      </c>
      <c r="V1808" s="6" t="s">
        <v>694</v>
      </c>
      <c r="W1808" t="s">
        <v>761</v>
      </c>
      <c r="Y1808" t="s">
        <v>753</v>
      </c>
    </row>
    <row r="1809" spans="2:25" x14ac:dyDescent="0.3">
      <c r="B1809" s="5" t="s">
        <v>503</v>
      </c>
      <c r="C1809" s="5" t="str">
        <f>VLOOKUP(B1809,[1]물질정보!B:C,2,0)</f>
        <v>97-63-2</v>
      </c>
      <c r="D1809" t="str">
        <f>VLOOKUP(B1809,[1]물질정보!B:D,3,0)</f>
        <v>ethyl methacrylate</v>
      </c>
      <c r="E1809" t="str">
        <f>VLOOKUP(B1809,[1]물질정보!B:E,4,0)</f>
        <v>C6H10O2</v>
      </c>
      <c r="F1809" t="str">
        <f>VLOOKUP(B1809,[1]물질정보!B:F,5,0)</f>
        <v>114.14 g/mol</v>
      </c>
      <c r="G1809" s="5" t="str">
        <f>VLOOKUP(B1809,[1]물질정보!B:G,6,0)</f>
        <v>CCOC(=O)C(=C)C</v>
      </c>
      <c r="H1809" t="s">
        <v>698</v>
      </c>
      <c r="I1809" t="s">
        <v>111</v>
      </c>
      <c r="J1809" t="s">
        <v>753</v>
      </c>
      <c r="K1809" t="s">
        <v>90</v>
      </c>
      <c r="L1809" t="s">
        <v>29</v>
      </c>
      <c r="M1809" t="s">
        <v>761</v>
      </c>
      <c r="N1809" t="s">
        <v>762</v>
      </c>
      <c r="O1809" t="s">
        <v>29</v>
      </c>
      <c r="P1809" t="s">
        <v>29</v>
      </c>
      <c r="Q1809" t="s">
        <v>29</v>
      </c>
      <c r="R1809" t="s">
        <v>695</v>
      </c>
      <c r="S1809" t="s">
        <v>763</v>
      </c>
      <c r="T1809" t="s">
        <v>816</v>
      </c>
      <c r="U1809" t="s">
        <v>748</v>
      </c>
      <c r="V1809" s="6" t="s">
        <v>694</v>
      </c>
      <c r="W1809" t="s">
        <v>761</v>
      </c>
      <c r="Y1809" t="s">
        <v>753</v>
      </c>
    </row>
    <row r="1810" spans="2:25" x14ac:dyDescent="0.3">
      <c r="B1810" s="5" t="s">
        <v>69</v>
      </c>
      <c r="C1810" s="5" t="str">
        <f>VLOOKUP(B1810,[1]물질정보!B:C,2,0)</f>
        <v>868-77-9</v>
      </c>
      <c r="D1810" t="str">
        <f>VLOOKUP(B1810,[1]물질정보!B:D,3,0)</f>
        <v>2-hydroxyethyl methacrylate</v>
      </c>
      <c r="E1810" t="str">
        <f>VLOOKUP(B1810,[1]물질정보!B:E,4,0)</f>
        <v>C6H10O3</v>
      </c>
      <c r="F1810" t="str">
        <f>VLOOKUP(B1810,[1]물질정보!B:F,5,0)</f>
        <v>130.139 g/mol</v>
      </c>
      <c r="G1810" s="5" t="str">
        <f>VLOOKUP(B1810,[1]물질정보!B:G,6,0)</f>
        <v>CC(=C)C(=O)OCCO</v>
      </c>
      <c r="H1810" t="s">
        <v>698</v>
      </c>
      <c r="I1810" t="s">
        <v>111</v>
      </c>
      <c r="J1810" t="s">
        <v>753</v>
      </c>
      <c r="K1810" t="s">
        <v>90</v>
      </c>
      <c r="L1810" t="s">
        <v>29</v>
      </c>
      <c r="M1810" t="s">
        <v>761</v>
      </c>
      <c r="N1810" t="s">
        <v>762</v>
      </c>
      <c r="O1810" t="s">
        <v>29</v>
      </c>
      <c r="P1810" t="s">
        <v>29</v>
      </c>
      <c r="Q1810" t="s">
        <v>29</v>
      </c>
      <c r="R1810" t="s">
        <v>695</v>
      </c>
      <c r="S1810" t="s">
        <v>763</v>
      </c>
      <c r="T1810" t="s">
        <v>764</v>
      </c>
      <c r="U1810" t="s">
        <v>748</v>
      </c>
      <c r="V1810" s="6" t="s">
        <v>694</v>
      </c>
      <c r="W1810" t="s">
        <v>761</v>
      </c>
      <c r="Y1810" t="s">
        <v>753</v>
      </c>
    </row>
    <row r="1811" spans="2:25" x14ac:dyDescent="0.3">
      <c r="B1811" s="5" t="s">
        <v>25</v>
      </c>
      <c r="C1811" s="5" t="str">
        <f>VLOOKUP(B1811,[1]물질정보!B:C,2,0)</f>
        <v>97-88-1</v>
      </c>
      <c r="D1811" t="str">
        <f>VLOOKUP(B1811,[1]물질정보!B:D,3,0)</f>
        <v>butyl methacrylate</v>
      </c>
      <c r="E1811" t="str">
        <f>VLOOKUP(B1811,[1]물질정보!B:E,4,0)</f>
        <v>C8H14O2</v>
      </c>
      <c r="F1811" t="str">
        <f>VLOOKUP(B1811,[1]물질정보!B:F,5,0)</f>
        <v>142.2 g/mol</v>
      </c>
      <c r="G1811" s="5" t="str">
        <f>VLOOKUP(B1811,[1]물질정보!B:G,6,0)</f>
        <v>CCCCOC(=O)C(=C)C</v>
      </c>
      <c r="H1811" t="s">
        <v>698</v>
      </c>
      <c r="I1811" t="s">
        <v>111</v>
      </c>
      <c r="J1811" t="s">
        <v>753</v>
      </c>
      <c r="K1811" t="s">
        <v>90</v>
      </c>
      <c r="L1811" t="s">
        <v>29</v>
      </c>
      <c r="M1811" t="s">
        <v>761</v>
      </c>
      <c r="N1811" t="s">
        <v>762</v>
      </c>
      <c r="O1811" t="s">
        <v>29</v>
      </c>
      <c r="P1811" t="s">
        <v>29</v>
      </c>
      <c r="Q1811" t="s">
        <v>29</v>
      </c>
      <c r="R1811" t="s">
        <v>695</v>
      </c>
      <c r="S1811" t="s">
        <v>763</v>
      </c>
      <c r="T1811" t="s">
        <v>765</v>
      </c>
      <c r="U1811" t="s">
        <v>748</v>
      </c>
      <c r="V1811" s="6" t="s">
        <v>694</v>
      </c>
      <c r="W1811" t="s">
        <v>761</v>
      </c>
      <c r="Y1811" t="s">
        <v>753</v>
      </c>
    </row>
    <row r="1812" spans="2:25" x14ac:dyDescent="0.3">
      <c r="B1812" s="5" t="s">
        <v>68</v>
      </c>
      <c r="C1812" s="5" t="str">
        <f>VLOOKUP(B1812,[1]물질정보!B:C,2,0)</f>
        <v>997-46-6</v>
      </c>
      <c r="D1812" t="str">
        <f>VLOOKUP(B1812,[1]물질정보!B:D,3,0)</f>
        <v>4-hydroxybutyl methacrylate</v>
      </c>
      <c r="E1812" t="str">
        <f>VLOOKUP(B1812,[1]물질정보!B:E,4,0)</f>
        <v>C8H14O3</v>
      </c>
      <c r="F1812" t="str">
        <f>VLOOKUP(B1812,[1]물질정보!B:F,5,0)</f>
        <v>158.19 g/mol</v>
      </c>
      <c r="G1812" s="5" t="str">
        <f>VLOOKUP(B1812,[1]물질정보!B:G,6,0)</f>
        <v>CC(=C)C(=O)OCCCCO</v>
      </c>
      <c r="H1812" t="s">
        <v>698</v>
      </c>
      <c r="I1812" t="s">
        <v>111</v>
      </c>
      <c r="J1812" t="s">
        <v>753</v>
      </c>
      <c r="K1812" t="s">
        <v>90</v>
      </c>
      <c r="L1812" t="s">
        <v>29</v>
      </c>
      <c r="M1812" t="s">
        <v>761</v>
      </c>
      <c r="N1812" t="s">
        <v>762</v>
      </c>
      <c r="O1812" t="s">
        <v>29</v>
      </c>
      <c r="P1812" t="s">
        <v>29</v>
      </c>
      <c r="Q1812" t="s">
        <v>29</v>
      </c>
      <c r="R1812" t="s">
        <v>695</v>
      </c>
      <c r="S1812" t="s">
        <v>763</v>
      </c>
      <c r="T1812" t="s">
        <v>766</v>
      </c>
      <c r="U1812" t="s">
        <v>748</v>
      </c>
      <c r="V1812" s="6" t="s">
        <v>694</v>
      </c>
      <c r="W1812" t="s">
        <v>761</v>
      </c>
      <c r="Y1812" t="s">
        <v>753</v>
      </c>
    </row>
    <row r="1813" spans="2:25" x14ac:dyDescent="0.3">
      <c r="B1813" s="5" t="s">
        <v>77</v>
      </c>
      <c r="C1813" s="5" t="str">
        <f>VLOOKUP(B1813,[1]물질정보!B:C,2,0)</f>
        <v>140-88-5</v>
      </c>
      <c r="D1813" t="str">
        <f>VLOOKUP(B1813,[1]물질정보!B:D,3,0)</f>
        <v>ethyl acrylate</v>
      </c>
      <c r="E1813" t="str">
        <f>VLOOKUP(B1813,[1]물질정보!B:E,4,0)</f>
        <v>C5H8O2</v>
      </c>
      <c r="F1813" t="str">
        <f>VLOOKUP(B1813,[1]물질정보!B:F,5,0)</f>
        <v>100.12 g/mol</v>
      </c>
      <c r="G1813" s="5" t="str">
        <f>VLOOKUP(B1813,[1]물질정보!B:G,6,0)</f>
        <v>CCOC(=O)C=C</v>
      </c>
      <c r="H1813" t="s">
        <v>698</v>
      </c>
      <c r="I1813" t="s">
        <v>111</v>
      </c>
      <c r="J1813" t="s">
        <v>753</v>
      </c>
      <c r="K1813" t="s">
        <v>90</v>
      </c>
      <c r="L1813" t="s">
        <v>29</v>
      </c>
      <c r="M1813" t="s">
        <v>761</v>
      </c>
      <c r="N1813" t="s">
        <v>762</v>
      </c>
      <c r="O1813" t="s">
        <v>29</v>
      </c>
      <c r="P1813" t="s">
        <v>29</v>
      </c>
      <c r="Q1813" t="s">
        <v>29</v>
      </c>
      <c r="R1813" t="s">
        <v>695</v>
      </c>
      <c r="S1813" t="s">
        <v>763</v>
      </c>
      <c r="T1813" t="s">
        <v>739</v>
      </c>
      <c r="U1813" t="s">
        <v>748</v>
      </c>
      <c r="V1813" s="6" t="s">
        <v>694</v>
      </c>
      <c r="W1813" t="s">
        <v>761</v>
      </c>
      <c r="Y1813" t="s">
        <v>753</v>
      </c>
    </row>
    <row r="1814" spans="2:25" x14ac:dyDescent="0.3">
      <c r="B1814" s="5" t="s">
        <v>67</v>
      </c>
      <c r="C1814" s="5" t="str">
        <f>VLOOKUP(B1814,[1]물질정보!B:C,2,0)</f>
        <v>818-61-1</v>
      </c>
      <c r="D1814" t="str">
        <f>VLOOKUP(B1814,[1]물질정보!B:D,3,0)</f>
        <v>2-hydroxyethyl acrylate</v>
      </c>
      <c r="E1814" t="str">
        <f>VLOOKUP(B1814,[1]물질정보!B:E,4,0)</f>
        <v>C5H8O3</v>
      </c>
      <c r="F1814" t="str">
        <f>VLOOKUP(B1814,[1]물질정보!B:F,5,0)</f>
        <v>116.11 g/mol</v>
      </c>
      <c r="G1814" s="5" t="str">
        <f>VLOOKUP(B1814,[1]물질정보!B:G,6,0)</f>
        <v>C=CC(=O)OCCO</v>
      </c>
      <c r="H1814" t="s">
        <v>698</v>
      </c>
      <c r="I1814" t="s">
        <v>111</v>
      </c>
      <c r="J1814" t="s">
        <v>753</v>
      </c>
      <c r="K1814" t="s">
        <v>90</v>
      </c>
      <c r="L1814" t="s">
        <v>29</v>
      </c>
      <c r="M1814" t="s">
        <v>761</v>
      </c>
      <c r="N1814" t="s">
        <v>762</v>
      </c>
      <c r="O1814" t="s">
        <v>29</v>
      </c>
      <c r="P1814" t="s">
        <v>29</v>
      </c>
      <c r="Q1814" t="s">
        <v>29</v>
      </c>
      <c r="R1814" t="s">
        <v>695</v>
      </c>
      <c r="S1814" t="s">
        <v>763</v>
      </c>
      <c r="T1814" t="s">
        <v>739</v>
      </c>
      <c r="U1814" t="s">
        <v>748</v>
      </c>
      <c r="V1814" s="6" t="s">
        <v>694</v>
      </c>
      <c r="W1814" t="s">
        <v>761</v>
      </c>
      <c r="Y1814" t="s">
        <v>753</v>
      </c>
    </row>
    <row r="1815" spans="2:25" x14ac:dyDescent="0.3">
      <c r="B1815" s="5" t="s">
        <v>65</v>
      </c>
      <c r="C1815" s="5" t="str">
        <f>VLOOKUP(B1815,[1]물질정보!B:C,2,0)</f>
        <v>141-32-2</v>
      </c>
      <c r="D1815" t="str">
        <f>VLOOKUP(B1815,[1]물질정보!B:D,3,0)</f>
        <v>butyl acrylate</v>
      </c>
      <c r="E1815" t="str">
        <f>VLOOKUP(B1815,[1]물질정보!B:E,4,0)</f>
        <v>C7H12O2</v>
      </c>
      <c r="F1815" t="str">
        <f>VLOOKUP(B1815,[1]물질정보!B:F,5,0)</f>
        <v>128.169 g/mol</v>
      </c>
      <c r="G1815" s="5" t="str">
        <f>VLOOKUP(B1815,[1]물질정보!B:G,6,0)</f>
        <v>CCCCOC(=O)C=C</v>
      </c>
      <c r="H1815" t="s">
        <v>698</v>
      </c>
      <c r="I1815" t="s">
        <v>111</v>
      </c>
      <c r="J1815" t="s">
        <v>753</v>
      </c>
      <c r="K1815" t="s">
        <v>90</v>
      </c>
      <c r="L1815" t="s">
        <v>29</v>
      </c>
      <c r="M1815" t="s">
        <v>761</v>
      </c>
      <c r="N1815" t="s">
        <v>762</v>
      </c>
      <c r="O1815" t="s">
        <v>29</v>
      </c>
      <c r="P1815" t="s">
        <v>29</v>
      </c>
      <c r="Q1815" t="s">
        <v>29</v>
      </c>
      <c r="R1815" t="s">
        <v>695</v>
      </c>
      <c r="S1815" t="s">
        <v>763</v>
      </c>
      <c r="T1815" t="s">
        <v>767</v>
      </c>
      <c r="U1815" t="s">
        <v>748</v>
      </c>
      <c r="V1815" s="6" t="s">
        <v>694</v>
      </c>
      <c r="W1815" t="s">
        <v>761</v>
      </c>
      <c r="Y1815" t="s">
        <v>753</v>
      </c>
    </row>
    <row r="1816" spans="2:25" x14ac:dyDescent="0.3">
      <c r="B1816" s="5" t="s">
        <v>64</v>
      </c>
      <c r="C1816" s="5" t="str">
        <f>VLOOKUP(B1816,[1]물질정보!B:C,2,0)</f>
        <v>2478-10-6</v>
      </c>
      <c r="D1816" t="str">
        <f>VLOOKUP(B1816,[1]물질정보!B:D,3,0)</f>
        <v>4-hydroxybutyl acrylate</v>
      </c>
      <c r="E1816" t="str">
        <f>VLOOKUP(B1816,[1]물질정보!B:E,4,0)</f>
        <v>C7H12O3</v>
      </c>
      <c r="F1816" t="str">
        <f>VLOOKUP(B1816,[1]물질정보!B:F,5,0)</f>
        <v>144.17 g/mol</v>
      </c>
      <c r="G1816" s="5" t="str">
        <f>VLOOKUP(B1816,[1]물질정보!B:G,6,0)</f>
        <v>C=CC(=O)OCCCCO</v>
      </c>
      <c r="H1816" t="s">
        <v>698</v>
      </c>
      <c r="I1816" t="s">
        <v>111</v>
      </c>
      <c r="J1816" t="s">
        <v>753</v>
      </c>
      <c r="K1816" t="s">
        <v>90</v>
      </c>
      <c r="L1816" t="s">
        <v>29</v>
      </c>
      <c r="M1816" t="s">
        <v>761</v>
      </c>
      <c r="N1816" t="s">
        <v>762</v>
      </c>
      <c r="O1816" t="s">
        <v>29</v>
      </c>
      <c r="P1816" t="s">
        <v>29</v>
      </c>
      <c r="Q1816" t="s">
        <v>29</v>
      </c>
      <c r="R1816" t="s">
        <v>695</v>
      </c>
      <c r="S1816" t="s">
        <v>763</v>
      </c>
      <c r="T1816" t="s">
        <v>768</v>
      </c>
      <c r="U1816" t="s">
        <v>748</v>
      </c>
      <c r="V1816" s="6" t="s">
        <v>694</v>
      </c>
      <c r="W1816" t="s">
        <v>761</v>
      </c>
      <c r="Y1816" t="s">
        <v>753</v>
      </c>
    </row>
    <row r="1817" spans="2:25" x14ac:dyDescent="0.3">
      <c r="B1817" s="5" t="s">
        <v>59</v>
      </c>
      <c r="C1817" s="5" t="str">
        <f>VLOOKUP(B1817,[1]물질정보!B:C,2,0)</f>
        <v>2499-95-8</v>
      </c>
      <c r="D1817" t="str">
        <f>VLOOKUP(B1817,[1]물질정보!B:D,3,0)</f>
        <v>hexyl acrylate</v>
      </c>
      <c r="E1817" t="str">
        <f>VLOOKUP(B1817,[1]물질정보!B:E,4,0)</f>
        <v>C9H16O2</v>
      </c>
      <c r="F1817" t="str">
        <f>VLOOKUP(B1817,[1]물질정보!B:F,5,0)</f>
        <v>156.22 g/mol</v>
      </c>
      <c r="G1817" s="5" t="str">
        <f>VLOOKUP(B1817,[1]물질정보!B:G,6,0)</f>
        <v>CCCCCCOC(=O)C=C</v>
      </c>
      <c r="H1817" t="s">
        <v>698</v>
      </c>
      <c r="I1817" t="s">
        <v>111</v>
      </c>
      <c r="J1817" t="s">
        <v>753</v>
      </c>
      <c r="K1817" t="s">
        <v>90</v>
      </c>
      <c r="L1817" t="s">
        <v>29</v>
      </c>
      <c r="M1817" t="s">
        <v>761</v>
      </c>
      <c r="N1817" t="s">
        <v>762</v>
      </c>
      <c r="O1817" t="s">
        <v>29</v>
      </c>
      <c r="P1817" t="s">
        <v>29</v>
      </c>
      <c r="Q1817" t="s">
        <v>29</v>
      </c>
      <c r="R1817" t="s">
        <v>695</v>
      </c>
      <c r="S1817" t="s">
        <v>763</v>
      </c>
      <c r="T1817" t="s">
        <v>769</v>
      </c>
      <c r="U1817" t="s">
        <v>748</v>
      </c>
      <c r="V1817" s="6" t="s">
        <v>694</v>
      </c>
      <c r="W1817" t="s">
        <v>761</v>
      </c>
      <c r="Y1817" t="s">
        <v>753</v>
      </c>
    </row>
    <row r="1818" spans="2:25" x14ac:dyDescent="0.3">
      <c r="B1818" s="5" t="s">
        <v>70</v>
      </c>
      <c r="C1818" s="5" t="str">
        <f>VLOOKUP(B1818,[1]물질정보!B:C,2,0)</f>
        <v>10095-14-4</v>
      </c>
      <c r="D1818" t="str">
        <f>VLOOKUP(B1818,[1]물질정보!B:D,3,0)</f>
        <v>6-hydroxybutyl acrylate</v>
      </c>
      <c r="E1818" t="str">
        <f>VLOOKUP(B1818,[1]물질정보!B:E,4,0)</f>
        <v>C9H16O3</v>
      </c>
      <c r="F1818" t="str">
        <f>VLOOKUP(B1818,[1]물질정보!B:F,5,0)</f>
        <v>172.22 g/mol</v>
      </c>
      <c r="G1818" s="5" t="str">
        <f>VLOOKUP(B1818,[1]물질정보!B:G,6,0)</f>
        <v>C=CC(=O)OCCCCCCO</v>
      </c>
      <c r="H1818" t="s">
        <v>698</v>
      </c>
      <c r="I1818" t="s">
        <v>111</v>
      </c>
      <c r="J1818" t="s">
        <v>753</v>
      </c>
      <c r="K1818" t="s">
        <v>90</v>
      </c>
      <c r="L1818" t="s">
        <v>29</v>
      </c>
      <c r="M1818" t="s">
        <v>761</v>
      </c>
      <c r="N1818" t="s">
        <v>762</v>
      </c>
      <c r="O1818" t="s">
        <v>29</v>
      </c>
      <c r="P1818" t="s">
        <v>29</v>
      </c>
      <c r="Q1818" t="s">
        <v>29</v>
      </c>
      <c r="R1818" t="s">
        <v>695</v>
      </c>
      <c r="S1818" t="s">
        <v>763</v>
      </c>
      <c r="T1818" t="s">
        <v>770</v>
      </c>
      <c r="U1818" t="s">
        <v>748</v>
      </c>
      <c r="V1818" s="6" t="s">
        <v>694</v>
      </c>
      <c r="W1818" t="s">
        <v>761</v>
      </c>
      <c r="Y1818" t="s">
        <v>753</v>
      </c>
    </row>
    <row r="1819" spans="2:25" x14ac:dyDescent="0.3">
      <c r="B1819" s="5" t="s">
        <v>78</v>
      </c>
      <c r="C1819" s="5" t="str">
        <f>VLOOKUP(B1819,[1]물질정보!B:C,2,0)</f>
        <v>-</v>
      </c>
      <c r="D1819" t="str">
        <f>VLOOKUP(B1819,[1]물질정보!B:D,3,0)</f>
        <v xml:space="preserve">9-(9H-Carbazol-9-yl)-7H-benzo[c]carbazole </v>
      </c>
      <c r="E1819" t="str">
        <f>VLOOKUP(B1819,[1]물질정보!B:E,4,0)</f>
        <v>C28H18N2</v>
      </c>
      <c r="F1819" t="str">
        <f>VLOOKUP(B1819,[1]물질정보!B:F,5,0)</f>
        <v>382.5 g/mol</v>
      </c>
      <c r="G1819" s="5" t="str">
        <f>VLOOKUP(B1819,[1]물질정보!B:G,6,0)</f>
        <v>C1=CC=C2C(=C1)C=CC3=C2C4=C(N3)C=C(C=C4)N5C6=CC=CC=C6C7=CC=CC=C75</v>
      </c>
      <c r="H1819" t="s">
        <v>698</v>
      </c>
      <c r="I1819" t="s">
        <v>88</v>
      </c>
      <c r="J1819" t="s">
        <v>771</v>
      </c>
      <c r="K1819" t="s">
        <v>99</v>
      </c>
      <c r="L1819" t="s">
        <v>29</v>
      </c>
      <c r="M1819" t="s">
        <v>93</v>
      </c>
      <c r="N1819" t="s">
        <v>776</v>
      </c>
      <c r="O1819" t="s">
        <v>29</v>
      </c>
      <c r="P1819" t="s">
        <v>29</v>
      </c>
      <c r="Q1819" t="s">
        <v>29</v>
      </c>
      <c r="R1819" t="s">
        <v>695</v>
      </c>
      <c r="S1819" t="s">
        <v>204</v>
      </c>
      <c r="T1819" t="s">
        <v>772</v>
      </c>
      <c r="U1819" t="s">
        <v>773</v>
      </c>
      <c r="V1819" s="6" t="s">
        <v>694</v>
      </c>
      <c r="W1819" t="s">
        <v>93</v>
      </c>
      <c r="Y1819" t="s">
        <v>771</v>
      </c>
    </row>
    <row r="1820" spans="2:25" x14ac:dyDescent="0.3">
      <c r="B1820" s="5" t="s">
        <v>359</v>
      </c>
      <c r="C1820" s="5" t="str">
        <f>VLOOKUP(B1820,[1]물질정보!B:C,2,0)</f>
        <v>205-25-4</v>
      </c>
      <c r="D1820" t="str">
        <f>VLOOKUP(B1820,[1]물질정보!B:D,3,0)</f>
        <v xml:space="preserve">7H-Benzo[c]carbazole </v>
      </c>
      <c r="E1820" t="str">
        <f>VLOOKUP(B1820,[1]물질정보!B:E,4,0)</f>
        <v>C16H11N</v>
      </c>
      <c r="F1820" t="str">
        <f>VLOOKUP(B1820,[1]물질정보!B:F,5,0)</f>
        <v>217.26 g/mol</v>
      </c>
      <c r="G1820" s="5" t="str">
        <f>VLOOKUP(B1820,[1]물질정보!B:G,6,0)</f>
        <v>C1=CC=C2C(=C1)C=CC3=C2C4=CC=CC=C4N3</v>
      </c>
      <c r="H1820" t="s">
        <v>698</v>
      </c>
      <c r="I1820" t="s">
        <v>88</v>
      </c>
      <c r="J1820" t="s">
        <v>771</v>
      </c>
      <c r="K1820" t="s">
        <v>99</v>
      </c>
      <c r="L1820" t="s">
        <v>29</v>
      </c>
      <c r="M1820" t="s">
        <v>93</v>
      </c>
      <c r="N1820" t="s">
        <v>776</v>
      </c>
      <c r="O1820" t="s">
        <v>29</v>
      </c>
      <c r="P1820" t="s">
        <v>29</v>
      </c>
      <c r="Q1820" t="s">
        <v>29</v>
      </c>
      <c r="R1820" t="s">
        <v>695</v>
      </c>
      <c r="S1820" t="s">
        <v>204</v>
      </c>
      <c r="T1820" t="s">
        <v>774</v>
      </c>
      <c r="U1820" t="s">
        <v>773</v>
      </c>
      <c r="V1820" s="6" t="s">
        <v>694</v>
      </c>
      <c r="W1820" t="s">
        <v>93</v>
      </c>
      <c r="Y1820" t="s">
        <v>771</v>
      </c>
    </row>
    <row r="1821" spans="2:25" x14ac:dyDescent="0.3">
      <c r="B1821" s="5" t="s">
        <v>503</v>
      </c>
      <c r="C1821" s="5" t="str">
        <f>VLOOKUP(B1821,[1]물질정보!B:C,2,0)</f>
        <v>97-63-2</v>
      </c>
      <c r="D1821" t="str">
        <f>VLOOKUP(B1821,[1]물질정보!B:D,3,0)</f>
        <v>ethyl methacrylate</v>
      </c>
      <c r="E1821" t="str">
        <f>VLOOKUP(B1821,[1]물질정보!B:E,4,0)</f>
        <v>C6H10O2</v>
      </c>
      <c r="F1821" t="str">
        <f>VLOOKUP(B1821,[1]물질정보!B:F,5,0)</f>
        <v>114.14 g/mol</v>
      </c>
      <c r="G1821" s="5" t="str">
        <f>VLOOKUP(B1821,[1]물질정보!B:G,6,0)</f>
        <v>CCOC(=O)C(=C)C</v>
      </c>
      <c r="H1821" t="s">
        <v>698</v>
      </c>
      <c r="I1821" t="s">
        <v>88</v>
      </c>
      <c r="J1821" t="s">
        <v>771</v>
      </c>
      <c r="K1821" t="s">
        <v>90</v>
      </c>
      <c r="L1821" t="s">
        <v>29</v>
      </c>
      <c r="M1821" t="s">
        <v>93</v>
      </c>
      <c r="N1821" t="s">
        <v>776</v>
      </c>
      <c r="O1821" t="s">
        <v>29</v>
      </c>
      <c r="P1821" t="s">
        <v>29</v>
      </c>
      <c r="Q1821" t="s">
        <v>29</v>
      </c>
      <c r="R1821" t="s">
        <v>695</v>
      </c>
      <c r="S1821" t="s">
        <v>204</v>
      </c>
      <c r="T1821" t="s">
        <v>819</v>
      </c>
      <c r="U1821" t="s">
        <v>773</v>
      </c>
      <c r="V1821" s="6" t="s">
        <v>694</v>
      </c>
      <c r="W1821" t="s">
        <v>93</v>
      </c>
      <c r="Y1821" t="s">
        <v>771</v>
      </c>
    </row>
    <row r="1822" spans="2:25" x14ac:dyDescent="0.3">
      <c r="B1822" s="5" t="s">
        <v>69</v>
      </c>
      <c r="C1822" s="5" t="str">
        <f>VLOOKUP(B1822,[1]물질정보!B:C,2,0)</f>
        <v>868-77-9</v>
      </c>
      <c r="D1822" t="str">
        <f>VLOOKUP(B1822,[1]물질정보!B:D,3,0)</f>
        <v>2-hydroxyethyl methacrylate</v>
      </c>
      <c r="E1822" t="str">
        <f>VLOOKUP(B1822,[1]물질정보!B:E,4,0)</f>
        <v>C6H10O3</v>
      </c>
      <c r="F1822" t="str">
        <f>VLOOKUP(B1822,[1]물질정보!B:F,5,0)</f>
        <v>130.139 g/mol</v>
      </c>
      <c r="G1822" s="5" t="str">
        <f>VLOOKUP(B1822,[1]물질정보!B:G,6,0)</f>
        <v>CC(=C)C(=O)OCCO</v>
      </c>
      <c r="H1822" t="s">
        <v>698</v>
      </c>
      <c r="I1822" t="s">
        <v>88</v>
      </c>
      <c r="J1822" t="s">
        <v>771</v>
      </c>
      <c r="K1822" t="s">
        <v>90</v>
      </c>
      <c r="L1822" t="s">
        <v>29</v>
      </c>
      <c r="M1822" t="s">
        <v>93</v>
      </c>
      <c r="N1822" t="s">
        <v>776</v>
      </c>
      <c r="O1822" t="s">
        <v>29</v>
      </c>
      <c r="P1822" t="s">
        <v>29</v>
      </c>
      <c r="Q1822" t="s">
        <v>29</v>
      </c>
      <c r="R1822" t="s">
        <v>695</v>
      </c>
      <c r="S1822" t="s">
        <v>204</v>
      </c>
      <c r="T1822" t="s">
        <v>705</v>
      </c>
      <c r="U1822" t="s">
        <v>773</v>
      </c>
      <c r="V1822" s="6" t="s">
        <v>694</v>
      </c>
      <c r="W1822" t="s">
        <v>93</v>
      </c>
      <c r="Y1822" t="s">
        <v>771</v>
      </c>
    </row>
    <row r="1823" spans="2:25" x14ac:dyDescent="0.3">
      <c r="B1823" s="5" t="s">
        <v>25</v>
      </c>
      <c r="C1823" s="5" t="str">
        <f>VLOOKUP(B1823,[1]물질정보!B:C,2,0)</f>
        <v>97-88-1</v>
      </c>
      <c r="D1823" t="str">
        <f>VLOOKUP(B1823,[1]물질정보!B:D,3,0)</f>
        <v>butyl methacrylate</v>
      </c>
      <c r="E1823" t="str">
        <f>VLOOKUP(B1823,[1]물질정보!B:E,4,0)</f>
        <v>C8H14O2</v>
      </c>
      <c r="F1823" t="str">
        <f>VLOOKUP(B1823,[1]물질정보!B:F,5,0)</f>
        <v>142.2 g/mol</v>
      </c>
      <c r="G1823" s="5" t="str">
        <f>VLOOKUP(B1823,[1]물질정보!B:G,6,0)</f>
        <v>CCCCOC(=O)C(=C)C</v>
      </c>
      <c r="H1823" t="s">
        <v>698</v>
      </c>
      <c r="I1823" t="s">
        <v>88</v>
      </c>
      <c r="J1823" t="s">
        <v>771</v>
      </c>
      <c r="K1823" t="s">
        <v>90</v>
      </c>
      <c r="L1823" t="s">
        <v>29</v>
      </c>
      <c r="M1823" t="s">
        <v>93</v>
      </c>
      <c r="N1823" t="s">
        <v>776</v>
      </c>
      <c r="O1823" t="s">
        <v>29</v>
      </c>
      <c r="P1823" t="s">
        <v>29</v>
      </c>
      <c r="Q1823" t="s">
        <v>29</v>
      </c>
      <c r="R1823" t="s">
        <v>695</v>
      </c>
      <c r="S1823" t="s">
        <v>204</v>
      </c>
      <c r="T1823" t="s">
        <v>705</v>
      </c>
      <c r="U1823" t="s">
        <v>773</v>
      </c>
      <c r="V1823" s="6" t="s">
        <v>694</v>
      </c>
      <c r="W1823" t="s">
        <v>93</v>
      </c>
      <c r="Y1823" t="s">
        <v>771</v>
      </c>
    </row>
    <row r="1824" spans="2:25" x14ac:dyDescent="0.3">
      <c r="B1824" s="5" t="s">
        <v>68</v>
      </c>
      <c r="C1824" s="5" t="str">
        <f>VLOOKUP(B1824,[1]물질정보!B:C,2,0)</f>
        <v>997-46-6</v>
      </c>
      <c r="D1824" t="str">
        <f>VLOOKUP(B1824,[1]물질정보!B:D,3,0)</f>
        <v>4-hydroxybutyl methacrylate</v>
      </c>
      <c r="E1824" t="str">
        <f>VLOOKUP(B1824,[1]물질정보!B:E,4,0)</f>
        <v>C8H14O3</v>
      </c>
      <c r="F1824" t="str">
        <f>VLOOKUP(B1824,[1]물질정보!B:F,5,0)</f>
        <v>158.19 g/mol</v>
      </c>
      <c r="G1824" s="5" t="str">
        <f>VLOOKUP(B1824,[1]물질정보!B:G,6,0)</f>
        <v>CC(=C)C(=O)OCCCCO</v>
      </c>
      <c r="H1824" t="s">
        <v>698</v>
      </c>
      <c r="I1824" t="s">
        <v>88</v>
      </c>
      <c r="J1824" t="s">
        <v>771</v>
      </c>
      <c r="K1824" t="s">
        <v>90</v>
      </c>
      <c r="L1824" t="s">
        <v>29</v>
      </c>
      <c r="M1824" t="s">
        <v>93</v>
      </c>
      <c r="N1824" t="s">
        <v>776</v>
      </c>
      <c r="O1824" t="s">
        <v>29</v>
      </c>
      <c r="P1824" t="s">
        <v>29</v>
      </c>
      <c r="Q1824" t="s">
        <v>29</v>
      </c>
      <c r="R1824" t="s">
        <v>695</v>
      </c>
      <c r="S1824" t="s">
        <v>204</v>
      </c>
      <c r="T1824" t="s">
        <v>775</v>
      </c>
      <c r="U1824" t="s">
        <v>773</v>
      </c>
      <c r="V1824" s="6" t="s">
        <v>694</v>
      </c>
      <c r="W1824" t="s">
        <v>93</v>
      </c>
      <c r="Y1824" t="s">
        <v>771</v>
      </c>
    </row>
    <row r="1825" spans="2:25" x14ac:dyDescent="0.3">
      <c r="B1825" s="5" t="s">
        <v>77</v>
      </c>
      <c r="C1825" s="5" t="str">
        <f>VLOOKUP(B1825,[1]물질정보!B:C,2,0)</f>
        <v>140-88-5</v>
      </c>
      <c r="D1825" t="str">
        <f>VLOOKUP(B1825,[1]물질정보!B:D,3,0)</f>
        <v>ethyl acrylate</v>
      </c>
      <c r="E1825" t="str">
        <f>VLOOKUP(B1825,[1]물질정보!B:E,4,0)</f>
        <v>C5H8O2</v>
      </c>
      <c r="F1825" t="str">
        <f>VLOOKUP(B1825,[1]물질정보!B:F,5,0)</f>
        <v>100.12 g/mol</v>
      </c>
      <c r="G1825" s="5" t="str">
        <f>VLOOKUP(B1825,[1]물질정보!B:G,6,0)</f>
        <v>CCOC(=O)C=C</v>
      </c>
      <c r="H1825" t="s">
        <v>698</v>
      </c>
      <c r="I1825" t="s">
        <v>88</v>
      </c>
      <c r="J1825" t="s">
        <v>771</v>
      </c>
      <c r="K1825" t="s">
        <v>90</v>
      </c>
      <c r="L1825" t="s">
        <v>29</v>
      </c>
      <c r="M1825" t="s">
        <v>93</v>
      </c>
      <c r="N1825" t="s">
        <v>776</v>
      </c>
      <c r="O1825" t="s">
        <v>29</v>
      </c>
      <c r="P1825" t="s">
        <v>29</v>
      </c>
      <c r="Q1825" t="s">
        <v>29</v>
      </c>
      <c r="R1825" t="s">
        <v>695</v>
      </c>
      <c r="S1825" t="s">
        <v>204</v>
      </c>
      <c r="T1825" t="s">
        <v>705</v>
      </c>
      <c r="U1825" t="s">
        <v>773</v>
      </c>
      <c r="V1825" s="6" t="s">
        <v>694</v>
      </c>
      <c r="W1825" t="s">
        <v>93</v>
      </c>
      <c r="Y1825" t="s">
        <v>771</v>
      </c>
    </row>
    <row r="1826" spans="2:25" x14ac:dyDescent="0.3">
      <c r="B1826" s="5" t="s">
        <v>67</v>
      </c>
      <c r="C1826" s="5" t="str">
        <f>VLOOKUP(B1826,[1]물질정보!B:C,2,0)</f>
        <v>818-61-1</v>
      </c>
      <c r="D1826" t="str">
        <f>VLOOKUP(B1826,[1]물질정보!B:D,3,0)</f>
        <v>2-hydroxyethyl acrylate</v>
      </c>
      <c r="E1826" t="str">
        <f>VLOOKUP(B1826,[1]물질정보!B:E,4,0)</f>
        <v>C5H8O3</v>
      </c>
      <c r="F1826" t="str">
        <f>VLOOKUP(B1826,[1]물질정보!B:F,5,0)</f>
        <v>116.11 g/mol</v>
      </c>
      <c r="G1826" s="5" t="str">
        <f>VLOOKUP(B1826,[1]물질정보!B:G,6,0)</f>
        <v>C=CC(=O)OCCO</v>
      </c>
      <c r="H1826" t="s">
        <v>698</v>
      </c>
      <c r="I1826" t="s">
        <v>88</v>
      </c>
      <c r="J1826" t="s">
        <v>771</v>
      </c>
      <c r="K1826" t="s">
        <v>90</v>
      </c>
      <c r="L1826" t="s">
        <v>29</v>
      </c>
      <c r="M1826" t="s">
        <v>93</v>
      </c>
      <c r="N1826" t="s">
        <v>776</v>
      </c>
      <c r="O1826" t="s">
        <v>29</v>
      </c>
      <c r="P1826" t="s">
        <v>29</v>
      </c>
      <c r="Q1826" t="s">
        <v>29</v>
      </c>
      <c r="R1826" t="s">
        <v>695</v>
      </c>
      <c r="S1826" t="s">
        <v>204</v>
      </c>
      <c r="T1826" t="s">
        <v>705</v>
      </c>
      <c r="U1826" t="s">
        <v>773</v>
      </c>
      <c r="V1826" s="6" t="s">
        <v>694</v>
      </c>
      <c r="W1826" t="s">
        <v>93</v>
      </c>
      <c r="Y1826" t="s">
        <v>771</v>
      </c>
    </row>
    <row r="1827" spans="2:25" x14ac:dyDescent="0.3">
      <c r="B1827" s="5" t="s">
        <v>65</v>
      </c>
      <c r="C1827" s="5" t="str">
        <f>VLOOKUP(B1827,[1]물질정보!B:C,2,0)</f>
        <v>141-32-2</v>
      </c>
      <c r="D1827" t="str">
        <f>VLOOKUP(B1827,[1]물질정보!B:D,3,0)</f>
        <v>butyl acrylate</v>
      </c>
      <c r="E1827" t="str">
        <f>VLOOKUP(B1827,[1]물질정보!B:E,4,0)</f>
        <v>C7H12O2</v>
      </c>
      <c r="F1827" t="str">
        <f>VLOOKUP(B1827,[1]물질정보!B:F,5,0)</f>
        <v>128.169 g/mol</v>
      </c>
      <c r="G1827" s="5" t="str">
        <f>VLOOKUP(B1827,[1]물질정보!B:G,6,0)</f>
        <v>CCCCOC(=O)C=C</v>
      </c>
      <c r="H1827" t="s">
        <v>698</v>
      </c>
      <c r="I1827" t="s">
        <v>88</v>
      </c>
      <c r="J1827" t="s">
        <v>771</v>
      </c>
      <c r="K1827" t="s">
        <v>90</v>
      </c>
      <c r="L1827" t="s">
        <v>29</v>
      </c>
      <c r="M1827" t="s">
        <v>93</v>
      </c>
      <c r="N1827" t="s">
        <v>776</v>
      </c>
      <c r="O1827" t="s">
        <v>29</v>
      </c>
      <c r="P1827" t="s">
        <v>29</v>
      </c>
      <c r="Q1827" t="s">
        <v>29</v>
      </c>
      <c r="R1827" t="s">
        <v>695</v>
      </c>
      <c r="S1827" t="s">
        <v>204</v>
      </c>
      <c r="T1827" t="s">
        <v>705</v>
      </c>
      <c r="U1827" t="s">
        <v>773</v>
      </c>
      <c r="V1827" s="6" t="s">
        <v>694</v>
      </c>
      <c r="W1827" t="s">
        <v>93</v>
      </c>
      <c r="Y1827" t="s">
        <v>771</v>
      </c>
    </row>
    <row r="1828" spans="2:25" x14ac:dyDescent="0.3">
      <c r="B1828" s="5" t="s">
        <v>64</v>
      </c>
      <c r="C1828" s="5" t="str">
        <f>VLOOKUP(B1828,[1]물질정보!B:C,2,0)</f>
        <v>2478-10-6</v>
      </c>
      <c r="D1828" t="str">
        <f>VLOOKUP(B1828,[1]물질정보!B:D,3,0)</f>
        <v>4-hydroxybutyl acrylate</v>
      </c>
      <c r="E1828" t="str">
        <f>VLOOKUP(B1828,[1]물질정보!B:E,4,0)</f>
        <v>C7H12O3</v>
      </c>
      <c r="F1828" t="str">
        <f>VLOOKUP(B1828,[1]물질정보!B:F,5,0)</f>
        <v>144.17 g/mol</v>
      </c>
      <c r="G1828" s="5" t="str">
        <f>VLOOKUP(B1828,[1]물질정보!B:G,6,0)</f>
        <v>C=CC(=O)OCCCCO</v>
      </c>
      <c r="H1828" t="s">
        <v>698</v>
      </c>
      <c r="I1828" t="s">
        <v>88</v>
      </c>
      <c r="J1828" t="s">
        <v>771</v>
      </c>
      <c r="K1828" t="s">
        <v>90</v>
      </c>
      <c r="L1828" t="s">
        <v>29</v>
      </c>
      <c r="M1828" t="s">
        <v>93</v>
      </c>
      <c r="N1828" t="s">
        <v>776</v>
      </c>
      <c r="O1828" t="s">
        <v>29</v>
      </c>
      <c r="P1828" t="s">
        <v>29</v>
      </c>
      <c r="Q1828" t="s">
        <v>29</v>
      </c>
      <c r="R1828" t="s">
        <v>695</v>
      </c>
      <c r="S1828" t="s">
        <v>204</v>
      </c>
      <c r="T1828" t="s">
        <v>775</v>
      </c>
      <c r="U1828" t="s">
        <v>773</v>
      </c>
      <c r="V1828" s="6" t="s">
        <v>694</v>
      </c>
      <c r="W1828" t="s">
        <v>93</v>
      </c>
      <c r="Y1828" t="s">
        <v>771</v>
      </c>
    </row>
    <row r="1829" spans="2:25" x14ac:dyDescent="0.3">
      <c r="B1829" s="5" t="s">
        <v>59</v>
      </c>
      <c r="C1829" s="5" t="str">
        <f>VLOOKUP(B1829,[1]물질정보!B:C,2,0)</f>
        <v>2499-95-8</v>
      </c>
      <c r="D1829" t="str">
        <f>VLOOKUP(B1829,[1]물질정보!B:D,3,0)</f>
        <v>hexyl acrylate</v>
      </c>
      <c r="E1829" t="str">
        <f>VLOOKUP(B1829,[1]물질정보!B:E,4,0)</f>
        <v>C9H16O2</v>
      </c>
      <c r="F1829" t="str">
        <f>VLOOKUP(B1829,[1]물질정보!B:F,5,0)</f>
        <v>156.22 g/mol</v>
      </c>
      <c r="G1829" s="5" t="str">
        <f>VLOOKUP(B1829,[1]물질정보!B:G,6,0)</f>
        <v>CCCCCCOC(=O)C=C</v>
      </c>
      <c r="H1829" t="s">
        <v>698</v>
      </c>
      <c r="I1829" t="s">
        <v>88</v>
      </c>
      <c r="J1829" t="s">
        <v>771</v>
      </c>
      <c r="K1829" t="s">
        <v>90</v>
      </c>
      <c r="L1829" t="s">
        <v>29</v>
      </c>
      <c r="M1829" t="s">
        <v>93</v>
      </c>
      <c r="N1829" t="s">
        <v>776</v>
      </c>
      <c r="O1829" t="s">
        <v>29</v>
      </c>
      <c r="P1829" t="s">
        <v>29</v>
      </c>
      <c r="Q1829" t="s">
        <v>29</v>
      </c>
      <c r="R1829" t="s">
        <v>695</v>
      </c>
      <c r="S1829" t="s">
        <v>204</v>
      </c>
      <c r="T1829" t="s">
        <v>705</v>
      </c>
      <c r="U1829" t="s">
        <v>773</v>
      </c>
      <c r="V1829" s="6" t="s">
        <v>694</v>
      </c>
      <c r="W1829" t="s">
        <v>93</v>
      </c>
      <c r="Y1829" t="s">
        <v>771</v>
      </c>
    </row>
    <row r="1830" spans="2:25" x14ac:dyDescent="0.3">
      <c r="B1830" s="5" t="s">
        <v>70</v>
      </c>
      <c r="C1830" s="5" t="str">
        <f>VLOOKUP(B1830,[1]물질정보!B:C,2,0)</f>
        <v>10095-14-4</v>
      </c>
      <c r="D1830" t="str">
        <f>VLOOKUP(B1830,[1]물질정보!B:D,3,0)</f>
        <v>6-hydroxybutyl acrylate</v>
      </c>
      <c r="E1830" t="str">
        <f>VLOOKUP(B1830,[1]물질정보!B:E,4,0)</f>
        <v>C9H16O3</v>
      </c>
      <c r="F1830" t="str">
        <f>VLOOKUP(B1830,[1]물질정보!B:F,5,0)</f>
        <v>172.22 g/mol</v>
      </c>
      <c r="G1830" s="5" t="str">
        <f>VLOOKUP(B1830,[1]물질정보!B:G,6,0)</f>
        <v>C=CC(=O)OCCCCCCO</v>
      </c>
      <c r="H1830" t="s">
        <v>698</v>
      </c>
      <c r="I1830" t="s">
        <v>88</v>
      </c>
      <c r="J1830" t="s">
        <v>771</v>
      </c>
      <c r="K1830" t="s">
        <v>90</v>
      </c>
      <c r="L1830" t="s">
        <v>29</v>
      </c>
      <c r="M1830" t="s">
        <v>93</v>
      </c>
      <c r="N1830" t="s">
        <v>776</v>
      </c>
      <c r="O1830" t="s">
        <v>29</v>
      </c>
      <c r="P1830" t="s">
        <v>29</v>
      </c>
      <c r="Q1830" t="s">
        <v>29</v>
      </c>
      <c r="R1830" t="s">
        <v>695</v>
      </c>
      <c r="S1830" t="s">
        <v>204</v>
      </c>
      <c r="T1830" t="s">
        <v>775</v>
      </c>
      <c r="U1830" t="s">
        <v>773</v>
      </c>
      <c r="V1830" s="6" t="s">
        <v>694</v>
      </c>
      <c r="W1830" t="s">
        <v>93</v>
      </c>
      <c r="Y1830" t="s">
        <v>771</v>
      </c>
    </row>
    <row r="1831" spans="2:25" x14ac:dyDescent="0.3">
      <c r="B1831" s="5" t="s">
        <v>78</v>
      </c>
      <c r="C1831" s="5" t="str">
        <f>VLOOKUP(B1831,[1]물질정보!B:C,2,0)</f>
        <v>-</v>
      </c>
      <c r="D1831" t="str">
        <f>VLOOKUP(B1831,[1]물질정보!B:D,3,0)</f>
        <v xml:space="preserve">9-(9H-Carbazol-9-yl)-7H-benzo[c]carbazole </v>
      </c>
      <c r="E1831" t="str">
        <f>VLOOKUP(B1831,[1]물질정보!B:E,4,0)</f>
        <v>C28H18N2</v>
      </c>
      <c r="F1831" t="str">
        <f>VLOOKUP(B1831,[1]물질정보!B:F,5,0)</f>
        <v>382.5 g/mol</v>
      </c>
      <c r="G1831" s="5" t="str">
        <f>VLOOKUP(B1831,[1]물질정보!B:G,6,0)</f>
        <v>C1=CC=C2C(=C1)C=CC3=C2C4=C(N3)C=C(C=C4)N5C6=CC=CC=C6C7=CC=CC=C75</v>
      </c>
      <c r="H1831" t="s">
        <v>690</v>
      </c>
      <c r="I1831" t="s">
        <v>777</v>
      </c>
      <c r="J1831" t="s">
        <v>778</v>
      </c>
      <c r="K1831" t="s">
        <v>686</v>
      </c>
      <c r="L1831" t="s">
        <v>29</v>
      </c>
      <c r="M1831" t="s">
        <v>29</v>
      </c>
      <c r="N1831" t="s">
        <v>29</v>
      </c>
      <c r="O1831" t="s">
        <v>29</v>
      </c>
      <c r="P1831" t="s">
        <v>29</v>
      </c>
      <c r="Q1831" t="s">
        <v>29</v>
      </c>
      <c r="R1831" t="s">
        <v>411</v>
      </c>
      <c r="S1831" t="s">
        <v>779</v>
      </c>
      <c r="T1831" t="s">
        <v>780</v>
      </c>
      <c r="U1831" t="s">
        <v>781</v>
      </c>
      <c r="V1831" s="6" t="s">
        <v>694</v>
      </c>
      <c r="W1831" t="s">
        <v>29</v>
      </c>
      <c r="Y1831" t="s">
        <v>778</v>
      </c>
    </row>
    <row r="1832" spans="2:25" x14ac:dyDescent="0.3">
      <c r="B1832" s="5" t="s">
        <v>359</v>
      </c>
      <c r="C1832" s="5" t="str">
        <f>VLOOKUP(B1832,[1]물질정보!B:C,2,0)</f>
        <v>205-25-4</v>
      </c>
      <c r="D1832" t="str">
        <f>VLOOKUP(B1832,[1]물질정보!B:D,3,0)</f>
        <v xml:space="preserve">7H-Benzo[c]carbazole </v>
      </c>
      <c r="E1832" t="str">
        <f>VLOOKUP(B1832,[1]물질정보!B:E,4,0)</f>
        <v>C16H11N</v>
      </c>
      <c r="F1832" t="str">
        <f>VLOOKUP(B1832,[1]물질정보!B:F,5,0)</f>
        <v>217.26 g/mol</v>
      </c>
      <c r="G1832" s="5" t="str">
        <f>VLOOKUP(B1832,[1]물질정보!B:G,6,0)</f>
        <v>C1=CC=C2C(=C1)C=CC3=C2C4=CC=CC=C4N3</v>
      </c>
      <c r="H1832" t="s">
        <v>690</v>
      </c>
      <c r="I1832" t="s">
        <v>777</v>
      </c>
      <c r="J1832" t="s">
        <v>778</v>
      </c>
      <c r="K1832" t="s">
        <v>686</v>
      </c>
      <c r="L1832" t="s">
        <v>29</v>
      </c>
      <c r="M1832" t="s">
        <v>29</v>
      </c>
      <c r="N1832" t="s">
        <v>29</v>
      </c>
      <c r="O1832" t="s">
        <v>29</v>
      </c>
      <c r="P1832" t="s">
        <v>29</v>
      </c>
      <c r="Q1832" t="s">
        <v>29</v>
      </c>
      <c r="R1832" t="s">
        <v>411</v>
      </c>
      <c r="S1832" t="s">
        <v>779</v>
      </c>
      <c r="T1832" t="s">
        <v>782</v>
      </c>
      <c r="U1832" t="s">
        <v>781</v>
      </c>
      <c r="V1832" s="6" t="s">
        <v>694</v>
      </c>
      <c r="W1832" t="s">
        <v>29</v>
      </c>
      <c r="Y1832" t="s">
        <v>778</v>
      </c>
    </row>
    <row r="1833" spans="2:25" x14ac:dyDescent="0.3">
      <c r="B1833" s="5" t="s">
        <v>503</v>
      </c>
      <c r="C1833" s="5" t="str">
        <f>VLOOKUP(B1833,[1]물질정보!B:C,2,0)</f>
        <v>97-63-2</v>
      </c>
      <c r="D1833" t="str">
        <f>VLOOKUP(B1833,[1]물질정보!B:D,3,0)</f>
        <v>ethyl methacrylate</v>
      </c>
      <c r="E1833" t="str">
        <f>VLOOKUP(B1833,[1]물질정보!B:E,4,0)</f>
        <v>C6H10O2</v>
      </c>
      <c r="F1833" t="str">
        <f>VLOOKUP(B1833,[1]물질정보!B:F,5,0)</f>
        <v>114.14 g/mol</v>
      </c>
      <c r="G1833" s="5" t="str">
        <f>VLOOKUP(B1833,[1]물질정보!B:G,6,0)</f>
        <v>CCOC(=O)C(=C)C</v>
      </c>
      <c r="H1833" t="s">
        <v>690</v>
      </c>
      <c r="I1833" t="s">
        <v>777</v>
      </c>
      <c r="J1833" t="s">
        <v>778</v>
      </c>
      <c r="K1833" t="s">
        <v>687</v>
      </c>
      <c r="L1833" t="s">
        <v>29</v>
      </c>
      <c r="M1833" t="s">
        <v>29</v>
      </c>
      <c r="N1833" t="s">
        <v>29</v>
      </c>
      <c r="O1833" t="s">
        <v>29</v>
      </c>
      <c r="P1833" t="s">
        <v>29</v>
      </c>
      <c r="Q1833" t="s">
        <v>29</v>
      </c>
      <c r="R1833" t="s">
        <v>411</v>
      </c>
      <c r="S1833" t="s">
        <v>779</v>
      </c>
      <c r="T1833" t="s">
        <v>783</v>
      </c>
      <c r="U1833" t="s">
        <v>781</v>
      </c>
      <c r="V1833" s="6" t="s">
        <v>694</v>
      </c>
      <c r="W1833" t="s">
        <v>29</v>
      </c>
      <c r="Y1833" t="s">
        <v>778</v>
      </c>
    </row>
    <row r="1834" spans="2:25" x14ac:dyDescent="0.3">
      <c r="B1834" s="5" t="s">
        <v>69</v>
      </c>
      <c r="C1834" s="5" t="str">
        <f>VLOOKUP(B1834,[1]물질정보!B:C,2,0)</f>
        <v>868-77-9</v>
      </c>
      <c r="D1834" t="str">
        <f>VLOOKUP(B1834,[1]물질정보!B:D,3,0)</f>
        <v>2-hydroxyethyl methacrylate</v>
      </c>
      <c r="E1834" t="str">
        <f>VLOOKUP(B1834,[1]물질정보!B:E,4,0)</f>
        <v>C6H10O3</v>
      </c>
      <c r="F1834" t="str">
        <f>VLOOKUP(B1834,[1]물질정보!B:F,5,0)</f>
        <v>130.139 g/mol</v>
      </c>
      <c r="G1834" s="5" t="str">
        <f>VLOOKUP(B1834,[1]물질정보!B:G,6,0)</f>
        <v>CC(=C)C(=O)OCCO</v>
      </c>
      <c r="H1834" t="s">
        <v>690</v>
      </c>
      <c r="I1834" t="s">
        <v>777</v>
      </c>
      <c r="J1834" t="s">
        <v>778</v>
      </c>
      <c r="K1834" t="s">
        <v>687</v>
      </c>
      <c r="L1834" t="s">
        <v>29</v>
      </c>
      <c r="M1834" t="s">
        <v>29</v>
      </c>
      <c r="N1834" t="s">
        <v>29</v>
      </c>
      <c r="O1834" t="s">
        <v>29</v>
      </c>
      <c r="P1834" t="s">
        <v>29</v>
      </c>
      <c r="Q1834" t="s">
        <v>29</v>
      </c>
      <c r="R1834" t="s">
        <v>411</v>
      </c>
      <c r="S1834" t="s">
        <v>779</v>
      </c>
      <c r="T1834" t="s">
        <v>739</v>
      </c>
      <c r="U1834" t="s">
        <v>781</v>
      </c>
      <c r="V1834" s="6" t="s">
        <v>694</v>
      </c>
      <c r="W1834" t="s">
        <v>29</v>
      </c>
      <c r="Y1834" t="s">
        <v>778</v>
      </c>
    </row>
    <row r="1835" spans="2:25" x14ac:dyDescent="0.3">
      <c r="B1835" s="5" t="s">
        <v>25</v>
      </c>
      <c r="C1835" s="5" t="str">
        <f>VLOOKUP(B1835,[1]물질정보!B:C,2,0)</f>
        <v>97-88-1</v>
      </c>
      <c r="D1835" t="str">
        <f>VLOOKUP(B1835,[1]물질정보!B:D,3,0)</f>
        <v>butyl methacrylate</v>
      </c>
      <c r="E1835" t="str">
        <f>VLOOKUP(B1835,[1]물질정보!B:E,4,0)</f>
        <v>C8H14O2</v>
      </c>
      <c r="F1835" t="str">
        <f>VLOOKUP(B1835,[1]물질정보!B:F,5,0)</f>
        <v>142.2 g/mol</v>
      </c>
      <c r="G1835" s="5" t="str">
        <f>VLOOKUP(B1835,[1]물질정보!B:G,6,0)</f>
        <v>CCCCOC(=O)C(=C)C</v>
      </c>
      <c r="H1835" t="s">
        <v>690</v>
      </c>
      <c r="I1835" t="s">
        <v>777</v>
      </c>
      <c r="J1835" t="s">
        <v>778</v>
      </c>
      <c r="K1835" t="s">
        <v>687</v>
      </c>
      <c r="L1835" t="s">
        <v>29</v>
      </c>
      <c r="M1835" t="s">
        <v>29</v>
      </c>
      <c r="N1835" t="s">
        <v>29</v>
      </c>
      <c r="O1835" t="s">
        <v>29</v>
      </c>
      <c r="P1835" t="s">
        <v>29</v>
      </c>
      <c r="Q1835" t="s">
        <v>29</v>
      </c>
      <c r="R1835" t="s">
        <v>411</v>
      </c>
      <c r="S1835" t="s">
        <v>779</v>
      </c>
      <c r="T1835" t="s">
        <v>739</v>
      </c>
      <c r="U1835" t="s">
        <v>781</v>
      </c>
      <c r="V1835" s="6" t="s">
        <v>694</v>
      </c>
      <c r="W1835" t="s">
        <v>29</v>
      </c>
      <c r="Y1835" t="s">
        <v>778</v>
      </c>
    </row>
    <row r="1836" spans="2:25" x14ac:dyDescent="0.3">
      <c r="B1836" s="5" t="s">
        <v>68</v>
      </c>
      <c r="C1836" s="5" t="str">
        <f>VLOOKUP(B1836,[1]물질정보!B:C,2,0)</f>
        <v>997-46-6</v>
      </c>
      <c r="D1836" t="str">
        <f>VLOOKUP(B1836,[1]물질정보!B:D,3,0)</f>
        <v>4-hydroxybutyl methacrylate</v>
      </c>
      <c r="E1836" t="str">
        <f>VLOOKUP(B1836,[1]물질정보!B:E,4,0)</f>
        <v>C8H14O3</v>
      </c>
      <c r="F1836" t="str">
        <f>VLOOKUP(B1836,[1]물질정보!B:F,5,0)</f>
        <v>158.19 g/mol</v>
      </c>
      <c r="G1836" s="5" t="str">
        <f>VLOOKUP(B1836,[1]물질정보!B:G,6,0)</f>
        <v>CC(=C)C(=O)OCCCCO</v>
      </c>
      <c r="H1836" t="s">
        <v>690</v>
      </c>
      <c r="I1836" t="s">
        <v>777</v>
      </c>
      <c r="J1836" t="s">
        <v>778</v>
      </c>
      <c r="K1836" t="s">
        <v>687</v>
      </c>
      <c r="L1836" t="s">
        <v>29</v>
      </c>
      <c r="M1836" t="s">
        <v>29</v>
      </c>
      <c r="N1836" t="s">
        <v>29</v>
      </c>
      <c r="O1836" t="s">
        <v>29</v>
      </c>
      <c r="P1836" t="s">
        <v>29</v>
      </c>
      <c r="Q1836" t="s">
        <v>29</v>
      </c>
      <c r="R1836" t="s">
        <v>411</v>
      </c>
      <c r="S1836" t="s">
        <v>779</v>
      </c>
      <c r="T1836" t="s">
        <v>784</v>
      </c>
      <c r="U1836" t="s">
        <v>781</v>
      </c>
      <c r="V1836" s="6" t="s">
        <v>694</v>
      </c>
      <c r="W1836" t="s">
        <v>29</v>
      </c>
      <c r="Y1836" t="s">
        <v>778</v>
      </c>
    </row>
    <row r="1837" spans="2:25" x14ac:dyDescent="0.3">
      <c r="B1837" s="5" t="s">
        <v>77</v>
      </c>
      <c r="C1837" s="5" t="str">
        <f>VLOOKUP(B1837,[1]물질정보!B:C,2,0)</f>
        <v>140-88-5</v>
      </c>
      <c r="D1837" t="str">
        <f>VLOOKUP(B1837,[1]물질정보!B:D,3,0)</f>
        <v>ethyl acrylate</v>
      </c>
      <c r="E1837" t="str">
        <f>VLOOKUP(B1837,[1]물질정보!B:E,4,0)</f>
        <v>C5H8O2</v>
      </c>
      <c r="F1837" t="str">
        <f>VLOOKUP(B1837,[1]물질정보!B:F,5,0)</f>
        <v>100.12 g/mol</v>
      </c>
      <c r="G1837" s="5" t="str">
        <f>VLOOKUP(B1837,[1]물질정보!B:G,6,0)</f>
        <v>CCOC(=O)C=C</v>
      </c>
      <c r="H1837" t="s">
        <v>690</v>
      </c>
      <c r="I1837" t="s">
        <v>777</v>
      </c>
      <c r="J1837" t="s">
        <v>778</v>
      </c>
      <c r="K1837" t="s">
        <v>687</v>
      </c>
      <c r="L1837" t="s">
        <v>29</v>
      </c>
      <c r="M1837" t="s">
        <v>29</v>
      </c>
      <c r="N1837" t="s">
        <v>29</v>
      </c>
      <c r="O1837" t="s">
        <v>29</v>
      </c>
      <c r="P1837" t="s">
        <v>29</v>
      </c>
      <c r="Q1837" t="s">
        <v>29</v>
      </c>
      <c r="R1837" t="s">
        <v>411</v>
      </c>
      <c r="S1837" t="s">
        <v>779</v>
      </c>
      <c r="T1837" t="s">
        <v>739</v>
      </c>
      <c r="U1837" t="s">
        <v>781</v>
      </c>
      <c r="V1837" s="6" t="s">
        <v>694</v>
      </c>
      <c r="W1837" t="s">
        <v>29</v>
      </c>
      <c r="Y1837" t="s">
        <v>778</v>
      </c>
    </row>
    <row r="1838" spans="2:25" x14ac:dyDescent="0.3">
      <c r="B1838" s="5" t="s">
        <v>67</v>
      </c>
      <c r="C1838" s="5" t="str">
        <f>VLOOKUP(B1838,[1]물질정보!B:C,2,0)</f>
        <v>818-61-1</v>
      </c>
      <c r="D1838" t="str">
        <f>VLOOKUP(B1838,[1]물질정보!B:D,3,0)</f>
        <v>2-hydroxyethyl acrylate</v>
      </c>
      <c r="E1838" t="str">
        <f>VLOOKUP(B1838,[1]물질정보!B:E,4,0)</f>
        <v>C5H8O3</v>
      </c>
      <c r="F1838" t="str">
        <f>VLOOKUP(B1838,[1]물질정보!B:F,5,0)</f>
        <v>116.11 g/mol</v>
      </c>
      <c r="G1838" s="5" t="str">
        <f>VLOOKUP(B1838,[1]물질정보!B:G,6,0)</f>
        <v>C=CC(=O)OCCO</v>
      </c>
      <c r="H1838" t="s">
        <v>690</v>
      </c>
      <c r="I1838" t="s">
        <v>777</v>
      </c>
      <c r="J1838" t="s">
        <v>778</v>
      </c>
      <c r="K1838" t="s">
        <v>687</v>
      </c>
      <c r="L1838" t="s">
        <v>29</v>
      </c>
      <c r="M1838" t="s">
        <v>29</v>
      </c>
      <c r="N1838" t="s">
        <v>29</v>
      </c>
      <c r="O1838" t="s">
        <v>29</v>
      </c>
      <c r="P1838" t="s">
        <v>29</v>
      </c>
      <c r="Q1838" t="s">
        <v>29</v>
      </c>
      <c r="R1838" t="s">
        <v>411</v>
      </c>
      <c r="S1838" t="s">
        <v>779</v>
      </c>
      <c r="T1838" t="s">
        <v>739</v>
      </c>
      <c r="U1838" t="s">
        <v>781</v>
      </c>
      <c r="V1838" s="6" t="s">
        <v>694</v>
      </c>
      <c r="W1838" t="s">
        <v>29</v>
      </c>
      <c r="Y1838" t="s">
        <v>778</v>
      </c>
    </row>
    <row r="1839" spans="2:25" x14ac:dyDescent="0.3">
      <c r="B1839" s="5" t="s">
        <v>65</v>
      </c>
      <c r="C1839" s="5" t="str">
        <f>VLOOKUP(B1839,[1]물질정보!B:C,2,0)</f>
        <v>141-32-2</v>
      </c>
      <c r="D1839" t="str">
        <f>VLOOKUP(B1839,[1]물질정보!B:D,3,0)</f>
        <v>butyl acrylate</v>
      </c>
      <c r="E1839" t="str">
        <f>VLOOKUP(B1839,[1]물질정보!B:E,4,0)</f>
        <v>C7H12O2</v>
      </c>
      <c r="F1839" t="str">
        <f>VLOOKUP(B1839,[1]물질정보!B:F,5,0)</f>
        <v>128.169 g/mol</v>
      </c>
      <c r="G1839" s="5" t="str">
        <f>VLOOKUP(B1839,[1]물질정보!B:G,6,0)</f>
        <v>CCCCOC(=O)C=C</v>
      </c>
      <c r="H1839" t="s">
        <v>690</v>
      </c>
      <c r="I1839" t="s">
        <v>777</v>
      </c>
      <c r="J1839" t="s">
        <v>778</v>
      </c>
      <c r="K1839" t="s">
        <v>687</v>
      </c>
      <c r="L1839" t="s">
        <v>29</v>
      </c>
      <c r="M1839" t="s">
        <v>29</v>
      </c>
      <c r="N1839" t="s">
        <v>29</v>
      </c>
      <c r="O1839" t="s">
        <v>29</v>
      </c>
      <c r="P1839" t="s">
        <v>29</v>
      </c>
      <c r="Q1839" t="s">
        <v>29</v>
      </c>
      <c r="R1839" t="s">
        <v>411</v>
      </c>
      <c r="S1839" t="s">
        <v>779</v>
      </c>
      <c r="T1839" t="s">
        <v>739</v>
      </c>
      <c r="U1839" t="s">
        <v>781</v>
      </c>
      <c r="V1839" s="6" t="s">
        <v>694</v>
      </c>
      <c r="W1839" t="s">
        <v>29</v>
      </c>
      <c r="Y1839" t="s">
        <v>778</v>
      </c>
    </row>
    <row r="1840" spans="2:25" x14ac:dyDescent="0.3">
      <c r="B1840" s="5" t="s">
        <v>64</v>
      </c>
      <c r="C1840" s="5" t="str">
        <f>VLOOKUP(B1840,[1]물질정보!B:C,2,0)</f>
        <v>2478-10-6</v>
      </c>
      <c r="D1840" t="str">
        <f>VLOOKUP(B1840,[1]물질정보!B:D,3,0)</f>
        <v>4-hydroxybutyl acrylate</v>
      </c>
      <c r="E1840" t="str">
        <f>VLOOKUP(B1840,[1]물질정보!B:E,4,0)</f>
        <v>C7H12O3</v>
      </c>
      <c r="F1840" t="str">
        <f>VLOOKUP(B1840,[1]물질정보!B:F,5,0)</f>
        <v>144.17 g/mol</v>
      </c>
      <c r="G1840" s="5" t="str">
        <f>VLOOKUP(B1840,[1]물질정보!B:G,6,0)</f>
        <v>C=CC(=O)OCCCCO</v>
      </c>
      <c r="H1840" t="s">
        <v>690</v>
      </c>
      <c r="I1840" t="s">
        <v>777</v>
      </c>
      <c r="J1840" t="s">
        <v>778</v>
      </c>
      <c r="K1840" t="s">
        <v>687</v>
      </c>
      <c r="L1840" t="s">
        <v>29</v>
      </c>
      <c r="M1840" t="s">
        <v>29</v>
      </c>
      <c r="N1840" t="s">
        <v>29</v>
      </c>
      <c r="O1840" t="s">
        <v>29</v>
      </c>
      <c r="P1840" t="s">
        <v>29</v>
      </c>
      <c r="Q1840" t="s">
        <v>29</v>
      </c>
      <c r="R1840" t="s">
        <v>411</v>
      </c>
      <c r="S1840" t="s">
        <v>779</v>
      </c>
      <c r="T1840" t="s">
        <v>784</v>
      </c>
      <c r="U1840" t="s">
        <v>781</v>
      </c>
      <c r="V1840" s="6" t="s">
        <v>694</v>
      </c>
      <c r="W1840" t="s">
        <v>29</v>
      </c>
      <c r="Y1840" t="s">
        <v>778</v>
      </c>
    </row>
    <row r="1841" spans="2:25" x14ac:dyDescent="0.3">
      <c r="B1841" s="5" t="s">
        <v>59</v>
      </c>
      <c r="C1841" s="5" t="str">
        <f>VLOOKUP(B1841,[1]물질정보!B:C,2,0)</f>
        <v>2499-95-8</v>
      </c>
      <c r="D1841" t="str">
        <f>VLOOKUP(B1841,[1]물질정보!B:D,3,0)</f>
        <v>hexyl acrylate</v>
      </c>
      <c r="E1841" t="str">
        <f>VLOOKUP(B1841,[1]물질정보!B:E,4,0)</f>
        <v>C9H16O2</v>
      </c>
      <c r="F1841" t="str">
        <f>VLOOKUP(B1841,[1]물질정보!B:F,5,0)</f>
        <v>156.22 g/mol</v>
      </c>
      <c r="G1841" s="5" t="str">
        <f>VLOOKUP(B1841,[1]물질정보!B:G,6,0)</f>
        <v>CCCCCCOC(=O)C=C</v>
      </c>
      <c r="H1841" t="s">
        <v>690</v>
      </c>
      <c r="I1841" t="s">
        <v>777</v>
      </c>
      <c r="J1841" t="s">
        <v>778</v>
      </c>
      <c r="K1841" t="s">
        <v>687</v>
      </c>
      <c r="L1841" t="s">
        <v>29</v>
      </c>
      <c r="M1841" t="s">
        <v>29</v>
      </c>
      <c r="N1841" t="s">
        <v>29</v>
      </c>
      <c r="O1841" t="s">
        <v>29</v>
      </c>
      <c r="P1841" t="s">
        <v>29</v>
      </c>
      <c r="Q1841" t="s">
        <v>29</v>
      </c>
      <c r="R1841" t="s">
        <v>411</v>
      </c>
      <c r="S1841" t="s">
        <v>779</v>
      </c>
      <c r="T1841" t="s">
        <v>739</v>
      </c>
      <c r="U1841" t="s">
        <v>781</v>
      </c>
      <c r="V1841" s="6" t="s">
        <v>694</v>
      </c>
      <c r="W1841" t="s">
        <v>29</v>
      </c>
      <c r="Y1841" t="s">
        <v>778</v>
      </c>
    </row>
    <row r="1842" spans="2:25" x14ac:dyDescent="0.3">
      <c r="B1842" s="5" t="s">
        <v>70</v>
      </c>
      <c r="C1842" s="5" t="str">
        <f>VLOOKUP(B1842,[1]물질정보!B:C,2,0)</f>
        <v>10095-14-4</v>
      </c>
      <c r="D1842" t="str">
        <f>VLOOKUP(B1842,[1]물질정보!B:D,3,0)</f>
        <v>6-hydroxybutyl acrylate</v>
      </c>
      <c r="E1842" t="str">
        <f>VLOOKUP(B1842,[1]물질정보!B:E,4,0)</f>
        <v>C9H16O3</v>
      </c>
      <c r="F1842" t="str">
        <f>VLOOKUP(B1842,[1]물질정보!B:F,5,0)</f>
        <v>172.22 g/mol</v>
      </c>
      <c r="G1842" s="5" t="str">
        <f>VLOOKUP(B1842,[1]물질정보!B:G,6,0)</f>
        <v>C=CC(=O)OCCCCCCO</v>
      </c>
      <c r="H1842" t="s">
        <v>690</v>
      </c>
      <c r="I1842" t="s">
        <v>777</v>
      </c>
      <c r="J1842" t="s">
        <v>778</v>
      </c>
      <c r="K1842" t="s">
        <v>687</v>
      </c>
      <c r="L1842" t="s">
        <v>29</v>
      </c>
      <c r="M1842" t="s">
        <v>29</v>
      </c>
      <c r="N1842" t="s">
        <v>29</v>
      </c>
      <c r="O1842" t="s">
        <v>29</v>
      </c>
      <c r="P1842" t="s">
        <v>29</v>
      </c>
      <c r="Q1842" t="s">
        <v>29</v>
      </c>
      <c r="R1842" t="s">
        <v>411</v>
      </c>
      <c r="S1842" t="s">
        <v>779</v>
      </c>
      <c r="T1842" t="s">
        <v>784</v>
      </c>
      <c r="U1842" t="s">
        <v>781</v>
      </c>
      <c r="V1842" s="6" t="s">
        <v>694</v>
      </c>
      <c r="W1842" t="s">
        <v>29</v>
      </c>
      <c r="Y1842" t="s">
        <v>778</v>
      </c>
    </row>
    <row r="1843" spans="2:25" x14ac:dyDescent="0.3">
      <c r="B1843" s="5" t="s">
        <v>78</v>
      </c>
      <c r="C1843" s="5" t="str">
        <f>VLOOKUP(B1843,[1]물질정보!B:C,2,0)</f>
        <v>-</v>
      </c>
      <c r="D1843" t="str">
        <f>VLOOKUP(B1843,[1]물질정보!B:D,3,0)</f>
        <v xml:space="preserve">9-(9H-Carbazol-9-yl)-7H-benzo[c]carbazole </v>
      </c>
      <c r="E1843" t="str">
        <f>VLOOKUP(B1843,[1]물질정보!B:E,4,0)</f>
        <v>C28H18N2</v>
      </c>
      <c r="F1843" t="str">
        <f>VLOOKUP(B1843,[1]물질정보!B:F,5,0)</f>
        <v>382.5 g/mol</v>
      </c>
      <c r="G1843" s="5" t="str">
        <f>VLOOKUP(B1843,[1]물질정보!B:G,6,0)</f>
        <v>C1=CC=C2C(=C1)C=CC3=C2C4=C(N3)C=C(C=C4)N5C6=CC=CC=C6C7=CC=CC=C75</v>
      </c>
      <c r="H1843" t="s">
        <v>785</v>
      </c>
      <c r="I1843" t="s">
        <v>385</v>
      </c>
      <c r="J1843" t="s">
        <v>117</v>
      </c>
      <c r="K1843" t="s">
        <v>90</v>
      </c>
      <c r="L1843" t="s">
        <v>29</v>
      </c>
      <c r="M1843" t="s">
        <v>29</v>
      </c>
      <c r="N1843" t="s">
        <v>29</v>
      </c>
      <c r="O1843" t="s">
        <v>29</v>
      </c>
      <c r="P1843" t="s">
        <v>29</v>
      </c>
      <c r="Q1843" t="s">
        <v>29</v>
      </c>
      <c r="R1843" t="s">
        <v>411</v>
      </c>
      <c r="S1843" t="s">
        <v>29</v>
      </c>
      <c r="T1843" t="s">
        <v>786</v>
      </c>
      <c r="U1843" t="s">
        <v>813</v>
      </c>
      <c r="V1843" s="6" t="s">
        <v>694</v>
      </c>
      <c r="W1843" t="s">
        <v>29</v>
      </c>
      <c r="Y1843" t="s">
        <v>117</v>
      </c>
    </row>
    <row r="1844" spans="2:25" x14ac:dyDescent="0.3">
      <c r="B1844" s="5" t="s">
        <v>359</v>
      </c>
      <c r="C1844" s="5" t="str">
        <f>VLOOKUP(B1844,[1]물질정보!B:C,2,0)</f>
        <v>205-25-4</v>
      </c>
      <c r="D1844" t="str">
        <f>VLOOKUP(B1844,[1]물질정보!B:D,3,0)</f>
        <v xml:space="preserve">7H-Benzo[c]carbazole </v>
      </c>
      <c r="E1844" t="str">
        <f>VLOOKUP(B1844,[1]물질정보!B:E,4,0)</f>
        <v>C16H11N</v>
      </c>
      <c r="F1844" t="str">
        <f>VLOOKUP(B1844,[1]물질정보!B:F,5,0)</f>
        <v>217.26 g/mol</v>
      </c>
      <c r="G1844" s="5" t="str">
        <f>VLOOKUP(B1844,[1]물질정보!B:G,6,0)</f>
        <v>C1=CC=C2C(=C1)C=CC3=C2C4=CC=CC=C4N3</v>
      </c>
      <c r="H1844" t="s">
        <v>787</v>
      </c>
      <c r="I1844" t="s">
        <v>385</v>
      </c>
      <c r="J1844" t="s">
        <v>117</v>
      </c>
      <c r="K1844" t="s">
        <v>90</v>
      </c>
      <c r="L1844" t="s">
        <v>29</v>
      </c>
      <c r="M1844" t="s">
        <v>29</v>
      </c>
      <c r="N1844" t="s">
        <v>29</v>
      </c>
      <c r="O1844" t="s">
        <v>29</v>
      </c>
      <c r="P1844" t="s">
        <v>29</v>
      </c>
      <c r="Q1844" t="s">
        <v>29</v>
      </c>
      <c r="R1844" t="s">
        <v>411</v>
      </c>
      <c r="S1844" t="s">
        <v>29</v>
      </c>
      <c r="T1844" t="s">
        <v>788</v>
      </c>
      <c r="U1844" t="s">
        <v>813</v>
      </c>
      <c r="V1844" s="6" t="s">
        <v>694</v>
      </c>
      <c r="W1844" t="s">
        <v>29</v>
      </c>
      <c r="Y1844" t="s">
        <v>117</v>
      </c>
    </row>
    <row r="1845" spans="2:25" x14ac:dyDescent="0.3">
      <c r="B1845" s="5" t="s">
        <v>503</v>
      </c>
      <c r="C1845" s="5" t="str">
        <f>VLOOKUP(B1845,[1]물질정보!B:C,2,0)</f>
        <v>97-63-2</v>
      </c>
      <c r="D1845" t="str">
        <f>VLOOKUP(B1845,[1]물질정보!B:D,3,0)</f>
        <v>ethyl methacrylate</v>
      </c>
      <c r="E1845" t="str">
        <f>VLOOKUP(B1845,[1]물질정보!B:E,4,0)</f>
        <v>C6H10O2</v>
      </c>
      <c r="F1845" t="str">
        <f>VLOOKUP(B1845,[1]물질정보!B:F,5,0)</f>
        <v>114.14 g/mol</v>
      </c>
      <c r="G1845" s="5" t="str">
        <f>VLOOKUP(B1845,[1]물질정보!B:G,6,0)</f>
        <v>CCOC(=O)C(=C)C</v>
      </c>
      <c r="H1845" t="s">
        <v>789</v>
      </c>
      <c r="I1845" t="s">
        <v>385</v>
      </c>
      <c r="J1845" t="s">
        <v>117</v>
      </c>
      <c r="K1845" t="s">
        <v>90</v>
      </c>
      <c r="L1845" t="s">
        <v>29</v>
      </c>
      <c r="M1845" t="s">
        <v>29</v>
      </c>
      <c r="N1845" t="s">
        <v>29</v>
      </c>
      <c r="O1845" t="s">
        <v>29</v>
      </c>
      <c r="P1845" t="s">
        <v>29</v>
      </c>
      <c r="Q1845" t="s">
        <v>29</v>
      </c>
      <c r="R1845" t="s">
        <v>411</v>
      </c>
      <c r="S1845" t="s">
        <v>29</v>
      </c>
      <c r="T1845" t="s">
        <v>790</v>
      </c>
      <c r="U1845" t="s">
        <v>813</v>
      </c>
      <c r="V1845" s="6" t="s">
        <v>694</v>
      </c>
      <c r="W1845" t="s">
        <v>29</v>
      </c>
      <c r="Y1845" t="s">
        <v>117</v>
      </c>
    </row>
    <row r="1846" spans="2:25" x14ac:dyDescent="0.3">
      <c r="B1846" s="5" t="s">
        <v>69</v>
      </c>
      <c r="C1846" s="5" t="str">
        <f>VLOOKUP(B1846,[1]물질정보!B:C,2,0)</f>
        <v>868-77-9</v>
      </c>
      <c r="D1846" t="str">
        <f>VLOOKUP(B1846,[1]물질정보!B:D,3,0)</f>
        <v>2-hydroxyethyl methacrylate</v>
      </c>
      <c r="E1846" t="str">
        <f>VLOOKUP(B1846,[1]물질정보!B:E,4,0)</f>
        <v>C6H10O3</v>
      </c>
      <c r="F1846" t="str">
        <f>VLOOKUP(B1846,[1]물질정보!B:F,5,0)</f>
        <v>130.139 g/mol</v>
      </c>
      <c r="G1846" s="5" t="str">
        <f>VLOOKUP(B1846,[1]물질정보!B:G,6,0)</f>
        <v>CC(=C)C(=O)OCCO</v>
      </c>
      <c r="H1846" t="s">
        <v>791</v>
      </c>
      <c r="I1846" t="s">
        <v>385</v>
      </c>
      <c r="J1846" t="s">
        <v>117</v>
      </c>
      <c r="K1846" t="s">
        <v>90</v>
      </c>
      <c r="L1846" t="s">
        <v>29</v>
      </c>
      <c r="M1846" t="s">
        <v>29</v>
      </c>
      <c r="N1846" t="s">
        <v>29</v>
      </c>
      <c r="O1846" t="s">
        <v>29</v>
      </c>
      <c r="P1846" t="s">
        <v>29</v>
      </c>
      <c r="Q1846" t="s">
        <v>29</v>
      </c>
      <c r="R1846" t="s">
        <v>411</v>
      </c>
      <c r="S1846" t="s">
        <v>29</v>
      </c>
      <c r="T1846" t="s">
        <v>739</v>
      </c>
      <c r="U1846" t="s">
        <v>813</v>
      </c>
      <c r="V1846" s="6" t="s">
        <v>694</v>
      </c>
      <c r="W1846" t="s">
        <v>29</v>
      </c>
      <c r="Y1846" t="s">
        <v>117</v>
      </c>
    </row>
    <row r="1847" spans="2:25" x14ac:dyDescent="0.3">
      <c r="B1847" s="5" t="s">
        <v>25</v>
      </c>
      <c r="C1847" s="5" t="str">
        <f>VLOOKUP(B1847,[1]물질정보!B:C,2,0)</f>
        <v>97-88-1</v>
      </c>
      <c r="D1847" t="str">
        <f>VLOOKUP(B1847,[1]물질정보!B:D,3,0)</f>
        <v>butyl methacrylate</v>
      </c>
      <c r="E1847" t="str">
        <f>VLOOKUP(B1847,[1]물질정보!B:E,4,0)</f>
        <v>C8H14O2</v>
      </c>
      <c r="F1847" t="str">
        <f>VLOOKUP(B1847,[1]물질정보!B:F,5,0)</f>
        <v>142.2 g/mol</v>
      </c>
      <c r="G1847" s="5" t="str">
        <f>VLOOKUP(B1847,[1]물질정보!B:G,6,0)</f>
        <v>CCCCOC(=O)C(=C)C</v>
      </c>
      <c r="H1847" t="s">
        <v>792</v>
      </c>
      <c r="I1847" t="s">
        <v>385</v>
      </c>
      <c r="J1847" t="s">
        <v>117</v>
      </c>
      <c r="K1847" t="s">
        <v>90</v>
      </c>
      <c r="L1847" t="s">
        <v>29</v>
      </c>
      <c r="M1847" t="s">
        <v>29</v>
      </c>
      <c r="N1847" t="s">
        <v>29</v>
      </c>
      <c r="O1847" t="s">
        <v>29</v>
      </c>
      <c r="P1847" t="s">
        <v>29</v>
      </c>
      <c r="Q1847" t="s">
        <v>29</v>
      </c>
      <c r="R1847" t="s">
        <v>411</v>
      </c>
      <c r="S1847" t="s">
        <v>29</v>
      </c>
      <c r="T1847" t="s">
        <v>793</v>
      </c>
      <c r="U1847" t="s">
        <v>813</v>
      </c>
      <c r="V1847" s="6" t="s">
        <v>694</v>
      </c>
      <c r="W1847" t="s">
        <v>29</v>
      </c>
      <c r="Y1847" t="s">
        <v>117</v>
      </c>
    </row>
    <row r="1848" spans="2:25" x14ac:dyDescent="0.3">
      <c r="B1848" s="5" t="s">
        <v>68</v>
      </c>
      <c r="C1848" s="5" t="str">
        <f>VLOOKUP(B1848,[1]물질정보!B:C,2,0)</f>
        <v>997-46-6</v>
      </c>
      <c r="D1848" t="str">
        <f>VLOOKUP(B1848,[1]물질정보!B:D,3,0)</f>
        <v>4-hydroxybutyl methacrylate</v>
      </c>
      <c r="E1848" t="str">
        <f>VLOOKUP(B1848,[1]물질정보!B:E,4,0)</f>
        <v>C8H14O3</v>
      </c>
      <c r="F1848" t="str">
        <f>VLOOKUP(B1848,[1]물질정보!B:F,5,0)</f>
        <v>158.19 g/mol</v>
      </c>
      <c r="G1848" s="5" t="str">
        <f>VLOOKUP(B1848,[1]물질정보!B:G,6,0)</f>
        <v>CC(=C)C(=O)OCCCCO</v>
      </c>
      <c r="H1848" t="s">
        <v>794</v>
      </c>
      <c r="I1848" t="s">
        <v>385</v>
      </c>
      <c r="J1848" t="s">
        <v>117</v>
      </c>
      <c r="K1848" t="s">
        <v>90</v>
      </c>
      <c r="L1848" t="s">
        <v>29</v>
      </c>
      <c r="M1848" t="s">
        <v>29</v>
      </c>
      <c r="N1848" t="s">
        <v>29</v>
      </c>
      <c r="O1848" t="s">
        <v>29</v>
      </c>
      <c r="P1848" t="s">
        <v>29</v>
      </c>
      <c r="Q1848" t="s">
        <v>29</v>
      </c>
      <c r="R1848" t="s">
        <v>411</v>
      </c>
      <c r="S1848" t="s">
        <v>29</v>
      </c>
      <c r="T1848" t="s">
        <v>795</v>
      </c>
      <c r="U1848" t="s">
        <v>813</v>
      </c>
      <c r="V1848" s="6" t="s">
        <v>694</v>
      </c>
      <c r="W1848" t="s">
        <v>29</v>
      </c>
      <c r="Y1848" t="s">
        <v>117</v>
      </c>
    </row>
    <row r="1849" spans="2:25" x14ac:dyDescent="0.3">
      <c r="B1849" s="5" t="s">
        <v>77</v>
      </c>
      <c r="C1849" s="5" t="str">
        <f>VLOOKUP(B1849,[1]물질정보!B:C,2,0)</f>
        <v>140-88-5</v>
      </c>
      <c r="D1849" t="str">
        <f>VLOOKUP(B1849,[1]물질정보!B:D,3,0)</f>
        <v>ethyl acrylate</v>
      </c>
      <c r="E1849" t="str">
        <f>VLOOKUP(B1849,[1]물질정보!B:E,4,0)</f>
        <v>C5H8O2</v>
      </c>
      <c r="F1849" t="str">
        <f>VLOOKUP(B1849,[1]물질정보!B:F,5,0)</f>
        <v>100.12 g/mol</v>
      </c>
      <c r="G1849" s="5" t="str">
        <f>VLOOKUP(B1849,[1]물질정보!B:G,6,0)</f>
        <v>CCOC(=O)C=C</v>
      </c>
      <c r="H1849" t="s">
        <v>796</v>
      </c>
      <c r="I1849" t="s">
        <v>385</v>
      </c>
      <c r="J1849" t="s">
        <v>117</v>
      </c>
      <c r="K1849" t="s">
        <v>90</v>
      </c>
      <c r="L1849" t="s">
        <v>29</v>
      </c>
      <c r="M1849" t="s">
        <v>29</v>
      </c>
      <c r="N1849" t="s">
        <v>29</v>
      </c>
      <c r="O1849" t="s">
        <v>29</v>
      </c>
      <c r="P1849" t="s">
        <v>29</v>
      </c>
      <c r="Q1849" t="s">
        <v>29</v>
      </c>
      <c r="R1849" t="s">
        <v>411</v>
      </c>
      <c r="S1849" t="s">
        <v>29</v>
      </c>
      <c r="T1849" t="s">
        <v>739</v>
      </c>
      <c r="U1849" t="s">
        <v>813</v>
      </c>
      <c r="V1849" s="6" t="s">
        <v>694</v>
      </c>
      <c r="W1849" t="s">
        <v>29</v>
      </c>
      <c r="Y1849" t="s">
        <v>117</v>
      </c>
    </row>
    <row r="1850" spans="2:25" x14ac:dyDescent="0.3">
      <c r="B1850" s="5" t="s">
        <v>67</v>
      </c>
      <c r="C1850" s="5" t="str">
        <f>VLOOKUP(B1850,[1]물질정보!B:C,2,0)</f>
        <v>818-61-1</v>
      </c>
      <c r="D1850" t="str">
        <f>VLOOKUP(B1850,[1]물질정보!B:D,3,0)</f>
        <v>2-hydroxyethyl acrylate</v>
      </c>
      <c r="E1850" t="str">
        <f>VLOOKUP(B1850,[1]물질정보!B:E,4,0)</f>
        <v>C5H8O3</v>
      </c>
      <c r="F1850" t="str">
        <f>VLOOKUP(B1850,[1]물질정보!B:F,5,0)</f>
        <v>116.11 g/mol</v>
      </c>
      <c r="G1850" s="5" t="str">
        <f>VLOOKUP(B1850,[1]물질정보!B:G,6,0)</f>
        <v>C=CC(=O)OCCO</v>
      </c>
      <c r="H1850" t="s">
        <v>797</v>
      </c>
      <c r="I1850" t="s">
        <v>385</v>
      </c>
      <c r="J1850" t="s">
        <v>117</v>
      </c>
      <c r="K1850" t="s">
        <v>99</v>
      </c>
      <c r="L1850" t="s">
        <v>29</v>
      </c>
      <c r="M1850" t="s">
        <v>29</v>
      </c>
      <c r="N1850" t="s">
        <v>29</v>
      </c>
      <c r="O1850" t="s">
        <v>29</v>
      </c>
      <c r="P1850" t="s">
        <v>29</v>
      </c>
      <c r="Q1850" t="s">
        <v>29</v>
      </c>
      <c r="R1850" t="s">
        <v>411</v>
      </c>
      <c r="S1850" t="s">
        <v>29</v>
      </c>
      <c r="T1850" t="s">
        <v>739</v>
      </c>
      <c r="U1850" t="s">
        <v>813</v>
      </c>
      <c r="V1850" s="6" t="s">
        <v>694</v>
      </c>
      <c r="W1850" t="s">
        <v>29</v>
      </c>
      <c r="Y1850" t="s">
        <v>117</v>
      </c>
    </row>
    <row r="1851" spans="2:25" x14ac:dyDescent="0.3">
      <c r="B1851" s="5" t="s">
        <v>65</v>
      </c>
      <c r="C1851" s="5" t="str">
        <f>VLOOKUP(B1851,[1]물질정보!B:C,2,0)</f>
        <v>141-32-2</v>
      </c>
      <c r="D1851" t="str">
        <f>VLOOKUP(B1851,[1]물질정보!B:D,3,0)</f>
        <v>butyl acrylate</v>
      </c>
      <c r="E1851" t="str">
        <f>VLOOKUP(B1851,[1]물질정보!B:E,4,0)</f>
        <v>C7H12O2</v>
      </c>
      <c r="F1851" t="str">
        <f>VLOOKUP(B1851,[1]물질정보!B:F,5,0)</f>
        <v>128.169 g/mol</v>
      </c>
      <c r="G1851" s="5" t="str">
        <f>VLOOKUP(B1851,[1]물질정보!B:G,6,0)</f>
        <v>CCCCOC(=O)C=C</v>
      </c>
      <c r="H1851" t="s">
        <v>798</v>
      </c>
      <c r="I1851" t="s">
        <v>385</v>
      </c>
      <c r="J1851" t="s">
        <v>117</v>
      </c>
      <c r="K1851" t="s">
        <v>99</v>
      </c>
      <c r="L1851" t="s">
        <v>29</v>
      </c>
      <c r="M1851" t="s">
        <v>29</v>
      </c>
      <c r="N1851" t="s">
        <v>29</v>
      </c>
      <c r="O1851" t="s">
        <v>29</v>
      </c>
      <c r="P1851" t="s">
        <v>29</v>
      </c>
      <c r="Q1851" t="s">
        <v>29</v>
      </c>
      <c r="R1851" t="s">
        <v>411</v>
      </c>
      <c r="S1851" t="s">
        <v>29</v>
      </c>
      <c r="T1851" t="s">
        <v>737</v>
      </c>
      <c r="U1851" t="s">
        <v>813</v>
      </c>
      <c r="V1851" s="6" t="s">
        <v>694</v>
      </c>
      <c r="W1851" t="s">
        <v>29</v>
      </c>
      <c r="Y1851" t="s">
        <v>117</v>
      </c>
    </row>
    <row r="1852" spans="2:25" x14ac:dyDescent="0.3">
      <c r="B1852" s="5" t="s">
        <v>64</v>
      </c>
      <c r="C1852" s="5" t="str">
        <f>VLOOKUP(B1852,[1]물질정보!B:C,2,0)</f>
        <v>2478-10-6</v>
      </c>
      <c r="D1852" t="str">
        <f>VLOOKUP(B1852,[1]물질정보!B:D,3,0)</f>
        <v>4-hydroxybutyl acrylate</v>
      </c>
      <c r="E1852" t="str">
        <f>VLOOKUP(B1852,[1]물질정보!B:E,4,0)</f>
        <v>C7H12O3</v>
      </c>
      <c r="F1852" t="str">
        <f>VLOOKUP(B1852,[1]물질정보!B:F,5,0)</f>
        <v>144.17 g/mol</v>
      </c>
      <c r="G1852" s="5" t="str">
        <f>VLOOKUP(B1852,[1]물질정보!B:G,6,0)</f>
        <v>C=CC(=O)OCCCCO</v>
      </c>
      <c r="H1852" t="s">
        <v>799</v>
      </c>
      <c r="I1852" t="s">
        <v>385</v>
      </c>
      <c r="J1852" t="s">
        <v>117</v>
      </c>
      <c r="K1852" t="s">
        <v>99</v>
      </c>
      <c r="L1852" t="s">
        <v>29</v>
      </c>
      <c r="M1852" t="s">
        <v>29</v>
      </c>
      <c r="N1852" t="s">
        <v>29</v>
      </c>
      <c r="O1852" t="s">
        <v>29</v>
      </c>
      <c r="P1852" t="s">
        <v>29</v>
      </c>
      <c r="Q1852" t="s">
        <v>29</v>
      </c>
      <c r="R1852" t="s">
        <v>411</v>
      </c>
      <c r="S1852" t="s">
        <v>29</v>
      </c>
      <c r="T1852" t="s">
        <v>800</v>
      </c>
      <c r="U1852" t="s">
        <v>813</v>
      </c>
      <c r="V1852" s="6" t="s">
        <v>694</v>
      </c>
      <c r="W1852" t="s">
        <v>29</v>
      </c>
      <c r="Y1852" t="s">
        <v>117</v>
      </c>
    </row>
    <row r="1853" spans="2:25" x14ac:dyDescent="0.3">
      <c r="B1853" s="5" t="s">
        <v>59</v>
      </c>
      <c r="C1853" s="5" t="str">
        <f>VLOOKUP(B1853,[1]물질정보!B:C,2,0)</f>
        <v>2499-95-8</v>
      </c>
      <c r="D1853" t="str">
        <f>VLOOKUP(B1853,[1]물질정보!B:D,3,0)</f>
        <v>hexyl acrylate</v>
      </c>
      <c r="E1853" t="str">
        <f>VLOOKUP(B1853,[1]물질정보!B:E,4,0)</f>
        <v>C9H16O2</v>
      </c>
      <c r="F1853" t="str">
        <f>VLOOKUP(B1853,[1]물질정보!B:F,5,0)</f>
        <v>156.22 g/mol</v>
      </c>
      <c r="G1853" s="5" t="str">
        <f>VLOOKUP(B1853,[1]물질정보!B:G,6,0)</f>
        <v>CCCCCCOC(=O)C=C</v>
      </c>
      <c r="H1853" t="s">
        <v>801</v>
      </c>
      <c r="I1853" t="s">
        <v>385</v>
      </c>
      <c r="J1853" t="s">
        <v>117</v>
      </c>
      <c r="K1853" t="s">
        <v>99</v>
      </c>
      <c r="L1853" t="s">
        <v>29</v>
      </c>
      <c r="M1853" t="s">
        <v>29</v>
      </c>
      <c r="N1853" t="s">
        <v>29</v>
      </c>
      <c r="O1853" t="s">
        <v>29</v>
      </c>
      <c r="P1853" t="s">
        <v>29</v>
      </c>
      <c r="Q1853" t="s">
        <v>29</v>
      </c>
      <c r="R1853" t="s">
        <v>411</v>
      </c>
      <c r="S1853" t="s">
        <v>29</v>
      </c>
      <c r="T1853" t="s">
        <v>802</v>
      </c>
      <c r="U1853" t="s">
        <v>813</v>
      </c>
      <c r="V1853" s="6" t="s">
        <v>694</v>
      </c>
      <c r="W1853" t="s">
        <v>29</v>
      </c>
      <c r="Y1853" t="s">
        <v>117</v>
      </c>
    </row>
    <row r="1854" spans="2:25" x14ac:dyDescent="0.3">
      <c r="B1854" s="5" t="s">
        <v>70</v>
      </c>
      <c r="C1854" s="5" t="str">
        <f>VLOOKUP(B1854,[1]물질정보!B:C,2,0)</f>
        <v>10095-14-4</v>
      </c>
      <c r="D1854" t="str">
        <f>VLOOKUP(B1854,[1]물질정보!B:D,3,0)</f>
        <v>6-hydroxybutyl acrylate</v>
      </c>
      <c r="E1854" t="str">
        <f>VLOOKUP(B1854,[1]물질정보!B:E,4,0)</f>
        <v>C9H16O3</v>
      </c>
      <c r="F1854" t="str">
        <f>VLOOKUP(B1854,[1]물질정보!B:F,5,0)</f>
        <v>172.22 g/mol</v>
      </c>
      <c r="G1854" s="5" t="str">
        <f>VLOOKUP(B1854,[1]물질정보!B:G,6,0)</f>
        <v>C=CC(=O)OCCCCCCO</v>
      </c>
      <c r="H1854" t="s">
        <v>803</v>
      </c>
      <c r="I1854" t="s">
        <v>385</v>
      </c>
      <c r="J1854" t="s">
        <v>117</v>
      </c>
      <c r="K1854" t="s">
        <v>99</v>
      </c>
      <c r="L1854" t="s">
        <v>29</v>
      </c>
      <c r="M1854" t="s">
        <v>29</v>
      </c>
      <c r="N1854" t="s">
        <v>29</v>
      </c>
      <c r="O1854" t="s">
        <v>29</v>
      </c>
      <c r="P1854" t="s">
        <v>29</v>
      </c>
      <c r="Q1854" t="s">
        <v>29</v>
      </c>
      <c r="R1854" t="s">
        <v>411</v>
      </c>
      <c r="S1854" t="s">
        <v>29</v>
      </c>
      <c r="T1854" t="s">
        <v>804</v>
      </c>
      <c r="U1854" t="s">
        <v>813</v>
      </c>
      <c r="V1854" s="6" t="s">
        <v>694</v>
      </c>
      <c r="W1854" t="s">
        <v>29</v>
      </c>
      <c r="Y1854" t="s">
        <v>117</v>
      </c>
    </row>
    <row r="1855" spans="2:25" x14ac:dyDescent="0.3">
      <c r="B1855" s="5" t="s">
        <v>78</v>
      </c>
      <c r="C1855" s="5" t="str">
        <f>VLOOKUP(B1855,[1]물질정보!B:C,2,0)</f>
        <v>-</v>
      </c>
      <c r="D1855" t="str">
        <f>VLOOKUP(B1855,[1]물질정보!B:D,3,0)</f>
        <v xml:space="preserve">9-(9H-Carbazol-9-yl)-7H-benzo[c]carbazole </v>
      </c>
      <c r="E1855" t="str">
        <f>VLOOKUP(B1855,[1]물질정보!B:E,4,0)</f>
        <v>C28H18N2</v>
      </c>
      <c r="F1855" t="str">
        <f>VLOOKUP(B1855,[1]물질정보!B:F,5,0)</f>
        <v>382.5 g/mol</v>
      </c>
      <c r="G1855" s="5" t="str">
        <f>VLOOKUP(B1855,[1]물질정보!B:G,6,0)</f>
        <v>C1=CC=C2C(=C1)C=CC3=C2C4=C(N3)C=C(C=C4)N5C6=CC=CC=C6C7=CC=CC=C75</v>
      </c>
      <c r="H1855" t="s">
        <v>79</v>
      </c>
      <c r="I1855" t="s">
        <v>385</v>
      </c>
      <c r="J1855" t="s">
        <v>117</v>
      </c>
      <c r="K1855" t="s">
        <v>90</v>
      </c>
      <c r="L1855" t="s">
        <v>29</v>
      </c>
      <c r="M1855" t="s">
        <v>29</v>
      </c>
      <c r="N1855" t="s">
        <v>29</v>
      </c>
      <c r="O1855" t="s">
        <v>29</v>
      </c>
      <c r="P1855" t="s">
        <v>29</v>
      </c>
      <c r="Q1855" t="s">
        <v>29</v>
      </c>
      <c r="R1855" t="s">
        <v>411</v>
      </c>
      <c r="S1855" t="s">
        <v>29</v>
      </c>
      <c r="T1855" t="s">
        <v>805</v>
      </c>
      <c r="U1855" t="s">
        <v>814</v>
      </c>
      <c r="V1855" s="6" t="s">
        <v>694</v>
      </c>
      <c r="W1855" t="s">
        <v>29</v>
      </c>
      <c r="Y1855" t="s">
        <v>117</v>
      </c>
    </row>
    <row r="1856" spans="2:25" x14ac:dyDescent="0.3">
      <c r="B1856" s="5" t="s">
        <v>359</v>
      </c>
      <c r="C1856" s="5" t="str">
        <f>VLOOKUP(B1856,[1]물질정보!B:C,2,0)</f>
        <v>205-25-4</v>
      </c>
      <c r="D1856" t="str">
        <f>VLOOKUP(B1856,[1]물질정보!B:D,3,0)</f>
        <v xml:space="preserve">7H-Benzo[c]carbazole </v>
      </c>
      <c r="E1856" t="str">
        <f>VLOOKUP(B1856,[1]물질정보!B:E,4,0)</f>
        <v>C16H11N</v>
      </c>
      <c r="F1856" t="str">
        <f>VLOOKUP(B1856,[1]물질정보!B:F,5,0)</f>
        <v>217.26 g/mol</v>
      </c>
      <c r="G1856" s="5" t="str">
        <f>VLOOKUP(B1856,[1]물질정보!B:G,6,0)</f>
        <v>C1=CC=C2C(=C1)C=CC3=C2C4=CC=CC=C4N3</v>
      </c>
      <c r="H1856" t="s">
        <v>79</v>
      </c>
      <c r="I1856" t="s">
        <v>385</v>
      </c>
      <c r="J1856" t="s">
        <v>117</v>
      </c>
      <c r="K1856" t="s">
        <v>90</v>
      </c>
      <c r="L1856" t="s">
        <v>29</v>
      </c>
      <c r="M1856" t="s">
        <v>29</v>
      </c>
      <c r="N1856" t="s">
        <v>29</v>
      </c>
      <c r="O1856" t="s">
        <v>29</v>
      </c>
      <c r="P1856" t="s">
        <v>29</v>
      </c>
      <c r="Q1856" t="s">
        <v>29</v>
      </c>
      <c r="R1856" t="s">
        <v>411</v>
      </c>
      <c r="S1856" t="s">
        <v>29</v>
      </c>
      <c r="T1856" t="s">
        <v>806</v>
      </c>
      <c r="U1856" t="s">
        <v>814</v>
      </c>
      <c r="V1856" s="6" t="s">
        <v>694</v>
      </c>
      <c r="W1856" t="s">
        <v>29</v>
      </c>
      <c r="Y1856" t="s">
        <v>117</v>
      </c>
    </row>
    <row r="1857" spans="2:25" x14ac:dyDescent="0.3">
      <c r="B1857" s="5" t="s">
        <v>503</v>
      </c>
      <c r="C1857" s="5" t="str">
        <f>VLOOKUP(B1857,[1]물질정보!B:C,2,0)</f>
        <v>97-63-2</v>
      </c>
      <c r="D1857" t="str">
        <f>VLOOKUP(B1857,[1]물질정보!B:D,3,0)</f>
        <v>ethyl methacrylate</v>
      </c>
      <c r="E1857" t="str">
        <f>VLOOKUP(B1857,[1]물질정보!B:E,4,0)</f>
        <v>C6H10O2</v>
      </c>
      <c r="F1857" t="str">
        <f>VLOOKUP(B1857,[1]물질정보!B:F,5,0)</f>
        <v>114.14 g/mol</v>
      </c>
      <c r="G1857" s="5" t="str">
        <f>VLOOKUP(B1857,[1]물질정보!B:G,6,0)</f>
        <v>CCOC(=O)C(=C)C</v>
      </c>
      <c r="H1857" t="s">
        <v>79</v>
      </c>
      <c r="I1857" t="s">
        <v>385</v>
      </c>
      <c r="J1857" t="s">
        <v>117</v>
      </c>
      <c r="K1857" t="s">
        <v>90</v>
      </c>
      <c r="L1857" t="s">
        <v>29</v>
      </c>
      <c r="M1857" t="s">
        <v>29</v>
      </c>
      <c r="N1857" t="s">
        <v>29</v>
      </c>
      <c r="O1857" t="s">
        <v>29</v>
      </c>
      <c r="P1857" t="s">
        <v>29</v>
      </c>
      <c r="Q1857" t="s">
        <v>29</v>
      </c>
      <c r="R1857" t="s">
        <v>411</v>
      </c>
      <c r="S1857" t="s">
        <v>29</v>
      </c>
      <c r="T1857" t="s">
        <v>807</v>
      </c>
      <c r="U1857" t="s">
        <v>814</v>
      </c>
      <c r="V1857" s="6" t="s">
        <v>694</v>
      </c>
      <c r="W1857" t="s">
        <v>29</v>
      </c>
      <c r="Y1857" t="s">
        <v>117</v>
      </c>
    </row>
    <row r="1858" spans="2:25" x14ac:dyDescent="0.3">
      <c r="B1858" s="5" t="s">
        <v>69</v>
      </c>
      <c r="C1858" s="5" t="str">
        <f>VLOOKUP(B1858,[1]물질정보!B:C,2,0)</f>
        <v>868-77-9</v>
      </c>
      <c r="D1858" t="str">
        <f>VLOOKUP(B1858,[1]물질정보!B:D,3,0)</f>
        <v>2-hydroxyethyl methacrylate</v>
      </c>
      <c r="E1858" t="str">
        <f>VLOOKUP(B1858,[1]물질정보!B:E,4,0)</f>
        <v>C6H10O3</v>
      </c>
      <c r="F1858" t="str">
        <f>VLOOKUP(B1858,[1]물질정보!B:F,5,0)</f>
        <v>130.139 g/mol</v>
      </c>
      <c r="G1858" s="5" t="str">
        <f>VLOOKUP(B1858,[1]물질정보!B:G,6,0)</f>
        <v>CC(=C)C(=O)OCCO</v>
      </c>
      <c r="H1858" t="s">
        <v>79</v>
      </c>
      <c r="I1858" t="s">
        <v>385</v>
      </c>
      <c r="J1858" t="s">
        <v>117</v>
      </c>
      <c r="K1858" t="s">
        <v>90</v>
      </c>
      <c r="L1858" t="s">
        <v>29</v>
      </c>
      <c r="M1858" t="s">
        <v>29</v>
      </c>
      <c r="N1858" t="s">
        <v>29</v>
      </c>
      <c r="O1858" t="s">
        <v>29</v>
      </c>
      <c r="P1858" t="s">
        <v>29</v>
      </c>
      <c r="Q1858" t="s">
        <v>29</v>
      </c>
      <c r="R1858" t="s">
        <v>411</v>
      </c>
      <c r="S1858" t="s">
        <v>29</v>
      </c>
      <c r="T1858" t="s">
        <v>739</v>
      </c>
      <c r="U1858" t="s">
        <v>814</v>
      </c>
      <c r="V1858" s="6" t="s">
        <v>694</v>
      </c>
      <c r="W1858" t="s">
        <v>29</v>
      </c>
      <c r="Y1858" t="s">
        <v>117</v>
      </c>
    </row>
    <row r="1859" spans="2:25" x14ac:dyDescent="0.3">
      <c r="B1859" s="5" t="s">
        <v>25</v>
      </c>
      <c r="C1859" s="5" t="str">
        <f>VLOOKUP(B1859,[1]물질정보!B:C,2,0)</f>
        <v>97-88-1</v>
      </c>
      <c r="D1859" t="str">
        <f>VLOOKUP(B1859,[1]물질정보!B:D,3,0)</f>
        <v>butyl methacrylate</v>
      </c>
      <c r="E1859" t="str">
        <f>VLOOKUP(B1859,[1]물질정보!B:E,4,0)</f>
        <v>C8H14O2</v>
      </c>
      <c r="F1859" t="str">
        <f>VLOOKUP(B1859,[1]물질정보!B:F,5,0)</f>
        <v>142.2 g/mol</v>
      </c>
      <c r="G1859" s="5" t="str">
        <f>VLOOKUP(B1859,[1]물질정보!B:G,6,0)</f>
        <v>CCCCOC(=O)C(=C)C</v>
      </c>
      <c r="H1859" t="s">
        <v>79</v>
      </c>
      <c r="I1859" t="s">
        <v>385</v>
      </c>
      <c r="J1859" t="s">
        <v>117</v>
      </c>
      <c r="K1859" t="s">
        <v>90</v>
      </c>
      <c r="L1859" t="s">
        <v>29</v>
      </c>
      <c r="M1859" t="s">
        <v>29</v>
      </c>
      <c r="N1859" t="s">
        <v>29</v>
      </c>
      <c r="O1859" t="s">
        <v>29</v>
      </c>
      <c r="P1859" t="s">
        <v>29</v>
      </c>
      <c r="Q1859" t="s">
        <v>29</v>
      </c>
      <c r="R1859" t="s">
        <v>411</v>
      </c>
      <c r="S1859" t="s">
        <v>29</v>
      </c>
      <c r="T1859" t="s">
        <v>808</v>
      </c>
      <c r="U1859" t="s">
        <v>814</v>
      </c>
      <c r="V1859" s="6" t="s">
        <v>694</v>
      </c>
      <c r="W1859" t="s">
        <v>29</v>
      </c>
      <c r="Y1859" t="s">
        <v>117</v>
      </c>
    </row>
    <row r="1860" spans="2:25" x14ac:dyDescent="0.3">
      <c r="B1860" s="5" t="s">
        <v>68</v>
      </c>
      <c r="C1860" s="5" t="str">
        <f>VLOOKUP(B1860,[1]물질정보!B:C,2,0)</f>
        <v>997-46-6</v>
      </c>
      <c r="D1860" t="str">
        <f>VLOOKUP(B1860,[1]물질정보!B:D,3,0)</f>
        <v>4-hydroxybutyl methacrylate</v>
      </c>
      <c r="E1860" t="str">
        <f>VLOOKUP(B1860,[1]물질정보!B:E,4,0)</f>
        <v>C8H14O3</v>
      </c>
      <c r="F1860" t="str">
        <f>VLOOKUP(B1860,[1]물질정보!B:F,5,0)</f>
        <v>158.19 g/mol</v>
      </c>
      <c r="G1860" s="5" t="str">
        <f>VLOOKUP(B1860,[1]물질정보!B:G,6,0)</f>
        <v>CC(=C)C(=O)OCCCCO</v>
      </c>
      <c r="H1860" t="s">
        <v>79</v>
      </c>
      <c r="I1860" t="s">
        <v>385</v>
      </c>
      <c r="J1860" t="s">
        <v>117</v>
      </c>
      <c r="K1860" t="s">
        <v>90</v>
      </c>
      <c r="L1860" t="s">
        <v>29</v>
      </c>
      <c r="M1860" t="s">
        <v>29</v>
      </c>
      <c r="N1860" t="s">
        <v>29</v>
      </c>
      <c r="O1860" t="s">
        <v>29</v>
      </c>
      <c r="P1860" t="s">
        <v>29</v>
      </c>
      <c r="Q1860" t="s">
        <v>29</v>
      </c>
      <c r="R1860" t="s">
        <v>411</v>
      </c>
      <c r="S1860" t="s">
        <v>29</v>
      </c>
      <c r="T1860" t="s">
        <v>809</v>
      </c>
      <c r="U1860" t="s">
        <v>814</v>
      </c>
      <c r="V1860" s="6" t="s">
        <v>694</v>
      </c>
      <c r="W1860" t="s">
        <v>29</v>
      </c>
      <c r="Y1860" t="s">
        <v>117</v>
      </c>
    </row>
    <row r="1861" spans="2:25" x14ac:dyDescent="0.3">
      <c r="B1861" s="5" t="s">
        <v>77</v>
      </c>
      <c r="C1861" s="5" t="str">
        <f>VLOOKUP(B1861,[1]물질정보!B:C,2,0)</f>
        <v>140-88-5</v>
      </c>
      <c r="D1861" t="str">
        <f>VLOOKUP(B1861,[1]물질정보!B:D,3,0)</f>
        <v>ethyl acrylate</v>
      </c>
      <c r="E1861" t="str">
        <f>VLOOKUP(B1861,[1]물질정보!B:E,4,0)</f>
        <v>C5H8O2</v>
      </c>
      <c r="F1861" t="str">
        <f>VLOOKUP(B1861,[1]물질정보!B:F,5,0)</f>
        <v>100.12 g/mol</v>
      </c>
      <c r="G1861" s="5" t="str">
        <f>VLOOKUP(B1861,[1]물질정보!B:G,6,0)</f>
        <v>CCOC(=O)C=C</v>
      </c>
      <c r="H1861" t="s">
        <v>79</v>
      </c>
      <c r="I1861" t="s">
        <v>385</v>
      </c>
      <c r="J1861" t="s">
        <v>117</v>
      </c>
      <c r="K1861" t="s">
        <v>90</v>
      </c>
      <c r="L1861" t="s">
        <v>29</v>
      </c>
      <c r="M1861" t="s">
        <v>29</v>
      </c>
      <c r="N1861" t="s">
        <v>29</v>
      </c>
      <c r="O1861" t="s">
        <v>29</v>
      </c>
      <c r="P1861" t="s">
        <v>29</v>
      </c>
      <c r="Q1861" t="s">
        <v>29</v>
      </c>
      <c r="R1861" t="s">
        <v>411</v>
      </c>
      <c r="S1861" t="s">
        <v>29</v>
      </c>
      <c r="T1861" t="s">
        <v>739</v>
      </c>
      <c r="U1861" t="s">
        <v>814</v>
      </c>
      <c r="V1861" s="6" t="s">
        <v>694</v>
      </c>
      <c r="W1861" t="s">
        <v>29</v>
      </c>
      <c r="Y1861" t="s">
        <v>117</v>
      </c>
    </row>
    <row r="1862" spans="2:25" x14ac:dyDescent="0.3">
      <c r="B1862" s="5" t="s">
        <v>67</v>
      </c>
      <c r="C1862" s="5" t="str">
        <f>VLOOKUP(B1862,[1]물질정보!B:C,2,0)</f>
        <v>818-61-1</v>
      </c>
      <c r="D1862" t="str">
        <f>VLOOKUP(B1862,[1]물질정보!B:D,3,0)</f>
        <v>2-hydroxyethyl acrylate</v>
      </c>
      <c r="E1862" t="str">
        <f>VLOOKUP(B1862,[1]물질정보!B:E,4,0)</f>
        <v>C5H8O3</v>
      </c>
      <c r="F1862" t="str">
        <f>VLOOKUP(B1862,[1]물질정보!B:F,5,0)</f>
        <v>116.11 g/mol</v>
      </c>
      <c r="G1862" s="5" t="str">
        <f>VLOOKUP(B1862,[1]물질정보!B:G,6,0)</f>
        <v>C=CC(=O)OCCO</v>
      </c>
      <c r="H1862" t="s">
        <v>79</v>
      </c>
      <c r="I1862" t="s">
        <v>385</v>
      </c>
      <c r="J1862" t="s">
        <v>117</v>
      </c>
      <c r="K1862" t="s">
        <v>90</v>
      </c>
      <c r="L1862" t="s">
        <v>29</v>
      </c>
      <c r="M1862" t="s">
        <v>29</v>
      </c>
      <c r="N1862" t="s">
        <v>29</v>
      </c>
      <c r="O1862" t="s">
        <v>29</v>
      </c>
      <c r="P1862" t="s">
        <v>29</v>
      </c>
      <c r="Q1862" t="s">
        <v>29</v>
      </c>
      <c r="R1862" t="s">
        <v>411</v>
      </c>
      <c r="S1862" t="s">
        <v>29</v>
      </c>
      <c r="T1862" t="s">
        <v>810</v>
      </c>
      <c r="U1862" t="s">
        <v>814</v>
      </c>
      <c r="V1862" s="6" t="s">
        <v>694</v>
      </c>
      <c r="W1862" t="s">
        <v>29</v>
      </c>
      <c r="Y1862" t="s">
        <v>117</v>
      </c>
    </row>
    <row r="1863" spans="2:25" x14ac:dyDescent="0.3">
      <c r="B1863" s="5" t="s">
        <v>65</v>
      </c>
      <c r="C1863" s="5" t="str">
        <f>VLOOKUP(B1863,[1]물질정보!B:C,2,0)</f>
        <v>141-32-2</v>
      </c>
      <c r="D1863" t="str">
        <f>VLOOKUP(B1863,[1]물질정보!B:D,3,0)</f>
        <v>butyl acrylate</v>
      </c>
      <c r="E1863" t="str">
        <f>VLOOKUP(B1863,[1]물질정보!B:E,4,0)</f>
        <v>C7H12O2</v>
      </c>
      <c r="F1863" t="str">
        <f>VLOOKUP(B1863,[1]물질정보!B:F,5,0)</f>
        <v>128.169 g/mol</v>
      </c>
      <c r="G1863" s="5" t="str">
        <f>VLOOKUP(B1863,[1]물질정보!B:G,6,0)</f>
        <v>CCCCOC(=O)C=C</v>
      </c>
      <c r="H1863" t="s">
        <v>79</v>
      </c>
      <c r="I1863" t="s">
        <v>385</v>
      </c>
      <c r="J1863" t="s">
        <v>117</v>
      </c>
      <c r="K1863" t="s">
        <v>90</v>
      </c>
      <c r="L1863" t="s">
        <v>29</v>
      </c>
      <c r="M1863" t="s">
        <v>29</v>
      </c>
      <c r="N1863" t="s">
        <v>29</v>
      </c>
      <c r="O1863" t="s">
        <v>29</v>
      </c>
      <c r="P1863" t="s">
        <v>29</v>
      </c>
      <c r="Q1863" t="s">
        <v>29</v>
      </c>
      <c r="R1863" t="s">
        <v>411</v>
      </c>
      <c r="S1863" t="s">
        <v>29</v>
      </c>
      <c r="T1863" t="s">
        <v>811</v>
      </c>
      <c r="U1863" t="s">
        <v>814</v>
      </c>
      <c r="V1863" s="6" t="s">
        <v>694</v>
      </c>
      <c r="W1863" t="s">
        <v>29</v>
      </c>
      <c r="Y1863" t="s">
        <v>117</v>
      </c>
    </row>
    <row r="1864" spans="2:25" x14ac:dyDescent="0.3">
      <c r="B1864" s="5" t="s">
        <v>64</v>
      </c>
      <c r="C1864" s="5" t="str">
        <f>VLOOKUP(B1864,[1]물질정보!B:C,2,0)</f>
        <v>2478-10-6</v>
      </c>
      <c r="D1864" t="str">
        <f>VLOOKUP(B1864,[1]물질정보!B:D,3,0)</f>
        <v>4-hydroxybutyl acrylate</v>
      </c>
      <c r="E1864" t="str">
        <f>VLOOKUP(B1864,[1]물질정보!B:E,4,0)</f>
        <v>C7H12O3</v>
      </c>
      <c r="F1864" t="str">
        <f>VLOOKUP(B1864,[1]물질정보!B:F,5,0)</f>
        <v>144.17 g/mol</v>
      </c>
      <c r="G1864" s="5" t="str">
        <f>VLOOKUP(B1864,[1]물질정보!B:G,6,0)</f>
        <v>C=CC(=O)OCCCCO</v>
      </c>
      <c r="H1864" t="s">
        <v>79</v>
      </c>
      <c r="I1864" t="s">
        <v>385</v>
      </c>
      <c r="J1864" t="s">
        <v>117</v>
      </c>
      <c r="K1864" t="s">
        <v>90</v>
      </c>
      <c r="L1864" t="s">
        <v>29</v>
      </c>
      <c r="M1864" t="s">
        <v>29</v>
      </c>
      <c r="N1864" t="s">
        <v>29</v>
      </c>
      <c r="O1864" t="s">
        <v>29</v>
      </c>
      <c r="P1864" t="s">
        <v>29</v>
      </c>
      <c r="Q1864" t="s">
        <v>29</v>
      </c>
      <c r="R1864" t="s">
        <v>411</v>
      </c>
      <c r="S1864" t="s">
        <v>29</v>
      </c>
      <c r="T1864" t="s">
        <v>758</v>
      </c>
      <c r="U1864" t="s">
        <v>814</v>
      </c>
      <c r="V1864" s="6" t="s">
        <v>694</v>
      </c>
      <c r="W1864" t="s">
        <v>29</v>
      </c>
      <c r="Y1864" t="s">
        <v>117</v>
      </c>
    </row>
    <row r="1865" spans="2:25" x14ac:dyDescent="0.3">
      <c r="B1865" s="5" t="s">
        <v>59</v>
      </c>
      <c r="C1865" s="5" t="str">
        <f>VLOOKUP(B1865,[1]물질정보!B:C,2,0)</f>
        <v>2499-95-8</v>
      </c>
      <c r="D1865" t="str">
        <f>VLOOKUP(B1865,[1]물질정보!B:D,3,0)</f>
        <v>hexyl acrylate</v>
      </c>
      <c r="E1865" t="str">
        <f>VLOOKUP(B1865,[1]물질정보!B:E,4,0)</f>
        <v>C9H16O2</v>
      </c>
      <c r="F1865" t="str">
        <f>VLOOKUP(B1865,[1]물질정보!B:F,5,0)</f>
        <v>156.22 g/mol</v>
      </c>
      <c r="G1865" s="5" t="str">
        <f>VLOOKUP(B1865,[1]물질정보!B:G,6,0)</f>
        <v>CCCCCCOC(=O)C=C</v>
      </c>
      <c r="H1865" t="s">
        <v>79</v>
      </c>
      <c r="I1865" t="s">
        <v>385</v>
      </c>
      <c r="J1865" t="s">
        <v>117</v>
      </c>
      <c r="K1865" t="s">
        <v>90</v>
      </c>
      <c r="L1865" t="s">
        <v>29</v>
      </c>
      <c r="M1865" t="s">
        <v>29</v>
      </c>
      <c r="N1865" t="s">
        <v>29</v>
      </c>
      <c r="O1865" t="s">
        <v>29</v>
      </c>
      <c r="P1865" t="s">
        <v>29</v>
      </c>
      <c r="Q1865" t="s">
        <v>29</v>
      </c>
      <c r="R1865" t="s">
        <v>411</v>
      </c>
      <c r="S1865" t="s">
        <v>29</v>
      </c>
      <c r="T1865" t="s">
        <v>737</v>
      </c>
      <c r="U1865" t="s">
        <v>814</v>
      </c>
      <c r="V1865" s="6" t="s">
        <v>694</v>
      </c>
      <c r="W1865" t="s">
        <v>29</v>
      </c>
      <c r="Y1865" t="s">
        <v>117</v>
      </c>
    </row>
    <row r="1866" spans="2:25" x14ac:dyDescent="0.3">
      <c r="B1866" s="5" t="s">
        <v>70</v>
      </c>
      <c r="C1866" s="5" t="str">
        <f>VLOOKUP(B1866,[1]물질정보!B:C,2,0)</f>
        <v>10095-14-4</v>
      </c>
      <c r="D1866" t="str">
        <f>VLOOKUP(B1866,[1]물질정보!B:D,3,0)</f>
        <v>6-hydroxybutyl acrylate</v>
      </c>
      <c r="E1866" t="str">
        <f>VLOOKUP(B1866,[1]물질정보!B:E,4,0)</f>
        <v>C9H16O3</v>
      </c>
      <c r="F1866" t="str">
        <f>VLOOKUP(B1866,[1]물질정보!B:F,5,0)</f>
        <v>172.22 g/mol</v>
      </c>
      <c r="G1866" s="5" t="str">
        <f>VLOOKUP(B1866,[1]물질정보!B:G,6,0)</f>
        <v>C=CC(=O)OCCCCCCO</v>
      </c>
      <c r="H1866" t="s">
        <v>79</v>
      </c>
      <c r="I1866" t="s">
        <v>385</v>
      </c>
      <c r="J1866" t="s">
        <v>117</v>
      </c>
      <c r="K1866" t="s">
        <v>90</v>
      </c>
      <c r="L1866" t="s">
        <v>29</v>
      </c>
      <c r="M1866" t="s">
        <v>29</v>
      </c>
      <c r="N1866" t="s">
        <v>29</v>
      </c>
      <c r="O1866" t="s">
        <v>29</v>
      </c>
      <c r="P1866" t="s">
        <v>29</v>
      </c>
      <c r="Q1866" t="s">
        <v>29</v>
      </c>
      <c r="R1866" t="s">
        <v>411</v>
      </c>
      <c r="S1866" t="s">
        <v>29</v>
      </c>
      <c r="T1866" t="s">
        <v>737</v>
      </c>
      <c r="U1866" t="s">
        <v>814</v>
      </c>
      <c r="V1866" s="6" t="s">
        <v>694</v>
      </c>
      <c r="W1866" t="s">
        <v>29</v>
      </c>
      <c r="Y1866" t="s">
        <v>117</v>
      </c>
    </row>
    <row r="1867" spans="2:25" x14ac:dyDescent="0.3">
      <c r="B1867" s="5" t="s">
        <v>78</v>
      </c>
      <c r="C1867" s="5" t="str">
        <f>VLOOKUP(B1867,[1]물질정보!B:C,2,0)</f>
        <v>-</v>
      </c>
      <c r="D1867" t="str">
        <f>VLOOKUP(B1867,[1]물질정보!B:D,3,0)</f>
        <v xml:space="preserve">9-(9H-Carbazol-9-yl)-7H-benzo[c]carbazole </v>
      </c>
      <c r="E1867" t="str">
        <f>VLOOKUP(B1867,[1]물질정보!B:E,4,0)</f>
        <v>C28H18N2</v>
      </c>
      <c r="F1867" t="str">
        <f>VLOOKUP(B1867,[1]물질정보!B:F,5,0)</f>
        <v>382.5 g/mol</v>
      </c>
      <c r="G1867" s="5" t="str">
        <f>VLOOKUP(B1867,[1]물질정보!B:G,6,0)</f>
        <v>C1=CC=C2C(=C1)C=CC3=C2C4=C(N3)C=C(C=C4)N5C6=CC=CC=C6C7=CC=CC=C75</v>
      </c>
      <c r="H1867" t="s">
        <v>79</v>
      </c>
      <c r="I1867" t="s">
        <v>385</v>
      </c>
      <c r="J1867" t="s">
        <v>117</v>
      </c>
      <c r="K1867" t="s">
        <v>617</v>
      </c>
      <c r="L1867" t="s">
        <v>29</v>
      </c>
      <c r="M1867" t="s">
        <v>29</v>
      </c>
      <c r="N1867" t="s">
        <v>29</v>
      </c>
      <c r="O1867" t="s">
        <v>29</v>
      </c>
      <c r="P1867" t="s">
        <v>29</v>
      </c>
      <c r="Q1867" t="s">
        <v>29</v>
      </c>
      <c r="R1867" t="s">
        <v>411</v>
      </c>
      <c r="S1867" t="s">
        <v>29</v>
      </c>
      <c r="T1867" t="s">
        <v>29</v>
      </c>
      <c r="U1867" t="s">
        <v>815</v>
      </c>
      <c r="V1867" s="6" t="s">
        <v>694</v>
      </c>
      <c r="W1867" t="s">
        <v>29</v>
      </c>
      <c r="Y1867" t="s">
        <v>117</v>
      </c>
    </row>
    <row r="1868" spans="2:25" x14ac:dyDescent="0.3">
      <c r="B1868" s="5" t="s">
        <v>359</v>
      </c>
      <c r="C1868" s="5" t="str">
        <f>VLOOKUP(B1868,[1]물질정보!B:C,2,0)</f>
        <v>205-25-4</v>
      </c>
      <c r="D1868" t="str">
        <f>VLOOKUP(B1868,[1]물질정보!B:D,3,0)</f>
        <v xml:space="preserve">7H-Benzo[c]carbazole </v>
      </c>
      <c r="E1868" t="str">
        <f>VLOOKUP(B1868,[1]물질정보!B:E,4,0)</f>
        <v>C16H11N</v>
      </c>
      <c r="F1868" t="str">
        <f>VLOOKUP(B1868,[1]물질정보!B:F,5,0)</f>
        <v>217.26 g/mol</v>
      </c>
      <c r="G1868" s="5" t="str">
        <f>VLOOKUP(B1868,[1]물질정보!B:G,6,0)</f>
        <v>C1=CC=C2C(=C1)C=CC3=C2C4=CC=CC=C4N3</v>
      </c>
      <c r="H1868" t="s">
        <v>79</v>
      </c>
      <c r="I1868" t="s">
        <v>385</v>
      </c>
      <c r="J1868" t="s">
        <v>117</v>
      </c>
      <c r="K1868" t="s">
        <v>617</v>
      </c>
      <c r="L1868" t="s">
        <v>29</v>
      </c>
      <c r="M1868" t="s">
        <v>29</v>
      </c>
      <c r="N1868" t="s">
        <v>29</v>
      </c>
      <c r="O1868" t="s">
        <v>29</v>
      </c>
      <c r="P1868" t="s">
        <v>29</v>
      </c>
      <c r="Q1868" t="s">
        <v>29</v>
      </c>
      <c r="R1868" t="s">
        <v>411</v>
      </c>
      <c r="S1868" t="s">
        <v>29</v>
      </c>
      <c r="T1868" t="s">
        <v>29</v>
      </c>
      <c r="U1868" t="s">
        <v>815</v>
      </c>
      <c r="V1868" s="6" t="s">
        <v>694</v>
      </c>
      <c r="W1868" t="s">
        <v>29</v>
      </c>
      <c r="Y1868" t="s">
        <v>117</v>
      </c>
    </row>
    <row r="1869" spans="2:25" x14ac:dyDescent="0.3">
      <c r="B1869" s="5" t="s">
        <v>503</v>
      </c>
      <c r="C1869" s="5" t="str">
        <f>VLOOKUP(B1869,[1]물질정보!B:C,2,0)</f>
        <v>97-63-2</v>
      </c>
      <c r="D1869" t="str">
        <f>VLOOKUP(B1869,[1]물질정보!B:D,3,0)</f>
        <v>ethyl methacrylate</v>
      </c>
      <c r="E1869" t="str">
        <f>VLOOKUP(B1869,[1]물질정보!B:E,4,0)</f>
        <v>C6H10O2</v>
      </c>
      <c r="F1869" t="str">
        <f>VLOOKUP(B1869,[1]물질정보!B:F,5,0)</f>
        <v>114.14 g/mol</v>
      </c>
      <c r="G1869" s="5" t="str">
        <f>VLOOKUP(B1869,[1]물질정보!B:G,6,0)</f>
        <v>CCOC(=O)C(=C)C</v>
      </c>
      <c r="H1869" t="s">
        <v>79</v>
      </c>
      <c r="I1869" t="s">
        <v>385</v>
      </c>
      <c r="J1869" t="s">
        <v>117</v>
      </c>
      <c r="K1869" t="s">
        <v>99</v>
      </c>
      <c r="L1869" t="s">
        <v>29</v>
      </c>
      <c r="M1869" t="s">
        <v>29</v>
      </c>
      <c r="N1869" t="s">
        <v>29</v>
      </c>
      <c r="O1869" t="s">
        <v>29</v>
      </c>
      <c r="P1869" t="s">
        <v>29</v>
      </c>
      <c r="Q1869" t="s">
        <v>29</v>
      </c>
      <c r="R1869" t="s">
        <v>411</v>
      </c>
      <c r="S1869" t="s">
        <v>29</v>
      </c>
      <c r="T1869" t="s">
        <v>737</v>
      </c>
      <c r="U1869" t="s">
        <v>815</v>
      </c>
      <c r="V1869" s="6" t="s">
        <v>694</v>
      </c>
      <c r="W1869" t="s">
        <v>29</v>
      </c>
      <c r="Y1869" t="s">
        <v>117</v>
      </c>
    </row>
    <row r="1870" spans="2:25" x14ac:dyDescent="0.3">
      <c r="B1870" s="5" t="s">
        <v>69</v>
      </c>
      <c r="C1870" s="5" t="str">
        <f>VLOOKUP(B1870,[1]물질정보!B:C,2,0)</f>
        <v>868-77-9</v>
      </c>
      <c r="D1870" t="str">
        <f>VLOOKUP(B1870,[1]물질정보!B:D,3,0)</f>
        <v>2-hydroxyethyl methacrylate</v>
      </c>
      <c r="E1870" t="str">
        <f>VLOOKUP(B1870,[1]물질정보!B:E,4,0)</f>
        <v>C6H10O3</v>
      </c>
      <c r="F1870" t="str">
        <f>VLOOKUP(B1870,[1]물질정보!B:F,5,0)</f>
        <v>130.139 g/mol</v>
      </c>
      <c r="G1870" s="5" t="str">
        <f>VLOOKUP(B1870,[1]물질정보!B:G,6,0)</f>
        <v>CC(=C)C(=O)OCCO</v>
      </c>
      <c r="H1870" t="s">
        <v>79</v>
      </c>
      <c r="I1870" t="s">
        <v>385</v>
      </c>
      <c r="J1870" t="s">
        <v>117</v>
      </c>
      <c r="K1870" t="s">
        <v>90</v>
      </c>
      <c r="L1870" t="s">
        <v>29</v>
      </c>
      <c r="M1870" t="s">
        <v>29</v>
      </c>
      <c r="N1870" t="s">
        <v>29</v>
      </c>
      <c r="O1870" t="s">
        <v>29</v>
      </c>
      <c r="P1870" t="s">
        <v>29</v>
      </c>
      <c r="Q1870" t="s">
        <v>29</v>
      </c>
      <c r="R1870" t="s">
        <v>411</v>
      </c>
      <c r="S1870" t="s">
        <v>29</v>
      </c>
      <c r="T1870" t="s">
        <v>739</v>
      </c>
      <c r="U1870" t="s">
        <v>815</v>
      </c>
      <c r="V1870" s="6" t="s">
        <v>694</v>
      </c>
      <c r="W1870" t="s">
        <v>29</v>
      </c>
      <c r="Y1870" t="s">
        <v>117</v>
      </c>
    </row>
    <row r="1871" spans="2:25" x14ac:dyDescent="0.3">
      <c r="B1871" s="5" t="s">
        <v>25</v>
      </c>
      <c r="C1871" s="5" t="str">
        <f>VLOOKUP(B1871,[1]물질정보!B:C,2,0)</f>
        <v>97-88-1</v>
      </c>
      <c r="D1871" t="str">
        <f>VLOOKUP(B1871,[1]물질정보!B:D,3,0)</f>
        <v>butyl methacrylate</v>
      </c>
      <c r="E1871" t="str">
        <f>VLOOKUP(B1871,[1]물질정보!B:E,4,0)</f>
        <v>C8H14O2</v>
      </c>
      <c r="F1871" t="str">
        <f>VLOOKUP(B1871,[1]물질정보!B:F,5,0)</f>
        <v>142.2 g/mol</v>
      </c>
      <c r="G1871" s="5" t="str">
        <f>VLOOKUP(B1871,[1]물질정보!B:G,6,0)</f>
        <v>CCCCOC(=O)C(=C)C</v>
      </c>
      <c r="H1871" t="s">
        <v>79</v>
      </c>
      <c r="I1871" t="s">
        <v>385</v>
      </c>
      <c r="J1871" t="s">
        <v>117</v>
      </c>
      <c r="K1871" t="s">
        <v>99</v>
      </c>
      <c r="L1871" t="s">
        <v>29</v>
      </c>
      <c r="M1871" t="s">
        <v>29</v>
      </c>
      <c r="N1871" t="s">
        <v>29</v>
      </c>
      <c r="O1871" t="s">
        <v>29</v>
      </c>
      <c r="P1871" t="s">
        <v>29</v>
      </c>
      <c r="Q1871" t="s">
        <v>29</v>
      </c>
      <c r="R1871" t="s">
        <v>411</v>
      </c>
      <c r="S1871" t="s">
        <v>29</v>
      </c>
      <c r="T1871" t="s">
        <v>737</v>
      </c>
      <c r="U1871" t="s">
        <v>815</v>
      </c>
      <c r="V1871" s="6" t="s">
        <v>694</v>
      </c>
      <c r="W1871" t="s">
        <v>29</v>
      </c>
      <c r="Y1871" t="s">
        <v>117</v>
      </c>
    </row>
    <row r="1872" spans="2:25" x14ac:dyDescent="0.3">
      <c r="B1872" s="5" t="s">
        <v>68</v>
      </c>
      <c r="C1872" s="5" t="str">
        <f>VLOOKUP(B1872,[1]물질정보!B:C,2,0)</f>
        <v>997-46-6</v>
      </c>
      <c r="D1872" t="str">
        <f>VLOOKUP(B1872,[1]물질정보!B:D,3,0)</f>
        <v>4-hydroxybutyl methacrylate</v>
      </c>
      <c r="E1872" t="str">
        <f>VLOOKUP(B1872,[1]물질정보!B:E,4,0)</f>
        <v>C8H14O3</v>
      </c>
      <c r="F1872" t="str">
        <f>VLOOKUP(B1872,[1]물질정보!B:F,5,0)</f>
        <v>158.19 g/mol</v>
      </c>
      <c r="G1872" s="5" t="str">
        <f>VLOOKUP(B1872,[1]물질정보!B:G,6,0)</f>
        <v>CC(=C)C(=O)OCCCCO</v>
      </c>
      <c r="H1872" t="s">
        <v>79</v>
      </c>
      <c r="I1872" t="s">
        <v>385</v>
      </c>
      <c r="J1872" t="s">
        <v>117</v>
      </c>
      <c r="K1872" t="s">
        <v>99</v>
      </c>
      <c r="L1872" t="s">
        <v>29</v>
      </c>
      <c r="M1872" t="s">
        <v>29</v>
      </c>
      <c r="N1872" t="s">
        <v>29</v>
      </c>
      <c r="O1872" t="s">
        <v>29</v>
      </c>
      <c r="P1872" t="s">
        <v>29</v>
      </c>
      <c r="Q1872" t="s">
        <v>29</v>
      </c>
      <c r="R1872" t="s">
        <v>411</v>
      </c>
      <c r="S1872" t="s">
        <v>29</v>
      </c>
      <c r="T1872" t="s">
        <v>737</v>
      </c>
      <c r="U1872" t="s">
        <v>815</v>
      </c>
      <c r="V1872" s="6" t="s">
        <v>694</v>
      </c>
      <c r="W1872" t="s">
        <v>29</v>
      </c>
      <c r="Y1872" t="s">
        <v>117</v>
      </c>
    </row>
    <row r="1873" spans="2:25" x14ac:dyDescent="0.3">
      <c r="B1873" s="5" t="s">
        <v>77</v>
      </c>
      <c r="C1873" s="5" t="str">
        <f>VLOOKUP(B1873,[1]물질정보!B:C,2,0)</f>
        <v>140-88-5</v>
      </c>
      <c r="D1873" t="str">
        <f>VLOOKUP(B1873,[1]물질정보!B:D,3,0)</f>
        <v>ethyl acrylate</v>
      </c>
      <c r="E1873" t="str">
        <f>VLOOKUP(B1873,[1]물질정보!B:E,4,0)</f>
        <v>C5H8O2</v>
      </c>
      <c r="F1873" t="str">
        <f>VLOOKUP(B1873,[1]물질정보!B:F,5,0)</f>
        <v>100.12 g/mol</v>
      </c>
      <c r="G1873" s="5" t="str">
        <f>VLOOKUP(B1873,[1]물질정보!B:G,6,0)</f>
        <v>CCOC(=O)C=C</v>
      </c>
      <c r="H1873" t="s">
        <v>79</v>
      </c>
      <c r="I1873" t="s">
        <v>385</v>
      </c>
      <c r="J1873" t="s">
        <v>117</v>
      </c>
      <c r="K1873" t="s">
        <v>99</v>
      </c>
      <c r="L1873" t="s">
        <v>29</v>
      </c>
      <c r="M1873" t="s">
        <v>29</v>
      </c>
      <c r="N1873" t="s">
        <v>29</v>
      </c>
      <c r="O1873" t="s">
        <v>29</v>
      </c>
      <c r="P1873" t="s">
        <v>29</v>
      </c>
      <c r="Q1873" t="s">
        <v>29</v>
      </c>
      <c r="R1873" t="s">
        <v>411</v>
      </c>
      <c r="S1873" t="s">
        <v>29</v>
      </c>
      <c r="T1873" t="s">
        <v>810</v>
      </c>
      <c r="U1873" t="s">
        <v>815</v>
      </c>
      <c r="V1873" s="6" t="s">
        <v>694</v>
      </c>
      <c r="W1873" t="s">
        <v>29</v>
      </c>
      <c r="Y1873" t="s">
        <v>117</v>
      </c>
    </row>
    <row r="1874" spans="2:25" x14ac:dyDescent="0.3">
      <c r="B1874" s="5" t="s">
        <v>67</v>
      </c>
      <c r="C1874" s="5" t="str">
        <f>VLOOKUP(B1874,[1]물질정보!B:C,2,0)</f>
        <v>818-61-1</v>
      </c>
      <c r="D1874" t="str">
        <f>VLOOKUP(B1874,[1]물질정보!B:D,3,0)</f>
        <v>2-hydroxyethyl acrylate</v>
      </c>
      <c r="E1874" t="str">
        <f>VLOOKUP(B1874,[1]물질정보!B:E,4,0)</f>
        <v>C5H8O3</v>
      </c>
      <c r="F1874" t="str">
        <f>VLOOKUP(B1874,[1]물질정보!B:F,5,0)</f>
        <v>116.11 g/mol</v>
      </c>
      <c r="G1874" s="5" t="str">
        <f>VLOOKUP(B1874,[1]물질정보!B:G,6,0)</f>
        <v>C=CC(=O)OCCO</v>
      </c>
      <c r="H1874" t="s">
        <v>79</v>
      </c>
      <c r="I1874" t="s">
        <v>385</v>
      </c>
      <c r="J1874" t="s">
        <v>117</v>
      </c>
      <c r="K1874" t="s">
        <v>99</v>
      </c>
      <c r="L1874" t="s">
        <v>29</v>
      </c>
      <c r="M1874" t="s">
        <v>29</v>
      </c>
      <c r="N1874" t="s">
        <v>29</v>
      </c>
      <c r="O1874" t="s">
        <v>29</v>
      </c>
      <c r="P1874" t="s">
        <v>29</v>
      </c>
      <c r="Q1874" t="s">
        <v>29</v>
      </c>
      <c r="R1874" t="s">
        <v>411</v>
      </c>
      <c r="S1874" t="s">
        <v>29</v>
      </c>
      <c r="T1874" t="s">
        <v>739</v>
      </c>
      <c r="U1874" t="s">
        <v>815</v>
      </c>
      <c r="V1874" s="6" t="s">
        <v>694</v>
      </c>
      <c r="W1874" t="s">
        <v>29</v>
      </c>
      <c r="Y1874" t="s">
        <v>117</v>
      </c>
    </row>
    <row r="1875" spans="2:25" x14ac:dyDescent="0.3">
      <c r="B1875" s="5" t="s">
        <v>65</v>
      </c>
      <c r="C1875" s="5" t="str">
        <f>VLOOKUP(B1875,[1]물질정보!B:C,2,0)</f>
        <v>141-32-2</v>
      </c>
      <c r="D1875" t="str">
        <f>VLOOKUP(B1875,[1]물질정보!B:D,3,0)</f>
        <v>butyl acrylate</v>
      </c>
      <c r="E1875" t="str">
        <f>VLOOKUP(B1875,[1]물질정보!B:E,4,0)</f>
        <v>C7H12O2</v>
      </c>
      <c r="F1875" t="str">
        <f>VLOOKUP(B1875,[1]물질정보!B:F,5,0)</f>
        <v>128.169 g/mol</v>
      </c>
      <c r="G1875" s="5" t="str">
        <f>VLOOKUP(B1875,[1]물질정보!B:G,6,0)</f>
        <v>CCCCOC(=O)C=C</v>
      </c>
      <c r="H1875" t="s">
        <v>79</v>
      </c>
      <c r="I1875" t="s">
        <v>385</v>
      </c>
      <c r="J1875" t="s">
        <v>117</v>
      </c>
      <c r="K1875" t="s">
        <v>99</v>
      </c>
      <c r="L1875" t="s">
        <v>29</v>
      </c>
      <c r="M1875" t="s">
        <v>29</v>
      </c>
      <c r="N1875" t="s">
        <v>29</v>
      </c>
      <c r="O1875" t="s">
        <v>29</v>
      </c>
      <c r="P1875" t="s">
        <v>29</v>
      </c>
      <c r="Q1875" t="s">
        <v>29</v>
      </c>
      <c r="R1875" t="s">
        <v>411</v>
      </c>
      <c r="S1875" t="s">
        <v>29</v>
      </c>
      <c r="T1875" t="s">
        <v>737</v>
      </c>
      <c r="U1875" t="s">
        <v>815</v>
      </c>
      <c r="V1875" s="6" t="s">
        <v>694</v>
      </c>
      <c r="W1875" t="s">
        <v>29</v>
      </c>
      <c r="Y1875" t="s">
        <v>117</v>
      </c>
    </row>
    <row r="1876" spans="2:25" x14ac:dyDescent="0.3">
      <c r="B1876" s="5" t="s">
        <v>64</v>
      </c>
      <c r="C1876" s="5" t="str">
        <f>VLOOKUP(B1876,[1]물질정보!B:C,2,0)</f>
        <v>2478-10-6</v>
      </c>
      <c r="D1876" t="str">
        <f>VLOOKUP(B1876,[1]물질정보!B:D,3,0)</f>
        <v>4-hydroxybutyl acrylate</v>
      </c>
      <c r="E1876" t="str">
        <f>VLOOKUP(B1876,[1]물질정보!B:E,4,0)</f>
        <v>C7H12O3</v>
      </c>
      <c r="F1876" t="str">
        <f>VLOOKUP(B1876,[1]물질정보!B:F,5,0)</f>
        <v>144.17 g/mol</v>
      </c>
      <c r="G1876" s="5" t="str">
        <f>VLOOKUP(B1876,[1]물질정보!B:G,6,0)</f>
        <v>C=CC(=O)OCCCCO</v>
      </c>
      <c r="H1876" t="s">
        <v>79</v>
      </c>
      <c r="I1876" t="s">
        <v>385</v>
      </c>
      <c r="J1876" t="s">
        <v>117</v>
      </c>
      <c r="K1876" t="s">
        <v>99</v>
      </c>
      <c r="L1876" t="s">
        <v>29</v>
      </c>
      <c r="M1876" t="s">
        <v>29</v>
      </c>
      <c r="N1876" t="s">
        <v>29</v>
      </c>
      <c r="O1876" t="s">
        <v>29</v>
      </c>
      <c r="P1876" t="s">
        <v>29</v>
      </c>
      <c r="Q1876" t="s">
        <v>29</v>
      </c>
      <c r="R1876" t="s">
        <v>411</v>
      </c>
      <c r="S1876" t="s">
        <v>29</v>
      </c>
      <c r="T1876" t="s">
        <v>812</v>
      </c>
      <c r="U1876" t="s">
        <v>815</v>
      </c>
      <c r="V1876" s="6" t="s">
        <v>694</v>
      </c>
      <c r="W1876" t="s">
        <v>29</v>
      </c>
      <c r="Y1876" t="s">
        <v>117</v>
      </c>
    </row>
    <row r="1877" spans="2:25" x14ac:dyDescent="0.3">
      <c r="B1877" s="5" t="s">
        <v>59</v>
      </c>
      <c r="C1877" s="5" t="str">
        <f>VLOOKUP(B1877,[1]물질정보!B:C,2,0)</f>
        <v>2499-95-8</v>
      </c>
      <c r="D1877" t="str">
        <f>VLOOKUP(B1877,[1]물질정보!B:D,3,0)</f>
        <v>hexyl acrylate</v>
      </c>
      <c r="E1877" t="str">
        <f>VLOOKUP(B1877,[1]물질정보!B:E,4,0)</f>
        <v>C9H16O2</v>
      </c>
      <c r="F1877" t="str">
        <f>VLOOKUP(B1877,[1]물질정보!B:F,5,0)</f>
        <v>156.22 g/mol</v>
      </c>
      <c r="G1877" s="5" t="str">
        <f>VLOOKUP(B1877,[1]물질정보!B:G,6,0)</f>
        <v>CCCCCCOC(=O)C=C</v>
      </c>
      <c r="H1877" t="s">
        <v>79</v>
      </c>
      <c r="I1877" t="s">
        <v>385</v>
      </c>
      <c r="J1877" t="s">
        <v>117</v>
      </c>
      <c r="K1877" t="s">
        <v>99</v>
      </c>
      <c r="L1877" t="s">
        <v>29</v>
      </c>
      <c r="M1877" t="s">
        <v>29</v>
      </c>
      <c r="N1877" t="s">
        <v>29</v>
      </c>
      <c r="O1877" t="s">
        <v>29</v>
      </c>
      <c r="P1877" t="s">
        <v>29</v>
      </c>
      <c r="Q1877" t="s">
        <v>29</v>
      </c>
      <c r="R1877" t="s">
        <v>411</v>
      </c>
      <c r="S1877" t="s">
        <v>29</v>
      </c>
      <c r="T1877" t="s">
        <v>720</v>
      </c>
      <c r="U1877" t="s">
        <v>815</v>
      </c>
      <c r="V1877" s="6" t="s">
        <v>694</v>
      </c>
      <c r="W1877" t="s">
        <v>29</v>
      </c>
      <c r="Y1877" t="s">
        <v>117</v>
      </c>
    </row>
    <row r="1878" spans="2:25" x14ac:dyDescent="0.3">
      <c r="B1878" s="5" t="s">
        <v>70</v>
      </c>
      <c r="C1878" s="5" t="str">
        <f>VLOOKUP(B1878,[1]물질정보!B:C,2,0)</f>
        <v>10095-14-4</v>
      </c>
      <c r="D1878" t="str">
        <f>VLOOKUP(B1878,[1]물질정보!B:D,3,0)</f>
        <v>6-hydroxybutyl acrylate</v>
      </c>
      <c r="E1878" t="str">
        <f>VLOOKUP(B1878,[1]물질정보!B:E,4,0)</f>
        <v>C9H16O3</v>
      </c>
      <c r="F1878" t="str">
        <f>VLOOKUP(B1878,[1]물질정보!B:F,5,0)</f>
        <v>172.22 g/mol</v>
      </c>
      <c r="G1878" s="5" t="str">
        <f>VLOOKUP(B1878,[1]물질정보!B:G,6,0)</f>
        <v>C=CC(=O)OCCCCCCO</v>
      </c>
      <c r="H1878" t="s">
        <v>79</v>
      </c>
      <c r="I1878" t="s">
        <v>385</v>
      </c>
      <c r="J1878" t="s">
        <v>117</v>
      </c>
      <c r="K1878" t="s">
        <v>99</v>
      </c>
      <c r="L1878" t="s">
        <v>29</v>
      </c>
      <c r="M1878" t="s">
        <v>29</v>
      </c>
      <c r="N1878" t="s">
        <v>29</v>
      </c>
      <c r="O1878" t="s">
        <v>29</v>
      </c>
      <c r="P1878" t="s">
        <v>29</v>
      </c>
      <c r="Q1878" t="s">
        <v>29</v>
      </c>
      <c r="R1878" t="s">
        <v>411</v>
      </c>
      <c r="S1878" t="s">
        <v>29</v>
      </c>
      <c r="T1878" t="s">
        <v>726</v>
      </c>
      <c r="U1878" t="s">
        <v>815</v>
      </c>
      <c r="V1878" s="6" t="s">
        <v>694</v>
      </c>
      <c r="W1878" t="s">
        <v>29</v>
      </c>
      <c r="Y1878" t="s">
        <v>117</v>
      </c>
    </row>
  </sheetData>
  <phoneticPr fontId="1" type="noConversion"/>
  <conditionalFormatting sqref="B1255:B1266 C1255:G1278 B1220:G1254">
    <cfRule type="uniqueValues" dxfId="1" priority="2"/>
  </conditionalFormatting>
  <conditionalFormatting sqref="B1267:B1278">
    <cfRule type="uniqu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물질정보</vt:lpstr>
      <vt:lpstr>유해성정보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DOHEON kim</dc:creator>
  <cp:lastModifiedBy>DOHEON kim</cp:lastModifiedBy>
  <dcterms:created xsi:type="dcterms:W3CDTF">2026-02-24T07:21:59Z</dcterms:created>
  <dcterms:modified xsi:type="dcterms:W3CDTF">2026-02-25T06:21:57Z</dcterms:modified>
</cp:coreProperties>
</file>